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D2662CF-135A-48B4-8E40-4279237298DD}" xr6:coauthVersionLast="47" xr6:coauthVersionMax="47" xr10:uidLastSave="{00000000-0000-0000-0000-000000000000}"/>
  <bookViews>
    <workbookView xWindow="75" yWindow="0" windowWidth="20415" windowHeight="108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3" i="1" l="1"/>
  <c r="A71" i="1"/>
  <c r="A56" i="1"/>
  <c r="A54" i="1"/>
  <c r="A52" i="1"/>
  <c r="A50" i="1"/>
  <c r="A48" i="1"/>
  <c r="A46" i="1"/>
  <c r="A44" i="1"/>
  <c r="A42" i="1"/>
  <c r="A27" i="1"/>
  <c r="A26" i="1"/>
  <c r="A25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<sst xmlns="http://schemas.openxmlformats.org/spreadsheetml/2006/main" count="20" uniqueCount="20">
  <si>
    <t>What is Frequency Distribution?</t>
  </si>
  <si>
    <r>
      <t xml:space="preserve">Assume the following marks are in </t>
    </r>
    <r>
      <rPr>
        <b/>
        <sz val="11"/>
        <color theme="1"/>
        <rFont val="Calibri"/>
        <family val="2"/>
        <scheme val="minor"/>
      </rPr>
      <t>Column A</t>
    </r>
  </si>
  <si>
    <t>Correlation Matrix</t>
  </si>
  <si>
    <t>A (Height)</t>
  </si>
  <si>
    <t>B (Weight)</t>
  </si>
  <si>
    <t>C (Age)</t>
  </si>
  <si>
    <t>Descriptive Statistics</t>
  </si>
  <si>
    <t>Assume marks are(A31:A40)</t>
  </si>
  <si>
    <t>Mean</t>
  </si>
  <si>
    <t>Median</t>
  </si>
  <si>
    <t>Mode</t>
  </si>
  <si>
    <t>Range</t>
  </si>
  <si>
    <t>Variance</t>
  </si>
  <si>
    <t>Standard Deviation</t>
  </si>
  <si>
    <t>Skewness</t>
  </si>
  <si>
    <t>Kurtosis</t>
  </si>
  <si>
    <t>Normal Distribution Using Excel</t>
  </si>
  <si>
    <t>Assume student marks are in A61:A70:</t>
  </si>
  <si>
    <t>Calculate Mean</t>
  </si>
  <si>
    <t>Calculate 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</si>
</sst>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topLeftCell="A15" workbookViewId="0">
      <selection activeCell="E22" sqref="E22"/>
    </sheetView>
  </sheetViews>
  <sheetFormatPr defaultRowHeight="15" x14ac:dyDescent="0.25"/>
  <cols>
    <col min="1" max="1" width="97" customWidth="1"/>
  </cols>
  <sheetData>
    <row r="1" spans="1:2" ht="23.25" x14ac:dyDescent="0.25">
      <c r="A1" s="1" t="s">
        <v>0</v>
      </c>
    </row>
    <row r="2" spans="1:2" x14ac:dyDescent="0.25">
      <c r="B2">
        <f>COUNTIFS($A$5:$A$14,"&gt;=40",$A$5:$A$14,"&lt;=49")</f>
        <v>1</v>
      </c>
    </row>
    <row r="3" spans="1:2" x14ac:dyDescent="0.25">
      <c r="A3" t="s">
        <v>1</v>
      </c>
      <c r="B3">
        <f>COUNTIFS($A$5:$A$14,"&gt;=50",$A$5:$A$14,"&lt;=59")</f>
        <v>1</v>
      </c>
    </row>
    <row r="4" spans="1:2" x14ac:dyDescent="0.25">
      <c r="B4">
        <f>COUNTIFS($A$5:$A$14,"&gt;=60",$A$5:$A$14,"&lt;=69")</f>
        <v>2</v>
      </c>
    </row>
    <row r="5" spans="1:2" x14ac:dyDescent="0.25">
      <c r="A5">
        <v>45</v>
      </c>
      <c r="B5">
        <f>COUNTIFS($A$5:$A$14,"&gt;=70",$A$5:$A$14,"&lt;=79")</f>
        <v>2</v>
      </c>
    </row>
    <row r="6" spans="1:2" x14ac:dyDescent="0.25">
      <c r="A6">
        <v>52</v>
      </c>
      <c r="B6">
        <f>COUNTIFS($A$5:$A$14,"&gt;=80",$A$5:$A$14,"&lt;=89")</f>
        <v>2</v>
      </c>
    </row>
    <row r="7" spans="1:2" x14ac:dyDescent="0.25">
      <c r="A7">
        <v>61</v>
      </c>
      <c r="B7">
        <f>COUNTIFS($A$5:$A$14,"&gt;=90",$A$5:$A$14,"&lt;=99")</f>
        <v>2</v>
      </c>
    </row>
    <row r="8" spans="1:2" x14ac:dyDescent="0.25">
      <c r="A8">
        <v>67</v>
      </c>
    </row>
    <row r="9" spans="1:2" x14ac:dyDescent="0.25">
      <c r="A9">
        <v>72</v>
      </c>
    </row>
    <row r="10" spans="1:2" x14ac:dyDescent="0.25">
      <c r="A10">
        <v>78</v>
      </c>
    </row>
    <row r="11" spans="1:2" x14ac:dyDescent="0.25">
      <c r="A11">
        <v>85</v>
      </c>
    </row>
    <row r="12" spans="1:2" x14ac:dyDescent="0.25">
      <c r="A12">
        <v>88</v>
      </c>
    </row>
    <row r="13" spans="1:2" x14ac:dyDescent="0.25">
      <c r="A13">
        <v>90</v>
      </c>
    </row>
    <row r="14" spans="1:2" x14ac:dyDescent="0.25">
      <c r="A14">
        <v>95</v>
      </c>
    </row>
    <row r="16" spans="1:2" x14ac:dyDescent="0.25">
      <c r="A16" s="6" t="s">
        <v>2</v>
      </c>
    </row>
    <row r="18" spans="1:3" ht="30" x14ac:dyDescent="0.25">
      <c r="A18" s="2" t="s">
        <v>3</v>
      </c>
      <c r="B18" s="2" t="s">
        <v>4</v>
      </c>
      <c r="C18" s="2" t="s">
        <v>5</v>
      </c>
    </row>
    <row r="19" spans="1:3" x14ac:dyDescent="0.25">
      <c r="A19" s="3">
        <v>160</v>
      </c>
      <c r="B19" s="3">
        <v>55</v>
      </c>
      <c r="C19" s="3">
        <v>22</v>
      </c>
    </row>
    <row r="20" spans="1:3" x14ac:dyDescent="0.25">
      <c r="A20" s="3">
        <v>165</v>
      </c>
      <c r="B20" s="3">
        <v>60</v>
      </c>
      <c r="C20" s="3">
        <v>23</v>
      </c>
    </row>
    <row r="21" spans="1:3" x14ac:dyDescent="0.25">
      <c r="A21" s="3">
        <v>170</v>
      </c>
      <c r="B21" s="3">
        <v>65</v>
      </c>
      <c r="C21" s="3">
        <v>24</v>
      </c>
    </row>
    <row r="22" spans="1:3" x14ac:dyDescent="0.25">
      <c r="A22" s="3">
        <v>175</v>
      </c>
      <c r="B22" s="3">
        <v>70</v>
      </c>
      <c r="C22" s="3">
        <v>25</v>
      </c>
    </row>
    <row r="23" spans="1:3" x14ac:dyDescent="0.25">
      <c r="A23" s="3">
        <v>180</v>
      </c>
      <c r="B23" s="3">
        <v>75</v>
      </c>
      <c r="C23" s="3">
        <v>26</v>
      </c>
    </row>
    <row r="25" spans="1:3" x14ac:dyDescent="0.25">
      <c r="A25">
        <f>CORREL(A19:A23,B19:B23)</f>
        <v>0.99999999999999989</v>
      </c>
    </row>
    <row r="26" spans="1:3" x14ac:dyDescent="0.25">
      <c r="A26">
        <f>CORREL(B19:B23,C19:C23)</f>
        <v>0.99999999999999978</v>
      </c>
    </row>
    <row r="27" spans="1:3" x14ac:dyDescent="0.25">
      <c r="A27">
        <f>CORREL(A19:A23,C19:C23)</f>
        <v>0.99999999999999978</v>
      </c>
    </row>
    <row r="29" spans="1:3" x14ac:dyDescent="0.25">
      <c r="A29" s="6" t="s">
        <v>6</v>
      </c>
    </row>
    <row r="30" spans="1:3" x14ac:dyDescent="0.25">
      <c r="A30" t="s">
        <v>7</v>
      </c>
    </row>
    <row r="31" spans="1:3" x14ac:dyDescent="0.25">
      <c r="A31" s="4">
        <v>45</v>
      </c>
    </row>
    <row r="32" spans="1:3" x14ac:dyDescent="0.25">
      <c r="A32" s="4">
        <v>52</v>
      </c>
    </row>
    <row r="33" spans="1:1" x14ac:dyDescent="0.25">
      <c r="A33" s="4">
        <v>61</v>
      </c>
    </row>
    <row r="34" spans="1:1" x14ac:dyDescent="0.25">
      <c r="A34" s="4">
        <v>67</v>
      </c>
    </row>
    <row r="35" spans="1:1" x14ac:dyDescent="0.25">
      <c r="A35" s="4">
        <v>72</v>
      </c>
    </row>
    <row r="36" spans="1:1" x14ac:dyDescent="0.25">
      <c r="A36" s="4">
        <v>78</v>
      </c>
    </row>
    <row r="37" spans="1:1" x14ac:dyDescent="0.25">
      <c r="A37" s="4">
        <v>85</v>
      </c>
    </row>
    <row r="38" spans="1:1" x14ac:dyDescent="0.25">
      <c r="A38" s="4">
        <v>88</v>
      </c>
    </row>
    <row r="39" spans="1:1" x14ac:dyDescent="0.25">
      <c r="A39" s="4">
        <v>90</v>
      </c>
    </row>
    <row r="40" spans="1:1" x14ac:dyDescent="0.25">
      <c r="A40" s="4">
        <v>95</v>
      </c>
    </row>
    <row r="41" spans="1:1" ht="18" x14ac:dyDescent="0.25">
      <c r="A41" s="5" t="s">
        <v>8</v>
      </c>
    </row>
    <row r="42" spans="1:1" x14ac:dyDescent="0.25">
      <c r="A42" s="4">
        <f>AVERAGE(A31:A40)</f>
        <v>73.3</v>
      </c>
    </row>
    <row r="43" spans="1:1" ht="18" x14ac:dyDescent="0.25">
      <c r="A43" s="5" t="s">
        <v>9</v>
      </c>
    </row>
    <row r="44" spans="1:1" x14ac:dyDescent="0.25">
      <c r="A44" s="4">
        <f>MEDIAN(A31:A40)</f>
        <v>75</v>
      </c>
    </row>
    <row r="45" spans="1:1" ht="18" x14ac:dyDescent="0.25">
      <c r="A45" s="5" t="s">
        <v>10</v>
      </c>
    </row>
    <row r="46" spans="1:1" x14ac:dyDescent="0.25">
      <c r="A46" s="4" t="e">
        <f>_xlfn.MODE.SNGL(A31,A32,A33,A34,A35,A36,A37,A38,A39,A40)</f>
        <v>#N/A</v>
      </c>
    </row>
    <row r="47" spans="1:1" ht="18" x14ac:dyDescent="0.25">
      <c r="A47" s="5" t="s">
        <v>11</v>
      </c>
    </row>
    <row r="48" spans="1:1" x14ac:dyDescent="0.25">
      <c r="A48" s="4">
        <f>MAX(A31:A40)-MIN(A31:A40)</f>
        <v>50</v>
      </c>
    </row>
    <row r="49" spans="1:1" ht="18" x14ac:dyDescent="0.25">
      <c r="A49" s="5" t="s">
        <v>12</v>
      </c>
    </row>
    <row r="50" spans="1:1" x14ac:dyDescent="0.25">
      <c r="A50" s="4">
        <f>_xlfn.VAR.S(A31:A40)</f>
        <v>285.78888888888872</v>
      </c>
    </row>
    <row r="51" spans="1:1" ht="18" x14ac:dyDescent="0.25">
      <c r="A51" s="5" t="s">
        <v>13</v>
      </c>
    </row>
    <row r="52" spans="1:1" x14ac:dyDescent="0.25">
      <c r="A52" s="4">
        <f>_xlfn.STDEV.S(A31:A40)</f>
        <v>16.9052917421998</v>
      </c>
    </row>
    <row r="53" spans="1:1" ht="18" x14ac:dyDescent="0.25">
      <c r="A53" s="5" t="s">
        <v>14</v>
      </c>
    </row>
    <row r="54" spans="1:1" x14ac:dyDescent="0.25">
      <c r="A54" s="4">
        <f>SKEW(A31:A40)</f>
        <v>-0.42213231707426435</v>
      </c>
    </row>
    <row r="55" spans="1:1" ht="18" x14ac:dyDescent="0.25">
      <c r="A55" s="5" t="s">
        <v>15</v>
      </c>
    </row>
    <row r="56" spans="1:1" x14ac:dyDescent="0.25">
      <c r="A56" s="4">
        <f>KURT(A31:A40)</f>
        <v>-1.0333143626047341</v>
      </c>
    </row>
    <row r="58" spans="1:1" x14ac:dyDescent="0.25">
      <c r="A58" s="6" t="s">
        <v>16</v>
      </c>
    </row>
    <row r="59" spans="1:1" x14ac:dyDescent="0.25">
      <c r="A59" t="s">
        <v>17</v>
      </c>
    </row>
    <row r="60" spans="1:1" x14ac:dyDescent="0.25">
      <c r="A60" s="4">
        <v>45</v>
      </c>
    </row>
    <row r="61" spans="1:1" x14ac:dyDescent="0.25">
      <c r="A61" s="4">
        <v>52</v>
      </c>
    </row>
    <row r="62" spans="1:1" x14ac:dyDescent="0.25">
      <c r="A62" s="4">
        <v>61</v>
      </c>
    </row>
    <row r="63" spans="1:1" x14ac:dyDescent="0.25">
      <c r="A63" s="4">
        <v>67</v>
      </c>
    </row>
    <row r="64" spans="1:1" x14ac:dyDescent="0.25">
      <c r="A64" s="4">
        <v>72</v>
      </c>
    </row>
    <row r="65" spans="1:1" x14ac:dyDescent="0.25">
      <c r="A65" s="4">
        <v>78</v>
      </c>
    </row>
    <row r="66" spans="1:1" x14ac:dyDescent="0.25">
      <c r="A66" s="4">
        <v>85</v>
      </c>
    </row>
    <row r="67" spans="1:1" x14ac:dyDescent="0.25">
      <c r="A67" s="4">
        <v>88</v>
      </c>
    </row>
    <row r="68" spans="1:1" x14ac:dyDescent="0.25">
      <c r="A68" s="4">
        <v>90</v>
      </c>
    </row>
    <row r="69" spans="1:1" x14ac:dyDescent="0.25">
      <c r="A69" s="4">
        <v>95</v>
      </c>
    </row>
    <row r="70" spans="1:1" ht="18" x14ac:dyDescent="0.25">
      <c r="A70" s="5" t="s">
        <v>18</v>
      </c>
    </row>
    <row r="71" spans="1:1" x14ac:dyDescent="0.25">
      <c r="A71" s="4">
        <f>AVERAGE(A60:A69)</f>
        <v>73.3</v>
      </c>
    </row>
    <row r="72" spans="1:1" ht="18" x14ac:dyDescent="0.25">
      <c r="A72" s="5" t="s">
        <v>19</v>
      </c>
    </row>
    <row r="73" spans="1:1" x14ac:dyDescent="0.25">
      <c r="A73" s="4">
        <f>_xlfn.STDEV.S(A60:A69)</f>
        <v>16.9052917421998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PEEYUSH JHA</cp:lastModifiedBy>
  <dcterms:created xsi:type="dcterms:W3CDTF">2015-06-05T18:17:20Z</dcterms:created>
  <dcterms:modified xsi:type="dcterms:W3CDTF">2025-12-31T09:04:32Z</dcterms:modified>
</cp:coreProperties>
</file>