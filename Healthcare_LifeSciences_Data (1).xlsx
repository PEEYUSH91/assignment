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6B0BFA-54D3-4583-A0B5-E99C65850CB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Healthcare_LifeSciences_Data" sheetId="1" r:id="rId1"/>
    <sheet name="Objective" sheetId="2" r:id="rId2"/>
    <sheet name="Answer" sheetId="3" r:id="rId3"/>
    <sheet name="Q2" sheetId="10" r:id="rId4"/>
    <sheet name="Q3" sheetId="9" r:id="rId5"/>
    <sheet name="Q5." sheetId="12" r:id="rId6"/>
    <sheet name="Q6" sheetId="4" r:id="rId7"/>
    <sheet name="Q8" sheetId="11" r:id="rId8"/>
    <sheet name="Q9" sheetId="7" r:id="rId9"/>
  </sheets>
  <definedNames>
    <definedName name="_xlnm._FilterDatabase" localSheetId="0" hidden="1">Healthcare_LifeSciences_Data!$A$1:$W$1002</definedName>
  </definedNames>
  <calcPr calcId="191029"/>
  <pivotCaches>
    <pivotCache cacheId="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v+pKwpD7/MuM7SHYGIU/WPQb9AEWdiXCMVk4otgDnKQ="/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2" i="1"/>
  <c r="X3" i="1"/>
  <c r="X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54" i="1"/>
  <c r="E55" i="1"/>
  <c r="E56" i="1"/>
  <c r="E57" i="1"/>
  <c r="E58" i="1"/>
  <c r="E59" i="1"/>
  <c r="E60" i="1"/>
  <c r="E61" i="1"/>
  <c r="E62" i="1"/>
  <c r="E51" i="1"/>
  <c r="E52" i="1"/>
  <c r="E53" i="1"/>
  <c r="E41" i="1"/>
  <c r="E42" i="1"/>
  <c r="E43" i="1"/>
  <c r="E44" i="1"/>
  <c r="E45" i="1"/>
  <c r="E46" i="1"/>
  <c r="E47" i="1"/>
  <c r="E48" i="1"/>
  <c r="E49" i="1"/>
  <c r="E50" i="1"/>
  <c r="E34" i="1"/>
  <c r="E35" i="1"/>
  <c r="E36" i="1"/>
  <c r="E37" i="1"/>
  <c r="E38" i="1"/>
  <c r="E39" i="1"/>
  <c r="E40" i="1"/>
  <c r="E27" i="1"/>
  <c r="E28" i="1"/>
  <c r="E29" i="1"/>
  <c r="E30" i="1"/>
  <c r="E31" i="1"/>
  <c r="E32" i="1"/>
  <c r="E33" i="1"/>
  <c r="E22" i="1"/>
  <c r="E23" i="1"/>
  <c r="E24" i="1"/>
  <c r="E25" i="1"/>
  <c r="E26" i="1"/>
  <c r="E17" i="1"/>
  <c r="E18" i="1"/>
  <c r="E19" i="1"/>
  <c r="E20" i="1"/>
  <c r="E21" i="1"/>
  <c r="E16" i="1"/>
  <c r="E11" i="1"/>
  <c r="E12" i="1"/>
  <c r="E13" i="1"/>
  <c r="E14" i="1"/>
  <c r="E15" i="1"/>
  <c r="E8" i="1"/>
  <c r="E9" i="1"/>
  <c r="E10" i="1"/>
  <c r="E7" i="1"/>
  <c r="B25" i="3"/>
  <c r="B24" i="3"/>
  <c r="B23" i="3"/>
  <c r="B22" i="3"/>
  <c r="B21" i="3"/>
  <c r="E6" i="1"/>
  <c r="E5" i="1"/>
  <c r="E4" i="1"/>
  <c r="E3" i="1"/>
  <c r="M1002" i="1"/>
  <c r="B19" i="3"/>
  <c r="B18" i="3"/>
  <c r="C16" i="3"/>
  <c r="C15" i="3"/>
  <c r="C14" i="3"/>
  <c r="C13" i="3"/>
  <c r="C12" i="3"/>
  <c r="C11" i="3"/>
  <c r="E2" i="1"/>
  <c r="C18" i="3" l="1"/>
  <c r="C8" i="3"/>
  <c r="C7" i="3"/>
  <c r="C6" i="3"/>
  <c r="C5" i="3"/>
  <c r="C4" i="3"/>
  <c r="C3" i="3"/>
  <c r="C2" i="3"/>
  <c r="C1" i="3"/>
</calcChain>
</file>

<file path=xl/sharedStrings.xml><?xml version="1.0" encoding="utf-8"?>
<sst xmlns="http://schemas.openxmlformats.org/spreadsheetml/2006/main" count="13783" uniqueCount="1986">
  <si>
    <t>Patient ID</t>
  </si>
  <si>
    <t>Age</t>
  </si>
  <si>
    <t>Department</t>
  </si>
  <si>
    <t>Admission Date</t>
  </si>
  <si>
    <t>Discharge Date</t>
  </si>
  <si>
    <t>Stay Duration (days)</t>
  </si>
  <si>
    <t>Disease/Condition</t>
  </si>
  <si>
    <t>Satisfaction Score</t>
  </si>
  <si>
    <t>Doctor</t>
  </si>
  <si>
    <t>Treatment Cost</t>
  </si>
  <si>
    <t>Medication</t>
  </si>
  <si>
    <t>Has Insurance</t>
  </si>
  <si>
    <t>Case Type</t>
  </si>
  <si>
    <t>Appointment Date</t>
  </si>
  <si>
    <t>Consultation Date</t>
  </si>
  <si>
    <t>Test Type</t>
  </si>
  <si>
    <t>Test Result</t>
  </si>
  <si>
    <t>Shift</t>
  </si>
  <si>
    <t>Staff Hours Worked</t>
  </si>
  <si>
    <t>Staff Available Hours</t>
  </si>
  <si>
    <t>Treatment Plan</t>
  </si>
  <si>
    <t>PAT5000</t>
  </si>
  <si>
    <t>Neurology</t>
  </si>
  <si>
    <t>25-04-23 0:00</t>
  </si>
  <si>
    <t>Heart Disease</t>
  </si>
  <si>
    <t>Dr. Mehta</t>
  </si>
  <si>
    <t>MedC</t>
  </si>
  <si>
    <t>No</t>
  </si>
  <si>
    <t>Routine</t>
  </si>
  <si>
    <t>22-04-23 0:00</t>
  </si>
  <si>
    <t>22-04-23 12:00</t>
  </si>
  <si>
    <t>X-Ray</t>
  </si>
  <si>
    <t>Accepted</t>
  </si>
  <si>
    <t>Afternoon</t>
  </si>
  <si>
    <t>Plan B</t>
  </si>
  <si>
    <t>PAT5001</t>
  </si>
  <si>
    <t>ICU</t>
  </si>
  <si>
    <t>26-01-23 0:00</t>
  </si>
  <si>
    <t>Fracture</t>
  </si>
  <si>
    <t>Dr. Sharma</t>
  </si>
  <si>
    <t>MedE</t>
  </si>
  <si>
    <t>22-01-23 0:00</t>
  </si>
  <si>
    <t>22-01-23 21:00</t>
  </si>
  <si>
    <t>Blood Test</t>
  </si>
  <si>
    <t>Rejected</t>
  </si>
  <si>
    <t>PAT5002</t>
  </si>
  <si>
    <t>Hypertension</t>
  </si>
  <si>
    <t>Emergency</t>
  </si>
  <si>
    <t>CT Scan</t>
  </si>
  <si>
    <t>Morning</t>
  </si>
  <si>
    <t>PAT5003</t>
  </si>
  <si>
    <t>General Medicine</t>
  </si>
  <si>
    <t>Dr. Gupta</t>
  </si>
  <si>
    <t>Night</t>
  </si>
  <si>
    <t>Plan C</t>
  </si>
  <si>
    <t>PAT5004</t>
  </si>
  <si>
    <t>17-08-23 0:00</t>
  </si>
  <si>
    <t>18-08-23 0:00</t>
  </si>
  <si>
    <t>Diabetes</t>
  </si>
  <si>
    <t>16-08-23 0:00</t>
  </si>
  <si>
    <t>17-08-23 14:00</t>
  </si>
  <si>
    <t>PAT5005</t>
  </si>
  <si>
    <t>Cardiology</t>
  </si>
  <si>
    <t>23-05-23 0:00</t>
  </si>
  <si>
    <t>24-05-23 0:00</t>
  </si>
  <si>
    <t>MedA</t>
  </si>
  <si>
    <t>Yes</t>
  </si>
  <si>
    <t>18-05-23 0:00</t>
  </si>
  <si>
    <t>18-05-23 10:00</t>
  </si>
  <si>
    <t>Ultrasound</t>
  </si>
  <si>
    <t>PAT5006</t>
  </si>
  <si>
    <t>15-04-23 0:00</t>
  </si>
  <si>
    <t>20-04-23 0:00</t>
  </si>
  <si>
    <t>Flu</t>
  </si>
  <si>
    <t>13-04-23 22:00</t>
  </si>
  <si>
    <t>PAT5007</t>
  </si>
  <si>
    <t>31-03-23 0:00</t>
  </si>
  <si>
    <t>29-03-23 0:00</t>
  </si>
  <si>
    <t>30-03-23 2:00</t>
  </si>
  <si>
    <t>PAT5008</t>
  </si>
  <si>
    <t>MedD</t>
  </si>
  <si>
    <t>PAT5009</t>
  </si>
  <si>
    <t>Orthopedics</t>
  </si>
  <si>
    <t>Migraine</t>
  </si>
  <si>
    <t>30-01-23 0:00</t>
  </si>
  <si>
    <t>30-01-23 20:00</t>
  </si>
  <si>
    <t>MRI</t>
  </si>
  <si>
    <t>PAT5010</t>
  </si>
  <si>
    <t>31-01-23 0:00</t>
  </si>
  <si>
    <t>Dr. Rao</t>
  </si>
  <si>
    <t>MedB</t>
  </si>
  <si>
    <t>31-01-23 11:00</t>
  </si>
  <si>
    <t>Plan A</t>
  </si>
  <si>
    <t>PAT5011</t>
  </si>
  <si>
    <t>21-04-23 0:00</t>
  </si>
  <si>
    <t>PAT5012</t>
  </si>
  <si>
    <t>21-08-23 0:00</t>
  </si>
  <si>
    <t>Dr. Patel</t>
  </si>
  <si>
    <t>PAT5013</t>
  </si>
  <si>
    <t>27-08-23 0:00</t>
  </si>
  <si>
    <t>30-08-23 0:00</t>
  </si>
  <si>
    <t>23-08-23 0:00</t>
  </si>
  <si>
    <t>24-08-23 13:00</t>
  </si>
  <si>
    <t>PAT5014</t>
  </si>
  <si>
    <t>30-05-24 0:00</t>
  </si>
  <si>
    <t>31-05-24 1:00</t>
  </si>
  <si>
    <t>PAT5015</t>
  </si>
  <si>
    <t>28-01-23 0:00</t>
  </si>
  <si>
    <t>25-01-23 0:00</t>
  </si>
  <si>
    <t>26-01-23 20:00</t>
  </si>
  <si>
    <t>PAT5016</t>
  </si>
  <si>
    <t>23-07-23 0:00</t>
  </si>
  <si>
    <t>29-07-23 0:00</t>
  </si>
  <si>
    <t>21-07-23 0:00</t>
  </si>
  <si>
    <t>22-07-23 11:00</t>
  </si>
  <si>
    <t>PAT5017</t>
  </si>
  <si>
    <t>16-03-24 0:00</t>
  </si>
  <si>
    <t>29-02-24 0:00</t>
  </si>
  <si>
    <t>29-02-24 22:00</t>
  </si>
  <si>
    <t>PAT5018</t>
  </si>
  <si>
    <t>14-08-23 0:00</t>
  </si>
  <si>
    <t>26-08-23 0:00</t>
  </si>
  <si>
    <t>13-08-23 1:00</t>
  </si>
  <si>
    <t>PAT5019</t>
  </si>
  <si>
    <t>16-04-24 0:00</t>
  </si>
  <si>
    <t>PAT5020</t>
  </si>
  <si>
    <t>21-10-23 0:00</t>
  </si>
  <si>
    <t>PAT5021</t>
  </si>
  <si>
    <t>14-01-23 0:00</t>
  </si>
  <si>
    <t>PAT5022</t>
  </si>
  <si>
    <t>13-06-23 0:00</t>
  </si>
  <si>
    <t>23-06-23 0:00</t>
  </si>
  <si>
    <t>PAT5023</t>
  </si>
  <si>
    <t>20-03-24 0:00</t>
  </si>
  <si>
    <t>PAT5024</t>
  </si>
  <si>
    <t>15-12-23 0:00</t>
  </si>
  <si>
    <t>27-12-23 0:00</t>
  </si>
  <si>
    <t>13-12-23 9:00</t>
  </si>
  <si>
    <t>PAT5025</t>
  </si>
  <si>
    <t>15-10-23 0:00</t>
  </si>
  <si>
    <t>PAT5026</t>
  </si>
  <si>
    <t>24-06-23 0:00</t>
  </si>
  <si>
    <t>PAT5027</t>
  </si>
  <si>
    <t>PAT5028</t>
  </si>
  <si>
    <t>22-12-23 0:00</t>
  </si>
  <si>
    <t>PAT5029</t>
  </si>
  <si>
    <t>17-04-23 0:00</t>
  </si>
  <si>
    <t>13-04-23 0:00</t>
  </si>
  <si>
    <t>14-04-23 4:00</t>
  </si>
  <si>
    <t>PAT5030</t>
  </si>
  <si>
    <t>19-04-23 0:00</t>
  </si>
  <si>
    <t>PAT5031</t>
  </si>
  <si>
    <t>25-01-24 0:00</t>
  </si>
  <si>
    <t>20-01-24 0:00</t>
  </si>
  <si>
    <t>20-01-24 5:00</t>
  </si>
  <si>
    <t>PAT5032</t>
  </si>
  <si>
    <t>PAT5033</t>
  </si>
  <si>
    <t>PAT5034</t>
  </si>
  <si>
    <t>19-12-23 0:00</t>
  </si>
  <si>
    <t>24-12-23 0:00</t>
  </si>
  <si>
    <t>16-12-23 16:00</t>
  </si>
  <si>
    <t>PAT5035</t>
  </si>
  <si>
    <t>28-09-23 0:00</t>
  </si>
  <si>
    <t>29-09-23 0:00</t>
  </si>
  <si>
    <t>26-09-23 0:00</t>
  </si>
  <si>
    <t>27-09-23 15:00</t>
  </si>
  <si>
    <t>PAT5036</t>
  </si>
  <si>
    <t>14-02-23 0:00</t>
  </si>
  <si>
    <t>26-02-23 0:00</t>
  </si>
  <si>
    <t>PAT5037</t>
  </si>
  <si>
    <t>15-04-24 0:00</t>
  </si>
  <si>
    <t>21-04-24 0:00</t>
  </si>
  <si>
    <t>PAT5038</t>
  </si>
  <si>
    <t>PAT5039</t>
  </si>
  <si>
    <t>23-01-24 0:00</t>
  </si>
  <si>
    <t>31-01-24 0:00</t>
  </si>
  <si>
    <t>24-01-24 17:00</t>
  </si>
  <si>
    <t>PAT5040</t>
  </si>
  <si>
    <t>22-03-23 0:00</t>
  </si>
  <si>
    <t>30-03-23 0:00</t>
  </si>
  <si>
    <t>21-03-23 0:00</t>
  </si>
  <si>
    <t>21-03-23 18:00</t>
  </si>
  <si>
    <t>PAT5041</t>
  </si>
  <si>
    <t>28-10-23 0:00</t>
  </si>
  <si>
    <t>29-10-23 5:00</t>
  </si>
  <si>
    <t>PAT5042</t>
  </si>
  <si>
    <t>PAT5043</t>
  </si>
  <si>
    <t>16-07-23 0:00</t>
  </si>
  <si>
    <t>22-07-23 0:00</t>
  </si>
  <si>
    <t>15-07-23 0:00</t>
  </si>
  <si>
    <t>15-07-23 15:00</t>
  </si>
  <si>
    <t>PAT5044</t>
  </si>
  <si>
    <t>13-03-23 0:00</t>
  </si>
  <si>
    <t>15-03-23 0:00</t>
  </si>
  <si>
    <t>PAT5045</t>
  </si>
  <si>
    <t>16-02-23 0:00</t>
  </si>
  <si>
    <t>27-02-23 0:00</t>
  </si>
  <si>
    <t>13-02-23 0:00</t>
  </si>
  <si>
    <t>14-02-23 12:00</t>
  </si>
  <si>
    <t>PAT5046</t>
  </si>
  <si>
    <t>22-08-23 0:00</t>
  </si>
  <si>
    <t>28-08-23 0:00</t>
  </si>
  <si>
    <t>23-08-23 1:00</t>
  </si>
  <si>
    <t>PAT5047</t>
  </si>
  <si>
    <t>24-10-23 0:00</t>
  </si>
  <si>
    <t>19-10-23 0:00</t>
  </si>
  <si>
    <t>20-10-23 4:00</t>
  </si>
  <si>
    <t>PAT5048</t>
  </si>
  <si>
    <t>23-03-23 0:00</t>
  </si>
  <si>
    <t>21-03-23 12:00</t>
  </si>
  <si>
    <t>PAT5049</t>
  </si>
  <si>
    <t>23-08-23 20:00</t>
  </si>
  <si>
    <t>PAT5050</t>
  </si>
  <si>
    <t>14-04-23 0:00</t>
  </si>
  <si>
    <t>13-04-23 14:00</t>
  </si>
  <si>
    <t>PAT5051</t>
  </si>
  <si>
    <t>26-01-24 0:00</t>
  </si>
  <si>
    <t>21-01-24 19:00</t>
  </si>
  <si>
    <t>PAT5052</t>
  </si>
  <si>
    <t>13-10-23 1:00</t>
  </si>
  <si>
    <t>PAT5053</t>
  </si>
  <si>
    <t>14-04-24 0:00</t>
  </si>
  <si>
    <t>PAT5054</t>
  </si>
  <si>
    <t>13-01-24 0:00</t>
  </si>
  <si>
    <t>PAT5055</t>
  </si>
  <si>
    <t>16-06-23 0:00</t>
  </si>
  <si>
    <t>18-06-23 0:00</t>
  </si>
  <si>
    <t>14-06-23 0:00</t>
  </si>
  <si>
    <t>14-06-23 19:00</t>
  </si>
  <si>
    <t>PAT5056</t>
  </si>
  <si>
    <t>15-01-24 0:00</t>
  </si>
  <si>
    <t>29-01-24 0:00</t>
  </si>
  <si>
    <t>13-01-24 16:00</t>
  </si>
  <si>
    <t>PAT5057</t>
  </si>
  <si>
    <t>30-12-23 0:00</t>
  </si>
  <si>
    <t>29-12-23 0:00</t>
  </si>
  <si>
    <t>30-12-23 22:00</t>
  </si>
  <si>
    <t>PAT5058</t>
  </si>
  <si>
    <t>29-07-23 5:00</t>
  </si>
  <si>
    <t>PAT5059</t>
  </si>
  <si>
    <t>26-09-23 6:00</t>
  </si>
  <si>
    <t>PAT5060</t>
  </si>
  <si>
    <t>26-03-23 0:00</t>
  </si>
  <si>
    <t>PAT5061</t>
  </si>
  <si>
    <t>25-06-23 0:00</t>
  </si>
  <si>
    <t>29-06-23 0:00</t>
  </si>
  <si>
    <t>20-06-23 0:00</t>
  </si>
  <si>
    <t>20-06-23 10:00</t>
  </si>
  <si>
    <t>PAT5062</t>
  </si>
  <si>
    <t>19-09-23 0:00</t>
  </si>
  <si>
    <t>PAT5063</t>
  </si>
  <si>
    <t>17-06-23 0:00</t>
  </si>
  <si>
    <t>28-06-23 0:00</t>
  </si>
  <si>
    <t>15-06-23 0:00</t>
  </si>
  <si>
    <t>16-06-23 22:00</t>
  </si>
  <si>
    <t>PAT5064</t>
  </si>
  <si>
    <t>18-04-24 0:00</t>
  </si>
  <si>
    <t>28-04-24 0:00</t>
  </si>
  <si>
    <t>15-04-24 17:00</t>
  </si>
  <si>
    <t>PAT5065</t>
  </si>
  <si>
    <t>24-01-24 0:00</t>
  </si>
  <si>
    <t>23-01-24 10:00</t>
  </si>
  <si>
    <t>PAT5066</t>
  </si>
  <si>
    <t>PAT5067</t>
  </si>
  <si>
    <t>13-08-23 0:00</t>
  </si>
  <si>
    <t>PAT5068</t>
  </si>
  <si>
    <t>29-11-23 0:00</t>
  </si>
  <si>
    <t>28-11-23 0:00</t>
  </si>
  <si>
    <t>28-11-23 21:00</t>
  </si>
  <si>
    <t>PAT5069</t>
  </si>
  <si>
    <t>PAT5070</t>
  </si>
  <si>
    <t>20-08-23 0:00</t>
  </si>
  <si>
    <t>20-08-23 7:00</t>
  </si>
  <si>
    <t>PAT5071</t>
  </si>
  <si>
    <t>15-02-23 0:00</t>
  </si>
  <si>
    <t>PAT5072</t>
  </si>
  <si>
    <t>20-11-23 0:00</t>
  </si>
  <si>
    <t>30-11-23 0:00</t>
  </si>
  <si>
    <t>18-11-23 0:00</t>
  </si>
  <si>
    <t>18-11-23 1:00</t>
  </si>
  <si>
    <t>PAT5073</t>
  </si>
  <si>
    <t>15-02-24 0:00</t>
  </si>
  <si>
    <t>19-02-24 0:00</t>
  </si>
  <si>
    <t>PAT5074</t>
  </si>
  <si>
    <t>29-09-23 5:00</t>
  </si>
  <si>
    <t>PAT5075</t>
  </si>
  <si>
    <t>PAT5076</t>
  </si>
  <si>
    <t>PAT5077</t>
  </si>
  <si>
    <t>19-11-23 0:00</t>
  </si>
  <si>
    <t>15-11-23 0:00</t>
  </si>
  <si>
    <t>15-11-23 7:00</t>
  </si>
  <si>
    <t>PAT5078</t>
  </si>
  <si>
    <t>PAT5079</t>
  </si>
  <si>
    <t>26-05-24 0:00</t>
  </si>
  <si>
    <t>22-05-24 0:00</t>
  </si>
  <si>
    <t>22-05-24 6:00</t>
  </si>
  <si>
    <t>PAT5080</t>
  </si>
  <si>
    <t>14-02-24 0:00</t>
  </si>
  <si>
    <t>PAT5081</t>
  </si>
  <si>
    <t>15-04-24 4:00</t>
  </si>
  <si>
    <t>PAT5082</t>
  </si>
  <si>
    <t>27-05-23 0:00</t>
  </si>
  <si>
    <t>25-05-23 0:00</t>
  </si>
  <si>
    <t>26-05-23 5:00</t>
  </si>
  <si>
    <t>PAT5083</t>
  </si>
  <si>
    <t>27-09-23 12:00</t>
  </si>
  <si>
    <t>PAT5084</t>
  </si>
  <si>
    <t>29-05-23 0:00</t>
  </si>
  <si>
    <t>19-05-23 12:00</t>
  </si>
  <si>
    <t>PAT5085</t>
  </si>
  <si>
    <t>23-09-23 0:00</t>
  </si>
  <si>
    <t>PAT5086</t>
  </si>
  <si>
    <t>27-09-23 0:00</t>
  </si>
  <si>
    <t>30-09-23 0:00</t>
  </si>
  <si>
    <t>24-09-23 0:00</t>
  </si>
  <si>
    <t>25-09-23 3:00</t>
  </si>
  <si>
    <t>PAT5087</t>
  </si>
  <si>
    <t>14-03-24 0:00</t>
  </si>
  <si>
    <t>27-03-24 0:00</t>
  </si>
  <si>
    <t>PAT5088</t>
  </si>
  <si>
    <t>13-02-24 0:00</t>
  </si>
  <si>
    <t>28-02-24 0:00</t>
  </si>
  <si>
    <t>PAT5089</t>
  </si>
  <si>
    <t>16-01-24 0:00</t>
  </si>
  <si>
    <t>PAT5090</t>
  </si>
  <si>
    <t>PAT5091</t>
  </si>
  <si>
    <t>22-05-23 0:00</t>
  </si>
  <si>
    <t>23-05-23 12:00</t>
  </si>
  <si>
    <t>PAT5092</t>
  </si>
  <si>
    <t>19-06-24 0:00</t>
  </si>
  <si>
    <t>PAT5093</t>
  </si>
  <si>
    <t>20-05-24 0:00</t>
  </si>
  <si>
    <t>23-05-24 0:00</t>
  </si>
  <si>
    <t>18-05-24 0:00</t>
  </si>
  <si>
    <t>19-05-24 15:00</t>
  </si>
  <si>
    <t>PAT5094</t>
  </si>
  <si>
    <t>31-03-23 15:00</t>
  </si>
  <si>
    <t>PAT5095</t>
  </si>
  <si>
    <t>18-02-23 0:00</t>
  </si>
  <si>
    <t>18-02-23 21:00</t>
  </si>
  <si>
    <t>PAT5096</t>
  </si>
  <si>
    <t>23-04-23 0:00</t>
  </si>
  <si>
    <t>28-04-23 0:00</t>
  </si>
  <si>
    <t>21-04-23 1:00</t>
  </si>
  <si>
    <t>PAT5097</t>
  </si>
  <si>
    <t>19-06-23 0:00</t>
  </si>
  <si>
    <t>PAT5098</t>
  </si>
  <si>
    <t>PAT5099</t>
  </si>
  <si>
    <t>PAT5100</t>
  </si>
  <si>
    <t>18-03-23 0:00</t>
  </si>
  <si>
    <t>PAT5101</t>
  </si>
  <si>
    <t>30-01-24 0:00</t>
  </si>
  <si>
    <t>29-01-24 6:00</t>
  </si>
  <si>
    <t>PAT5102</t>
  </si>
  <si>
    <t>27-01-24 0:00</t>
  </si>
  <si>
    <t>22-01-24 0:00</t>
  </si>
  <si>
    <t>23-01-24 23:00</t>
  </si>
  <si>
    <t>PAT5103</t>
  </si>
  <si>
    <t>24-04-24 0:00</t>
  </si>
  <si>
    <t>27-04-24 0:00</t>
  </si>
  <si>
    <t>19-04-24 0:00</t>
  </si>
  <si>
    <t>20-04-24 12:00</t>
  </si>
  <si>
    <t>PAT5104</t>
  </si>
  <si>
    <t>15-09-23 0:00</t>
  </si>
  <si>
    <t>16-09-23 0:00</t>
  </si>
  <si>
    <t>PAT5105</t>
  </si>
  <si>
    <t>18-01-23 0:00</t>
  </si>
  <si>
    <t>PAT5106</t>
  </si>
  <si>
    <t>27-04-23 0:00</t>
  </si>
  <si>
    <t>28-04-23 10:00</t>
  </si>
  <si>
    <t>PAT5107</t>
  </si>
  <si>
    <t>14-10-23 0:00</t>
  </si>
  <si>
    <t>28-09-23 11:00</t>
  </si>
  <si>
    <t>PAT5108</t>
  </si>
  <si>
    <t>PAT5109</t>
  </si>
  <si>
    <t>26-04-23 1:00</t>
  </si>
  <si>
    <t>PAT5110</t>
  </si>
  <si>
    <t>28-10-23 11:00</t>
  </si>
  <si>
    <t>PAT5111</t>
  </si>
  <si>
    <t>21-03-24 0:00</t>
  </si>
  <si>
    <t>22-03-24 0:00</t>
  </si>
  <si>
    <t>17-03-24 0:00</t>
  </si>
  <si>
    <t>17-03-24 9:00</t>
  </si>
  <si>
    <t>PAT5112</t>
  </si>
  <si>
    <t>PAT5113</t>
  </si>
  <si>
    <t>PAT5114</t>
  </si>
  <si>
    <t>PAT5115</t>
  </si>
  <si>
    <t>27-09-23 8:00</t>
  </si>
  <si>
    <t>PAT5116</t>
  </si>
  <si>
    <t>27-05-24 0:00</t>
  </si>
  <si>
    <t>25-05-24 0:00</t>
  </si>
  <si>
    <t>25-05-24 10:00</t>
  </si>
  <si>
    <t>PAT5117</t>
  </si>
  <si>
    <t>27-06-23 0:00</t>
  </si>
  <si>
    <t>27-06-23 5:00</t>
  </si>
  <si>
    <t>PAT5118</t>
  </si>
  <si>
    <t>PAT5119</t>
  </si>
  <si>
    <t>18-04-23 4:00</t>
  </si>
  <si>
    <t>PAT5120</t>
  </si>
  <si>
    <t>14-11-23 0:00</t>
  </si>
  <si>
    <t>29-10-23 0:00</t>
  </si>
  <si>
    <t>29-10-23 18:00</t>
  </si>
  <si>
    <t>PAT5121</t>
  </si>
  <si>
    <t>PAT5122</t>
  </si>
  <si>
    <t>31-07-23 0:00</t>
  </si>
  <si>
    <t>23-07-23 20:00</t>
  </si>
  <si>
    <t>PAT5123</t>
  </si>
  <si>
    <t>PAT5124</t>
  </si>
  <si>
    <t>18-01-24 0:00</t>
  </si>
  <si>
    <t>17-01-24 0:00</t>
  </si>
  <si>
    <t>17-01-24 5:00</t>
  </si>
  <si>
    <t>PAT5125</t>
  </si>
  <si>
    <t>21-06-23 0:00</t>
  </si>
  <si>
    <t>PAT5126</t>
  </si>
  <si>
    <t>28-12-22 0:00</t>
  </si>
  <si>
    <t>28-12-22 17:00</t>
  </si>
  <si>
    <t>PAT5127</t>
  </si>
  <si>
    <t>26-11-23 0:00</t>
  </si>
  <si>
    <t>26-11-23 16:00</t>
  </si>
  <si>
    <t>PAT5128</t>
  </si>
  <si>
    <t>15-05-24 0:00</t>
  </si>
  <si>
    <t>17-05-24 0:00</t>
  </si>
  <si>
    <t>14-05-24 0:00</t>
  </si>
  <si>
    <t>15-05-24 23:00</t>
  </si>
  <si>
    <t>PAT5129</t>
  </si>
  <si>
    <t>20-01-23 0:00</t>
  </si>
  <si>
    <t>15-01-23 0:00</t>
  </si>
  <si>
    <t>16-01-23 17:00</t>
  </si>
  <si>
    <t>PAT5130</t>
  </si>
  <si>
    <t>24-04-23 8:00</t>
  </si>
  <si>
    <t>PAT5131</t>
  </si>
  <si>
    <t>PAT5132</t>
  </si>
  <si>
    <t>21-11-23 0:00</t>
  </si>
  <si>
    <t>PAT5133</t>
  </si>
  <si>
    <t>PAT5134</t>
  </si>
  <si>
    <t>25-02-23 0:00</t>
  </si>
  <si>
    <t>26-02-23 6:00</t>
  </si>
  <si>
    <t>PAT5135</t>
  </si>
  <si>
    <t>17-09-23 0:00</t>
  </si>
  <si>
    <t>30-08-23 7:00</t>
  </si>
  <si>
    <t>PAT5136</t>
  </si>
  <si>
    <t>21-03-23 9:00</t>
  </si>
  <si>
    <t>PAT5137</t>
  </si>
  <si>
    <t>25-03-23 0:00</t>
  </si>
  <si>
    <t>25-03-23 20:00</t>
  </si>
  <si>
    <t>PAT5138</t>
  </si>
  <si>
    <t>PAT5139</t>
  </si>
  <si>
    <t>PAT5140</t>
  </si>
  <si>
    <t>14-05-23 0:00</t>
  </si>
  <si>
    <t>PAT5141</t>
  </si>
  <si>
    <t>20-05-23 0:00</t>
  </si>
  <si>
    <t>PAT5142</t>
  </si>
  <si>
    <t>28-04-24 1:00</t>
  </si>
  <si>
    <t>PAT5143</t>
  </si>
  <si>
    <t>14-06-23 22:00</t>
  </si>
  <si>
    <t>PAT5144</t>
  </si>
  <si>
    <t>25-09-23 0:00</t>
  </si>
  <si>
    <t>26-09-23 5:00</t>
  </si>
  <si>
    <t>PAT5145</t>
  </si>
  <si>
    <t>24-06-24 0:00</t>
  </si>
  <si>
    <t>22-06-24 0:00</t>
  </si>
  <si>
    <t>22-06-24 22:00</t>
  </si>
  <si>
    <t>PAT5146</t>
  </si>
  <si>
    <t>23-03-24 0:00</t>
  </si>
  <si>
    <t>PAT5147</t>
  </si>
  <si>
    <t>PAT5148</t>
  </si>
  <si>
    <t>25-07-23 0:00</t>
  </si>
  <si>
    <t>26-07-23 15:00</t>
  </si>
  <si>
    <t>PAT5149</t>
  </si>
  <si>
    <t>16-11-23 0:00</t>
  </si>
  <si>
    <t>27-11-23 0:00</t>
  </si>
  <si>
    <t>16-11-23 9:00</t>
  </si>
  <si>
    <t>PAT5150</t>
  </si>
  <si>
    <t>13-02-24 20:00</t>
  </si>
  <si>
    <t>PAT5151</t>
  </si>
  <si>
    <t>13-01-24 21:00</t>
  </si>
  <si>
    <t>PAT5152</t>
  </si>
  <si>
    <t>24-03-24 0:00</t>
  </si>
  <si>
    <t>21-03-24 15:00</t>
  </si>
  <si>
    <t>PAT5153</t>
  </si>
  <si>
    <t>13-06-24 0:00</t>
  </si>
  <si>
    <t>28-06-24 0:00</t>
  </si>
  <si>
    <t>PAT5154</t>
  </si>
  <si>
    <t>PAT5155</t>
  </si>
  <si>
    <t>PAT5156</t>
  </si>
  <si>
    <t>PAT5157</t>
  </si>
  <si>
    <t>19-08-23 0:00</t>
  </si>
  <si>
    <t>16-08-23 12:00</t>
  </si>
  <si>
    <t>PAT5158</t>
  </si>
  <si>
    <t>PAT5159</t>
  </si>
  <si>
    <t>13-12-23 0:00</t>
  </si>
  <si>
    <t>23-12-23 0:00</t>
  </si>
  <si>
    <t>PAT5160</t>
  </si>
  <si>
    <t>22-01-23 19:00</t>
  </si>
  <si>
    <t>PAT5161</t>
  </si>
  <si>
    <t>24-08-23 0:00</t>
  </si>
  <si>
    <t>PAT5162</t>
  </si>
  <si>
    <t>PAT5163</t>
  </si>
  <si>
    <t>13-01-23 0:00</t>
  </si>
  <si>
    <t>PAT5164</t>
  </si>
  <si>
    <t>14-03-23 0:00</t>
  </si>
  <si>
    <t>24-03-23 0:00</t>
  </si>
  <si>
    <t>13-03-23 8:00</t>
  </si>
  <si>
    <t>PAT5165</t>
  </si>
  <si>
    <t>26-02-23 13:00</t>
  </si>
  <si>
    <t>PAT5166</t>
  </si>
  <si>
    <t>21-08-23 16:00</t>
  </si>
  <si>
    <t>PAT5167</t>
  </si>
  <si>
    <t>20-03-23 0:00</t>
  </si>
  <si>
    <t>PAT5168</t>
  </si>
  <si>
    <t>PAT5169</t>
  </si>
  <si>
    <t>30-11-23 18:00</t>
  </si>
  <si>
    <t>PAT5170</t>
  </si>
  <si>
    <t>PAT5171</t>
  </si>
  <si>
    <t>20-06-24 0:00</t>
  </si>
  <si>
    <t>PAT5172</t>
  </si>
  <si>
    <t>29-08-23 0:00</t>
  </si>
  <si>
    <t>29-08-23 8:00</t>
  </si>
  <si>
    <t>PAT5173</t>
  </si>
  <si>
    <t>13-10-23 0:00</t>
  </si>
  <si>
    <t>18-10-23 0:00</t>
  </si>
  <si>
    <t>14-10-23 13:00</t>
  </si>
  <si>
    <t>PAT5174</t>
  </si>
  <si>
    <t>PAT5175</t>
  </si>
  <si>
    <t>PAT5176</t>
  </si>
  <si>
    <t>16-05-23 0:00</t>
  </si>
  <si>
    <t>26-05-23 0:00</t>
  </si>
  <si>
    <t>15-05-23 0:00</t>
  </si>
  <si>
    <t>16-05-23 11:00</t>
  </si>
  <si>
    <t>PAT5177</t>
  </si>
  <si>
    <t>29-04-24 0:00</t>
  </si>
  <si>
    <t>26-04-24 0:00</t>
  </si>
  <si>
    <t>26-04-24 12:00</t>
  </si>
  <si>
    <t>PAT5178</t>
  </si>
  <si>
    <t>PAT5179</t>
  </si>
  <si>
    <t>27-04-24 12:00</t>
  </si>
  <si>
    <t>PAT5180</t>
  </si>
  <si>
    <t>21-02-24 0:00</t>
  </si>
  <si>
    <t>18-02-24 0:00</t>
  </si>
  <si>
    <t>18-02-24 2:00</t>
  </si>
  <si>
    <t>PAT5181</t>
  </si>
  <si>
    <t>14-07-23 0:00</t>
  </si>
  <si>
    <t>13-07-23 0:00</t>
  </si>
  <si>
    <t>14-07-23 23:00</t>
  </si>
  <si>
    <t>PAT5182</t>
  </si>
  <si>
    <t>PAT5183</t>
  </si>
  <si>
    <t>PAT5184</t>
  </si>
  <si>
    <t>28-03-24 0:00</t>
  </si>
  <si>
    <t>16-03-24 14:00</t>
  </si>
  <si>
    <t>PAT5185</t>
  </si>
  <si>
    <t>28-12-23 5:00</t>
  </si>
  <si>
    <t>PAT5186</t>
  </si>
  <si>
    <t>PAT5187</t>
  </si>
  <si>
    <t>25-02-24 0:00</t>
  </si>
  <si>
    <t>23-02-24 0:00</t>
  </si>
  <si>
    <t>24-02-24 21:00</t>
  </si>
  <si>
    <t>PAT5188</t>
  </si>
  <si>
    <t>23-04-24 0:00</t>
  </si>
  <si>
    <t>18-04-24 5:00</t>
  </si>
  <si>
    <t>PAT5189</t>
  </si>
  <si>
    <t>23-02-23 0:00</t>
  </si>
  <si>
    <t>24-02-23 3:00</t>
  </si>
  <si>
    <t>PAT5190</t>
  </si>
  <si>
    <t>PAT5191</t>
  </si>
  <si>
    <t>PAT5192</t>
  </si>
  <si>
    <t>17-02-24 0:00</t>
  </si>
  <si>
    <t>15-02-24 9:00</t>
  </si>
  <si>
    <t>PAT5193</t>
  </si>
  <si>
    <t>14-12-23 0:00</t>
  </si>
  <si>
    <t>PAT5194</t>
  </si>
  <si>
    <t>26-04-23 0:00</t>
  </si>
  <si>
    <t>18-04-23 0:00</t>
  </si>
  <si>
    <t>18-04-23 20:00</t>
  </si>
  <si>
    <t>PAT5195</t>
  </si>
  <si>
    <t>PAT5196</t>
  </si>
  <si>
    <t>14-07-23 17:00</t>
  </si>
  <si>
    <t>PAT5197</t>
  </si>
  <si>
    <t>28-07-23 0:00</t>
  </si>
  <si>
    <t>14-07-23 19:00</t>
  </si>
  <si>
    <t>PAT5198</t>
  </si>
  <si>
    <t>PAT5199</t>
  </si>
  <si>
    <t>31-05-23 0:00</t>
  </si>
  <si>
    <t>25-05-23 22:00</t>
  </si>
  <si>
    <t>PAT5200</t>
  </si>
  <si>
    <t>15-03-24 0:00</t>
  </si>
  <si>
    <t>PAT5201</t>
  </si>
  <si>
    <t>19-07-23 0:00</t>
  </si>
  <si>
    <t>PAT5202</t>
  </si>
  <si>
    <t>PAT5203</t>
  </si>
  <si>
    <t>17-04-24 0:00</t>
  </si>
  <si>
    <t>PAT5204</t>
  </si>
  <si>
    <t>13-09-23 0:00</t>
  </si>
  <si>
    <t>20-09-23 0:00</t>
  </si>
  <si>
    <t>14-09-23 15:00</t>
  </si>
  <si>
    <t>PAT5205</t>
  </si>
  <si>
    <t>19-03-23 0:00</t>
  </si>
  <si>
    <t>20-03-23 7:00</t>
  </si>
  <si>
    <t>PAT5206</t>
  </si>
  <si>
    <t>29-03-24 0:00</t>
  </si>
  <si>
    <t>28-03-24 14:00</t>
  </si>
  <si>
    <t>PAT5207</t>
  </si>
  <si>
    <t>16-04-23 0:00</t>
  </si>
  <si>
    <t>PAT5208</t>
  </si>
  <si>
    <t>21-02-23 0:00</t>
  </si>
  <si>
    <t>17-02-23 0:00</t>
  </si>
  <si>
    <t>18-02-23 11:00</t>
  </si>
  <si>
    <t>PAT5209</t>
  </si>
  <si>
    <t>16-01-23 0:00</t>
  </si>
  <si>
    <t>19-01-23 0:00</t>
  </si>
  <si>
    <t>14-01-23 9:00</t>
  </si>
  <si>
    <t>PAT5210</t>
  </si>
  <si>
    <t>PAT5211</t>
  </si>
  <si>
    <t>31-08-23 0:00</t>
  </si>
  <si>
    <t>31-08-23 3:00</t>
  </si>
  <si>
    <t>PAT5212</t>
  </si>
  <si>
    <t>19-06-23 11:00</t>
  </si>
  <si>
    <t>PAT5213</t>
  </si>
  <si>
    <t>17-02-24 3:00</t>
  </si>
  <si>
    <t>PAT5214</t>
  </si>
  <si>
    <t>PAT5215</t>
  </si>
  <si>
    <t>21-05-24 0:00</t>
  </si>
  <si>
    <t>PAT5216</t>
  </si>
  <si>
    <t>PAT5217</t>
  </si>
  <si>
    <t>15-02-24 15:00</t>
  </si>
  <si>
    <t>PAT5218</t>
  </si>
  <si>
    <t>28-02-23 17:00</t>
  </si>
  <si>
    <t>PAT5219</t>
  </si>
  <si>
    <t>14-06-23 6:00</t>
  </si>
  <si>
    <t>PAT5220</t>
  </si>
  <si>
    <t>21-01-24 0:00</t>
  </si>
  <si>
    <t>21-01-24 7:00</t>
  </si>
  <si>
    <t>PAT5221</t>
  </si>
  <si>
    <t>31-12-22 0:00</t>
  </si>
  <si>
    <t>31-12-22 16:00</t>
  </si>
  <si>
    <t>PAT5222</t>
  </si>
  <si>
    <t>PAT5223</t>
  </si>
  <si>
    <t>27-09-23 19:00</t>
  </si>
  <si>
    <t>PAT5224</t>
  </si>
  <si>
    <t>13-04-24 0:00</t>
  </si>
  <si>
    <t>PAT5225</t>
  </si>
  <si>
    <t>20-10-23 0:00</t>
  </si>
  <si>
    <t>20-10-23 11:00</t>
  </si>
  <si>
    <t>PAT5226</t>
  </si>
  <si>
    <t>PAT5227</t>
  </si>
  <si>
    <t>13-05-24 0:00</t>
  </si>
  <si>
    <t>PAT5228</t>
  </si>
  <si>
    <t>PAT5229</t>
  </si>
  <si>
    <t>14-07-23 13:00</t>
  </si>
  <si>
    <t>PAT5230</t>
  </si>
  <si>
    <t>31-10-23 0:00</t>
  </si>
  <si>
    <t>30-10-23 0:00</t>
  </si>
  <si>
    <t>31-10-23 18:00</t>
  </si>
  <si>
    <t>PAT5231</t>
  </si>
  <si>
    <t>PAT5232</t>
  </si>
  <si>
    <t>28-02-23 18:00</t>
  </si>
  <si>
    <t>PAT5233</t>
  </si>
  <si>
    <t>PAT5234</t>
  </si>
  <si>
    <t>24-11-23 0:00</t>
  </si>
  <si>
    <t>18-11-23 22:00</t>
  </si>
  <si>
    <t>PAT5235</t>
  </si>
  <si>
    <t>28-02-23 0:00</t>
  </si>
  <si>
    <t>27-02-23 4:00</t>
  </si>
  <si>
    <t>PAT5236</t>
  </si>
  <si>
    <t>18-02-23 7:00</t>
  </si>
  <si>
    <t>PAT5237</t>
  </si>
  <si>
    <t>16-05-24 0:00</t>
  </si>
  <si>
    <t>29-04-24 1:00</t>
  </si>
  <si>
    <t>PAT5238</t>
  </si>
  <si>
    <t>29-05-24 0:00</t>
  </si>
  <si>
    <t>24-05-24 0:00</t>
  </si>
  <si>
    <t>24-05-24 7:00</t>
  </si>
  <si>
    <t>PAT5239</t>
  </si>
  <si>
    <t>PAT5240</t>
  </si>
  <si>
    <t>25-02-23 15:00</t>
  </si>
  <si>
    <t>PAT5241</t>
  </si>
  <si>
    <t>16-06-24 0:00</t>
  </si>
  <si>
    <t>PAT5242</t>
  </si>
  <si>
    <t>PAT5243</t>
  </si>
  <si>
    <t>PAT5244</t>
  </si>
  <si>
    <t>13-03-23 12:00</t>
  </si>
  <si>
    <t>PAT5245</t>
  </si>
  <si>
    <t>16-03-23 0:00</t>
  </si>
  <si>
    <t>PAT5246</t>
  </si>
  <si>
    <t>29-08-23 21:00</t>
  </si>
  <si>
    <t>PAT5247</t>
  </si>
  <si>
    <t>20-02-24 0:00</t>
  </si>
  <si>
    <t>16-02-24 0:00</t>
  </si>
  <si>
    <t>17-02-24 13:00</t>
  </si>
  <si>
    <t>PAT5248</t>
  </si>
  <si>
    <t>13-05-23 0:00</t>
  </si>
  <si>
    <t>28-04-23 15:00</t>
  </si>
  <si>
    <t>PAT5249</t>
  </si>
  <si>
    <t>PAT5250</t>
  </si>
  <si>
    <t>PAT5251</t>
  </si>
  <si>
    <t>28-03-23 0:00</t>
  </si>
  <si>
    <t>24-03-23 2:00</t>
  </si>
  <si>
    <t>PAT5252</t>
  </si>
  <si>
    <t>PAT5253</t>
  </si>
  <si>
    <t>27-06-24 0:00</t>
  </si>
  <si>
    <t>17-06-24 20:00</t>
  </si>
  <si>
    <t>PAT5254</t>
  </si>
  <si>
    <t>21-11-23 14:00</t>
  </si>
  <si>
    <t>PAT5255</t>
  </si>
  <si>
    <t>21-09-23 0:00</t>
  </si>
  <si>
    <t>22-09-23 21:00</t>
  </si>
  <si>
    <t>PAT5256</t>
  </si>
  <si>
    <t>26-07-23 9:00</t>
  </si>
  <si>
    <t>PAT5257</t>
  </si>
  <si>
    <t>17-11-23 0:00</t>
  </si>
  <si>
    <t>17-11-23 10:00</t>
  </si>
  <si>
    <t>PAT5258</t>
  </si>
  <si>
    <t>31-08-23 23:00</t>
  </si>
  <si>
    <t>PAT5259</t>
  </si>
  <si>
    <t>25-09-23 2:00</t>
  </si>
  <si>
    <t>PAT5260</t>
  </si>
  <si>
    <t>PAT5261</t>
  </si>
  <si>
    <t>17-05-23 0:00</t>
  </si>
  <si>
    <t>15-05-23 7:00</t>
  </si>
  <si>
    <t>PAT5262</t>
  </si>
  <si>
    <t>PAT5263</t>
  </si>
  <si>
    <t>PAT5264</t>
  </si>
  <si>
    <t>17-11-23 6:00</t>
  </si>
  <si>
    <t>PAT5265</t>
  </si>
  <si>
    <t>PAT5266</t>
  </si>
  <si>
    <t>23-01-23 0:00</t>
  </si>
  <si>
    <t>PAT5267</t>
  </si>
  <si>
    <t>PAT5268</t>
  </si>
  <si>
    <t>PAT5269</t>
  </si>
  <si>
    <t>17-03-23 0:00</t>
  </si>
  <si>
    <t>13-03-23 20:00</t>
  </si>
  <si>
    <t>PAT5270</t>
  </si>
  <si>
    <t>PAT5271</t>
  </si>
  <si>
    <t>PAT5272</t>
  </si>
  <si>
    <t>29-09-23 14:00</t>
  </si>
  <si>
    <t>PAT5273</t>
  </si>
  <si>
    <t>14-05-23 10:00</t>
  </si>
  <si>
    <t>PAT5274</t>
  </si>
  <si>
    <t>23-12-23 7:00</t>
  </si>
  <si>
    <t>PAT5275</t>
  </si>
  <si>
    <t>PAT5276</t>
  </si>
  <si>
    <t>PAT5277</t>
  </si>
  <si>
    <t>14-01-24 0:00</t>
  </si>
  <si>
    <t>PAT5278</t>
  </si>
  <si>
    <t>19-10-23 5:00</t>
  </si>
  <si>
    <t>PAT5279</t>
  </si>
  <si>
    <t>26-06-23 0:00</t>
  </si>
  <si>
    <t>PAT5280</t>
  </si>
  <si>
    <t>21-03-24 21:00</t>
  </si>
  <si>
    <t>PAT5281</t>
  </si>
  <si>
    <t>PAT5282</t>
  </si>
  <si>
    <t>21-01-23 0:00</t>
  </si>
  <si>
    <t>PAT5283</t>
  </si>
  <si>
    <t>30-10-23 5:00</t>
  </si>
  <si>
    <t>PAT5284</t>
  </si>
  <si>
    <t>17-04-23 20:00</t>
  </si>
  <si>
    <t>PAT5285</t>
  </si>
  <si>
    <t>21-05-23 0:00</t>
  </si>
  <si>
    <t>18-05-23 3:00</t>
  </si>
  <si>
    <t>PAT5286</t>
  </si>
  <si>
    <t>29-09-23 22:00</t>
  </si>
  <si>
    <t>PAT5287</t>
  </si>
  <si>
    <t>29-04-23 0:00</t>
  </si>
  <si>
    <t>28-04-23 8:00</t>
  </si>
  <si>
    <t>PAT5288</t>
  </si>
  <si>
    <t>15-04-23 2:00</t>
  </si>
  <si>
    <t>PAT5289</t>
  </si>
  <si>
    <t>PAT5290</t>
  </si>
  <si>
    <t>PAT5291</t>
  </si>
  <si>
    <t>16-10-23 0:00</t>
  </si>
  <si>
    <t>22-10-23 0:00</t>
  </si>
  <si>
    <t>PAT5292</t>
  </si>
  <si>
    <t>PAT5293</t>
  </si>
  <si>
    <t>18-12-23 0:00</t>
  </si>
  <si>
    <t>17-12-23 0:00</t>
  </si>
  <si>
    <t>17-12-23 11:00</t>
  </si>
  <si>
    <t>PAT5294</t>
  </si>
  <si>
    <t>24-07-23 0:00</t>
  </si>
  <si>
    <t>26-07-23 0:00</t>
  </si>
  <si>
    <t>PAT5295</t>
  </si>
  <si>
    <t>24-09-23 16:00</t>
  </si>
  <si>
    <t>PAT5296</t>
  </si>
  <si>
    <t>31-05-24 0:00</t>
  </si>
  <si>
    <t>PAT5297</t>
  </si>
  <si>
    <t>13-05-24 12:00</t>
  </si>
  <si>
    <t>PAT5298</t>
  </si>
  <si>
    <t>PAT5299</t>
  </si>
  <si>
    <t>22-02-23 0:00</t>
  </si>
  <si>
    <t>20-02-23 0:00</t>
  </si>
  <si>
    <t>20-02-23 11:00</t>
  </si>
  <si>
    <t>PAT5300</t>
  </si>
  <si>
    <t>PAT5301</t>
  </si>
  <si>
    <t>PAT5302</t>
  </si>
  <si>
    <t>23-10-23 0:00</t>
  </si>
  <si>
    <t>PAT5303</t>
  </si>
  <si>
    <t>PAT5304</t>
  </si>
  <si>
    <t>PAT5305</t>
  </si>
  <si>
    <t>PAT5306</t>
  </si>
  <si>
    <t>13-05-23 17:00</t>
  </si>
  <si>
    <t>PAT5307</t>
  </si>
  <si>
    <t>22-09-23 0:00</t>
  </si>
  <si>
    <t>22-09-23 12:00</t>
  </si>
  <si>
    <t>PAT5308</t>
  </si>
  <si>
    <t>PAT5309</t>
  </si>
  <si>
    <t>25-03-24 17:00</t>
  </si>
  <si>
    <t>PAT5310</t>
  </si>
  <si>
    <t>13-03-24 0:00</t>
  </si>
  <si>
    <t>PAT5311</t>
  </si>
  <si>
    <t>PAT5312</t>
  </si>
  <si>
    <t>22-04-23 2:00</t>
  </si>
  <si>
    <t>PAT5313</t>
  </si>
  <si>
    <t>17-03-23 2:00</t>
  </si>
  <si>
    <t>PAT5314</t>
  </si>
  <si>
    <t>30-05-23 0:00</t>
  </si>
  <si>
    <t>PAT5315</t>
  </si>
  <si>
    <t>PAT5316</t>
  </si>
  <si>
    <t>PAT5317</t>
  </si>
  <si>
    <t>31-05-23 5:00</t>
  </si>
  <si>
    <t>PAT5318</t>
  </si>
  <si>
    <t>PAT5319</t>
  </si>
  <si>
    <t>PAT5320</t>
  </si>
  <si>
    <t>PAT5321</t>
  </si>
  <si>
    <t>PAT5322</t>
  </si>
  <si>
    <t>PAT5323</t>
  </si>
  <si>
    <t>PAT5324</t>
  </si>
  <si>
    <t>28-12-23 0:00</t>
  </si>
  <si>
    <t>28-12-23 14:00</t>
  </si>
  <si>
    <t>PAT5325</t>
  </si>
  <si>
    <t>30-07-23 0:00</t>
  </si>
  <si>
    <t>30-07-23 18:00</t>
  </si>
  <si>
    <t>PAT5326</t>
  </si>
  <si>
    <t>14-09-23 22:00</t>
  </si>
  <si>
    <t>PAT5327</t>
  </si>
  <si>
    <t>PAT5328</t>
  </si>
  <si>
    <t>26-12-23 0:00</t>
  </si>
  <si>
    <t>27-12-23 13:00</t>
  </si>
  <si>
    <t>PAT5329</t>
  </si>
  <si>
    <t>19-02-24 7:00</t>
  </si>
  <si>
    <t>PAT5330</t>
  </si>
  <si>
    <t>PAT5331</t>
  </si>
  <si>
    <t>27-08-23 12:00</t>
  </si>
  <si>
    <t>PAT5332</t>
  </si>
  <si>
    <t>PAT5333</t>
  </si>
  <si>
    <t>30-06-23 0:00</t>
  </si>
  <si>
    <t>30-06-23 21:00</t>
  </si>
  <si>
    <t>PAT5334</t>
  </si>
  <si>
    <t>27-02-24 0:00</t>
  </si>
  <si>
    <t>22-02-24 0:00</t>
  </si>
  <si>
    <t>22-02-24 13:00</t>
  </si>
  <si>
    <t>PAT5335</t>
  </si>
  <si>
    <t>27-01-23 6:00</t>
  </si>
  <si>
    <t>PAT5336</t>
  </si>
  <si>
    <t>29-06-23 8:00</t>
  </si>
  <si>
    <t>PAT5337</t>
  </si>
  <si>
    <t>PAT5338</t>
  </si>
  <si>
    <t>26-02-24 0:00</t>
  </si>
  <si>
    <t>26-02-24 19:00</t>
  </si>
  <si>
    <t>PAT5339</t>
  </si>
  <si>
    <t>PAT5340</t>
  </si>
  <si>
    <t>27-09-23 10:00</t>
  </si>
  <si>
    <t>PAT5341</t>
  </si>
  <si>
    <t>PAT5342</t>
  </si>
  <si>
    <t>30-04-23 0:00</t>
  </si>
  <si>
    <t>17-04-23 21:00</t>
  </si>
  <si>
    <t>PAT5343</t>
  </si>
  <si>
    <t>25-01-24 15:00</t>
  </si>
  <si>
    <t>PAT5344</t>
  </si>
  <si>
    <t>PAT5345</t>
  </si>
  <si>
    <t>22-04-24 16:00</t>
  </si>
  <si>
    <t>PAT5346</t>
  </si>
  <si>
    <t>15-08-23 0:00</t>
  </si>
  <si>
    <t>16-08-23 2:00</t>
  </si>
  <si>
    <t>PAT5347</t>
  </si>
  <si>
    <t>25-07-23 14:00</t>
  </si>
  <si>
    <t>PAT5348</t>
  </si>
  <si>
    <t>PAT5349</t>
  </si>
  <si>
    <t>25-12-23 0:00</t>
  </si>
  <si>
    <t>20-12-23 0:00</t>
  </si>
  <si>
    <t>20-12-23 23:00</t>
  </si>
  <si>
    <t>PAT5350</t>
  </si>
  <si>
    <t>PAT5351</t>
  </si>
  <si>
    <t>22-08-23 6:00</t>
  </si>
  <si>
    <t>PAT5352</t>
  </si>
  <si>
    <t>18-08-23 16:00</t>
  </si>
  <si>
    <t>PAT5353</t>
  </si>
  <si>
    <t>22-01-23 12:00</t>
  </si>
  <si>
    <t>PAT5354</t>
  </si>
  <si>
    <t>17-07-23 0:00</t>
  </si>
  <si>
    <t>16-07-23 20:00</t>
  </si>
  <si>
    <t>PAT5355</t>
  </si>
  <si>
    <t>PAT5356</t>
  </si>
  <si>
    <t>PAT5357</t>
  </si>
  <si>
    <t>PAT5358</t>
  </si>
  <si>
    <t>PAT5359</t>
  </si>
  <si>
    <t>PAT5360</t>
  </si>
  <si>
    <t>24-12-23 20:00</t>
  </si>
  <si>
    <t>PAT5361</t>
  </si>
  <si>
    <t>PAT5362</t>
  </si>
  <si>
    <t>PAT5363</t>
  </si>
  <si>
    <t>PAT5364</t>
  </si>
  <si>
    <t>29-01-23 0:00</t>
  </si>
  <si>
    <t>24-01-23 0:00</t>
  </si>
  <si>
    <t>24-01-23 16:00</t>
  </si>
  <si>
    <t>PAT5365</t>
  </si>
  <si>
    <t>24-04-23 0:00</t>
  </si>
  <si>
    <t>24-04-23 20:00</t>
  </si>
  <si>
    <t>PAT5366</t>
  </si>
  <si>
    <t>25-09-23 8:00</t>
  </si>
  <si>
    <t>PAT5367</t>
  </si>
  <si>
    <t>27-06-23 12:00</t>
  </si>
  <si>
    <t>PAT5368</t>
  </si>
  <si>
    <t>PAT5369</t>
  </si>
  <si>
    <t>PAT5370</t>
  </si>
  <si>
    <t>21-04-23 10:00</t>
  </si>
  <si>
    <t>PAT5371</t>
  </si>
  <si>
    <t>PAT5372</t>
  </si>
  <si>
    <t>19-12-23 1:00</t>
  </si>
  <si>
    <t>PAT5373</t>
  </si>
  <si>
    <t>13-11-23 0:00</t>
  </si>
  <si>
    <t>14-11-23 3:00</t>
  </si>
  <si>
    <t>PAT5374</t>
  </si>
  <si>
    <t>19-03-24 0:00</t>
  </si>
  <si>
    <t>20-03-24 15:00</t>
  </si>
  <si>
    <t>PAT5375</t>
  </si>
  <si>
    <t>PAT5376</t>
  </si>
  <si>
    <t>27-04-23 13:00</t>
  </si>
  <si>
    <t>PAT5377</t>
  </si>
  <si>
    <t>28-01-24 0:00</t>
  </si>
  <si>
    <t>29-01-24 1:00</t>
  </si>
  <si>
    <t>PAT5378</t>
  </si>
  <si>
    <t>14-07-23 4:00</t>
  </si>
  <si>
    <t>PAT5379</t>
  </si>
  <si>
    <t>18-09-23 0:00</t>
  </si>
  <si>
    <t>15-09-23 12:00</t>
  </si>
  <si>
    <t>PAT5380</t>
  </si>
  <si>
    <t>19-02-23 0:00</t>
  </si>
  <si>
    <t>PAT5381</t>
  </si>
  <si>
    <t>31-03-24 0:00</t>
  </si>
  <si>
    <t>21-03-24 17:00</t>
  </si>
  <si>
    <t>PAT5382</t>
  </si>
  <si>
    <t>29-12-22 0:00</t>
  </si>
  <si>
    <t>30-12-22 11:00</t>
  </si>
  <si>
    <t>PAT5383</t>
  </si>
  <si>
    <t>30-06-24 0:00</t>
  </si>
  <si>
    <t>14-06-24 0:00</t>
  </si>
  <si>
    <t>15-06-24 21:00</t>
  </si>
  <si>
    <t>PAT5384</t>
  </si>
  <si>
    <t>17-07-23 18:00</t>
  </si>
  <si>
    <t>PAT5385</t>
  </si>
  <si>
    <t>PAT5386</t>
  </si>
  <si>
    <t>13-03-24 12:00</t>
  </si>
  <si>
    <t>PAT5387</t>
  </si>
  <si>
    <t>PAT5388</t>
  </si>
  <si>
    <t>PAT5389</t>
  </si>
  <si>
    <t>16-11-23 19:00</t>
  </si>
  <si>
    <t>PAT5390</t>
  </si>
  <si>
    <t>PAT5391</t>
  </si>
  <si>
    <t>PAT5392</t>
  </si>
  <si>
    <t>PAT5393</t>
  </si>
  <si>
    <t>13-11-23 5:00</t>
  </si>
  <si>
    <t>PAT5394</t>
  </si>
  <si>
    <t>22-02-24 16:00</t>
  </si>
  <si>
    <t>PAT5395</t>
  </si>
  <si>
    <t>16-12-23 0:00</t>
  </si>
  <si>
    <t>27-11-23 4:00</t>
  </si>
  <si>
    <t>PAT5396</t>
  </si>
  <si>
    <t>15-02-24 23:00</t>
  </si>
  <si>
    <t>PAT5397</t>
  </si>
  <si>
    <t>29-10-23 1:00</t>
  </si>
  <si>
    <t>PAT5398</t>
  </si>
  <si>
    <t>PAT5399</t>
  </si>
  <si>
    <t>14-07-23 9:00</t>
  </si>
  <si>
    <t>PAT5400</t>
  </si>
  <si>
    <t>PAT5401</t>
  </si>
  <si>
    <t>24-01-24 1:00</t>
  </si>
  <si>
    <t>PAT5402</t>
  </si>
  <si>
    <t>24-06-23 12:00</t>
  </si>
  <si>
    <t>PAT5403</t>
  </si>
  <si>
    <t>PAT5404</t>
  </si>
  <si>
    <t>18-02-24 18:00</t>
  </si>
  <si>
    <t>PAT5405</t>
  </si>
  <si>
    <t>30-12-22 0:00</t>
  </si>
  <si>
    <t>31-12-22 8:00</t>
  </si>
  <si>
    <t>PAT5406</t>
  </si>
  <si>
    <t>PAT5407</t>
  </si>
  <si>
    <t>20-10-23 20:00</t>
  </si>
  <si>
    <t>PAT5408</t>
  </si>
  <si>
    <t>PAT5409</t>
  </si>
  <si>
    <t>PAT5410</t>
  </si>
  <si>
    <t>25-11-23 22:00</t>
  </si>
  <si>
    <t>PAT5411</t>
  </si>
  <si>
    <t>20-04-24 5:00</t>
  </si>
  <si>
    <t>PAT5412</t>
  </si>
  <si>
    <t>29-03-24 8:00</t>
  </si>
  <si>
    <t>PAT5413</t>
  </si>
  <si>
    <t>24-03-24 11:00</t>
  </si>
  <si>
    <t>PAT5414</t>
  </si>
  <si>
    <t>PAT5415</t>
  </si>
  <si>
    <t>21-06-24 0:00</t>
  </si>
  <si>
    <t>PAT5416</t>
  </si>
  <si>
    <t>26-04-24 2:00</t>
  </si>
  <si>
    <t>PAT5417</t>
  </si>
  <si>
    <t>20-06-23 15:00</t>
  </si>
  <si>
    <t>PAT5418</t>
  </si>
  <si>
    <t>26-03-23 19:00</t>
  </si>
  <si>
    <t>PAT5419</t>
  </si>
  <si>
    <t>17-10-23 0:00</t>
  </si>
  <si>
    <t>17-10-23 3:00</t>
  </si>
  <si>
    <t>PAT5420</t>
  </si>
  <si>
    <t>18-06-24 0:00</t>
  </si>
  <si>
    <t>PAT5421</t>
  </si>
  <si>
    <t>PAT5422</t>
  </si>
  <si>
    <t>PAT5423</t>
  </si>
  <si>
    <t>24-08-23 19:00</t>
  </si>
  <si>
    <t>PAT5424</t>
  </si>
  <si>
    <t>14-11-23 11:00</t>
  </si>
  <si>
    <t>PAT5425</t>
  </si>
  <si>
    <t>18-08-23 6:00</t>
  </si>
  <si>
    <t>PAT5426</t>
  </si>
  <si>
    <t>20-07-23 0:00</t>
  </si>
  <si>
    <t>21-07-23 13:00</t>
  </si>
  <si>
    <t>PAT5427</t>
  </si>
  <si>
    <t>28-05-23 0:00</t>
  </si>
  <si>
    <t>PAT5428</t>
  </si>
  <si>
    <t>25-01-23 8:00</t>
  </si>
  <si>
    <t>PAT5429</t>
  </si>
  <si>
    <t>24-02-23 0:00</t>
  </si>
  <si>
    <t>13-02-23 12:00</t>
  </si>
  <si>
    <t>PAT5430</t>
  </si>
  <si>
    <t>PAT5431</t>
  </si>
  <si>
    <t>30-04-24 0:00</t>
  </si>
  <si>
    <t>30-04-24 8:00</t>
  </si>
  <si>
    <t>PAT5432</t>
  </si>
  <si>
    <t>16-03-23 13:00</t>
  </si>
  <si>
    <t>PAT5433</t>
  </si>
  <si>
    <t>PAT5434</t>
  </si>
  <si>
    <t>27-02-24 18:00</t>
  </si>
  <si>
    <t>PAT5435</t>
  </si>
  <si>
    <t>16-07-23 11:00</t>
  </si>
  <si>
    <t>PAT5436</t>
  </si>
  <si>
    <t>PAT5437</t>
  </si>
  <si>
    <t>19-05-24 0:00</t>
  </si>
  <si>
    <t>20-05-24 11:00</t>
  </si>
  <si>
    <t>PAT5438</t>
  </si>
  <si>
    <t>13-02-24 3:00</t>
  </si>
  <si>
    <t>PAT5439</t>
  </si>
  <si>
    <t>PAT5440</t>
  </si>
  <si>
    <t>29-05-23 5:00</t>
  </si>
  <si>
    <t>PAT5441</t>
  </si>
  <si>
    <t>PAT5442</t>
  </si>
  <si>
    <t>16-04-23 14:00</t>
  </si>
  <si>
    <t>PAT5443</t>
  </si>
  <si>
    <t>PAT5444</t>
  </si>
  <si>
    <t>PAT5445</t>
  </si>
  <si>
    <t>PAT5446</t>
  </si>
  <si>
    <t>PAT5447</t>
  </si>
  <si>
    <t>20-04-24 0:00</t>
  </si>
  <si>
    <t>16-04-24 16:00</t>
  </si>
  <si>
    <t>PAT5448</t>
  </si>
  <si>
    <t>20-02-23 20:00</t>
  </si>
  <si>
    <t>PAT5449</t>
  </si>
  <si>
    <t>PAT5450</t>
  </si>
  <si>
    <t>19-05-23 0:00</t>
  </si>
  <si>
    <t>PAT5451</t>
  </si>
  <si>
    <t>PAT5452</t>
  </si>
  <si>
    <t>17-05-23 23:00</t>
  </si>
  <si>
    <t>PAT5453</t>
  </si>
  <si>
    <t>17-04-24 6:00</t>
  </si>
  <si>
    <t>PAT5454</t>
  </si>
  <si>
    <t>25-11-23 0:00</t>
  </si>
  <si>
    <t>20-11-23 5:00</t>
  </si>
  <si>
    <t>PAT5455</t>
  </si>
  <si>
    <t>24-03-24 8:00</t>
  </si>
  <si>
    <t>PAT5456</t>
  </si>
  <si>
    <t>28-05-24 0:00</t>
  </si>
  <si>
    <t>28-05-24 16:00</t>
  </si>
  <si>
    <t>PAT5457</t>
  </si>
  <si>
    <t>PAT5458</t>
  </si>
  <si>
    <t>PAT5459</t>
  </si>
  <si>
    <t>PAT5460</t>
  </si>
  <si>
    <t>PAT5461</t>
  </si>
  <si>
    <t>PAT5462</t>
  </si>
  <si>
    <t>23-09-23 22:00</t>
  </si>
  <si>
    <t>PAT5463</t>
  </si>
  <si>
    <t>PAT5464</t>
  </si>
  <si>
    <t>PAT5465</t>
  </si>
  <si>
    <t>17-06-24 0:00</t>
  </si>
  <si>
    <t>15-06-24 4:00</t>
  </si>
  <si>
    <t>PAT5466</t>
  </si>
  <si>
    <t>PAT5467</t>
  </si>
  <si>
    <t>29-08-23 16:00</t>
  </si>
  <si>
    <t>PAT5468</t>
  </si>
  <si>
    <t>PAT5469</t>
  </si>
  <si>
    <t>26-03-24 0:00</t>
  </si>
  <si>
    <t>24-03-24 14:00</t>
  </si>
  <si>
    <t>PAT5470</t>
  </si>
  <si>
    <t>19-03-23 14:00</t>
  </si>
  <si>
    <t>PAT5471</t>
  </si>
  <si>
    <t>18-10-23 4:00</t>
  </si>
  <si>
    <t>PAT5472</t>
  </si>
  <si>
    <t>25-08-23 13:00</t>
  </si>
  <si>
    <t>PAT5473</t>
  </si>
  <si>
    <t>PAT5474</t>
  </si>
  <si>
    <t>PAT5475</t>
  </si>
  <si>
    <t>19-11-23 18:00</t>
  </si>
  <si>
    <t>PAT5476</t>
  </si>
  <si>
    <t>21-03-23 15:00</t>
  </si>
  <si>
    <t>PAT5477</t>
  </si>
  <si>
    <t>22-05-23 11:00</t>
  </si>
  <si>
    <t>PAT5478</t>
  </si>
  <si>
    <t>31-05-23 11:00</t>
  </si>
  <si>
    <t>PAT5479</t>
  </si>
  <si>
    <t>25-08-23 0:00</t>
  </si>
  <si>
    <t>20-08-23 21:00</t>
  </si>
  <si>
    <t>PAT5480</t>
  </si>
  <si>
    <t>24-01-24 22:00</t>
  </si>
  <si>
    <t>PAT5481</t>
  </si>
  <si>
    <t>PAT5482</t>
  </si>
  <si>
    <t>PAT5483</t>
  </si>
  <si>
    <t>PAT5484</t>
  </si>
  <si>
    <t>28-02-24 18:00</t>
  </si>
  <si>
    <t>PAT5485</t>
  </si>
  <si>
    <t>23-02-24 9:00</t>
  </si>
  <si>
    <t>PAT5486</t>
  </si>
  <si>
    <t>PAT5487</t>
  </si>
  <si>
    <t>22-04-24 0:00</t>
  </si>
  <si>
    <t>25-04-24 0:00</t>
  </si>
  <si>
    <t>19-04-24 7:00</t>
  </si>
  <si>
    <t>PAT5488</t>
  </si>
  <si>
    <t>29-02-24 9:00</t>
  </si>
  <si>
    <t>PAT5489</t>
  </si>
  <si>
    <t>PAT5490</t>
  </si>
  <si>
    <t>29-07-23 4:00</t>
  </si>
  <si>
    <t>PAT5491</t>
  </si>
  <si>
    <t>PAT5492</t>
  </si>
  <si>
    <t>PAT5493</t>
  </si>
  <si>
    <t>19-01-23 9:00</t>
  </si>
  <si>
    <t>PAT5494</t>
  </si>
  <si>
    <t>22-01-24 21:00</t>
  </si>
  <si>
    <t>PAT5495</t>
  </si>
  <si>
    <t>29-04-24 9:00</t>
  </si>
  <si>
    <t>PAT5496</t>
  </si>
  <si>
    <t>17-01-23 0:00</t>
  </si>
  <si>
    <t>PAT5497</t>
  </si>
  <si>
    <t>25-12-23 10:00</t>
  </si>
  <si>
    <t>PAT5498</t>
  </si>
  <si>
    <t>PAT5499</t>
  </si>
  <si>
    <t>PAT5500</t>
  </si>
  <si>
    <t>29-02-24 16:00</t>
  </si>
  <si>
    <t>PAT5501</t>
  </si>
  <si>
    <t>PAT5502</t>
  </si>
  <si>
    <t>PAT5503</t>
  </si>
  <si>
    <t>PAT5504</t>
  </si>
  <si>
    <t>PAT5505</t>
  </si>
  <si>
    <t>18-03-24 0:00</t>
  </si>
  <si>
    <t>19-03-24 13:00</t>
  </si>
  <si>
    <t>PAT5506</t>
  </si>
  <si>
    <t>PAT5507</t>
  </si>
  <si>
    <t>28-01-23 18:00</t>
  </si>
  <si>
    <t>PAT5508</t>
  </si>
  <si>
    <t>PAT5509</t>
  </si>
  <si>
    <t>PAT5510</t>
  </si>
  <si>
    <t>18-02-24 1:00</t>
  </si>
  <si>
    <t>PAT5511</t>
  </si>
  <si>
    <t>19-06-23 5:00</t>
  </si>
  <si>
    <t>PAT5512</t>
  </si>
  <si>
    <t>PAT5513</t>
  </si>
  <si>
    <t>PAT5514</t>
  </si>
  <si>
    <t>23-01-23 6:00</t>
  </si>
  <si>
    <t>PAT5515</t>
  </si>
  <si>
    <t>PAT5516</t>
  </si>
  <si>
    <t>24-01-23 9:00</t>
  </si>
  <si>
    <t>PAT5517</t>
  </si>
  <si>
    <t>27-03-23 0:00</t>
  </si>
  <si>
    <t>PAT5518</t>
  </si>
  <si>
    <t>14-03-24 18:00</t>
  </si>
  <si>
    <t>PAT5519</t>
  </si>
  <si>
    <t>15-05-23 21:00</t>
  </si>
  <si>
    <t>PAT5520</t>
  </si>
  <si>
    <t>PAT5521</t>
  </si>
  <si>
    <t>PAT5522</t>
  </si>
  <si>
    <t>18-02-23 8:00</t>
  </si>
  <si>
    <t>PAT5523</t>
  </si>
  <si>
    <t>19-09-23 21:00</t>
  </si>
  <si>
    <t>PAT5524</t>
  </si>
  <si>
    <t>24-01-24 14:00</t>
  </si>
  <si>
    <t>PAT5525</t>
  </si>
  <si>
    <t>PAT5526</t>
  </si>
  <si>
    <t>PAT5527</t>
  </si>
  <si>
    <t>PAT5528</t>
  </si>
  <si>
    <t>29-11-23 23:00</t>
  </si>
  <si>
    <t>PAT5529</t>
  </si>
  <si>
    <t>PAT5530</t>
  </si>
  <si>
    <t>21-01-24 17:00</t>
  </si>
  <si>
    <t>PAT5531</t>
  </si>
  <si>
    <t>PAT5532</t>
  </si>
  <si>
    <t>PAT5533</t>
  </si>
  <si>
    <t>13-09-23 23:00</t>
  </si>
  <si>
    <t>PAT5534</t>
  </si>
  <si>
    <t>20-03-23 5:00</t>
  </si>
  <si>
    <t>PAT5535</t>
  </si>
  <si>
    <t>27-04-24 11:00</t>
  </si>
  <si>
    <t>PAT5536</t>
  </si>
  <si>
    <t>20-01-23 2:00</t>
  </si>
  <si>
    <t>PAT5537</t>
  </si>
  <si>
    <t>22-02-23 14:00</t>
  </si>
  <si>
    <t>PAT5538</t>
  </si>
  <si>
    <t>23-12-23 4:00</t>
  </si>
  <si>
    <t>PAT5539</t>
  </si>
  <si>
    <t>16-08-23 14:00</t>
  </si>
  <si>
    <t>PAT5540</t>
  </si>
  <si>
    <t>PAT5541</t>
  </si>
  <si>
    <t>PAT5542</t>
  </si>
  <si>
    <t>30-01-23 21:00</t>
  </si>
  <si>
    <t>PAT5543</t>
  </si>
  <si>
    <t>PAT5544</t>
  </si>
  <si>
    <t>23-07-23 22:00</t>
  </si>
  <si>
    <t>PAT5545</t>
  </si>
  <si>
    <t>19-01-23 12:00</t>
  </si>
  <si>
    <t>PAT5546</t>
  </si>
  <si>
    <t>PAT5547</t>
  </si>
  <si>
    <t>31-08-23 9:00</t>
  </si>
  <si>
    <t>PAT5548</t>
  </si>
  <si>
    <t>PAT5549</t>
  </si>
  <si>
    <t>26-04-24 8:00</t>
  </si>
  <si>
    <t>PAT5550</t>
  </si>
  <si>
    <t>23-04-23 22:00</t>
  </si>
  <si>
    <t>PAT5551</t>
  </si>
  <si>
    <t>PAT5552</t>
  </si>
  <si>
    <t>21-04-24 4:00</t>
  </si>
  <si>
    <t>PAT5553</t>
  </si>
  <si>
    <t>18-09-23 3:00</t>
  </si>
  <si>
    <t>PAT5554</t>
  </si>
  <si>
    <t>PAT5555</t>
  </si>
  <si>
    <t>20-06-23 17:00</t>
  </si>
  <si>
    <t>PAT5556</t>
  </si>
  <si>
    <t>24-04-23 6:00</t>
  </si>
  <si>
    <t>PAT5557</t>
  </si>
  <si>
    <t>16-06-23 2:00</t>
  </si>
  <si>
    <t>PAT5558</t>
  </si>
  <si>
    <t>15-11-23 8:00</t>
  </si>
  <si>
    <t>PAT5559</t>
  </si>
  <si>
    <t>16-04-23 11:00</t>
  </si>
  <si>
    <t>PAT5560</t>
  </si>
  <si>
    <t>27-01-23 0:00</t>
  </si>
  <si>
    <t>28-01-23 5:00</t>
  </si>
  <si>
    <t>PAT5561</t>
  </si>
  <si>
    <t>23-11-23 0:00</t>
  </si>
  <si>
    <t>14-11-23 6:00</t>
  </si>
  <si>
    <t>PAT5562</t>
  </si>
  <si>
    <t>18-01-24 1:00</t>
  </si>
  <si>
    <t>PAT5563</t>
  </si>
  <si>
    <t>24-02-24 0:00</t>
  </si>
  <si>
    <t>PAT5564</t>
  </si>
  <si>
    <t>20-07-23 13:00</t>
  </si>
  <si>
    <t>PAT5565</t>
  </si>
  <si>
    <t>15-03-23 21:00</t>
  </si>
  <si>
    <t>PAT5566</t>
  </si>
  <si>
    <t>PAT5567</t>
  </si>
  <si>
    <t>PAT5568</t>
  </si>
  <si>
    <t>PAT5569</t>
  </si>
  <si>
    <t>29-04-23 11:00</t>
  </si>
  <si>
    <t>PAT5570</t>
  </si>
  <si>
    <t>PAT5571</t>
  </si>
  <si>
    <t>17-12-23 6:00</t>
  </si>
  <si>
    <t>PAT5572</t>
  </si>
  <si>
    <t>13-03-24 18:00</t>
  </si>
  <si>
    <t>PAT5573</t>
  </si>
  <si>
    <t>PAT5574</t>
  </si>
  <si>
    <t>PAT5575</t>
  </si>
  <si>
    <t>PAT5576</t>
  </si>
  <si>
    <t>PAT5577</t>
  </si>
  <si>
    <t>13-01-23 19:00</t>
  </si>
  <si>
    <t>PAT5578</t>
  </si>
  <si>
    <t>PAT5579</t>
  </si>
  <si>
    <t>15-05-24 11:00</t>
  </si>
  <si>
    <t>PAT5580</t>
  </si>
  <si>
    <t>16-04-23 4:00</t>
  </si>
  <si>
    <t>PAT5581</t>
  </si>
  <si>
    <t>15-03-24 2:00</t>
  </si>
  <si>
    <t>PAT5582</t>
  </si>
  <si>
    <t>PAT5583</t>
  </si>
  <si>
    <t>13-04-24 20:00</t>
  </si>
  <si>
    <t>PAT5584</t>
  </si>
  <si>
    <t>PAT5585</t>
  </si>
  <si>
    <t>17-03-24 21:00</t>
  </si>
  <si>
    <t>PAT5586</t>
  </si>
  <si>
    <t>26-06-23 15:00</t>
  </si>
  <si>
    <t>PAT5587</t>
  </si>
  <si>
    <t>15-06-24 0:00</t>
  </si>
  <si>
    <t>16-06-24 4:00</t>
  </si>
  <si>
    <t>PAT5588</t>
  </si>
  <si>
    <t>PAT5589</t>
  </si>
  <si>
    <t>PAT5590</t>
  </si>
  <si>
    <t>21-04-24 22:00</t>
  </si>
  <si>
    <t>PAT5591</t>
  </si>
  <si>
    <t>25-03-24 0:00</t>
  </si>
  <si>
    <t>21-03-24 7:00</t>
  </si>
  <si>
    <t>PAT5592</t>
  </si>
  <si>
    <t>27-09-23 1:00</t>
  </si>
  <si>
    <t>PAT5593</t>
  </si>
  <si>
    <t>23-11-23 14:00</t>
  </si>
  <si>
    <t>PAT5594</t>
  </si>
  <si>
    <t>14-09-23 0:00</t>
  </si>
  <si>
    <t>PAT5595</t>
  </si>
  <si>
    <t>26-03-23 5:00</t>
  </si>
  <si>
    <t>PAT5596</t>
  </si>
  <si>
    <t>25-10-23 0:00</t>
  </si>
  <si>
    <t>PAT5597</t>
  </si>
  <si>
    <t>PAT5598</t>
  </si>
  <si>
    <t>PAT5599</t>
  </si>
  <si>
    <t>19-04-24 10:00</t>
  </si>
  <si>
    <t>PAT5600</t>
  </si>
  <si>
    <t>25-01-24 20:00</t>
  </si>
  <si>
    <t>PAT5601</t>
  </si>
  <si>
    <t>PAT5602</t>
  </si>
  <si>
    <t>30-01-23 1:00</t>
  </si>
  <si>
    <t>PAT5603</t>
  </si>
  <si>
    <t>21-05-24 1:00</t>
  </si>
  <si>
    <t>PAT5604</t>
  </si>
  <si>
    <t>26-11-23 21:00</t>
  </si>
  <si>
    <t>PAT5605</t>
  </si>
  <si>
    <t>PAT5606</t>
  </si>
  <si>
    <t>13-05-24 8:00</t>
  </si>
  <si>
    <t>PAT5607</t>
  </si>
  <si>
    <t>PAT5608</t>
  </si>
  <si>
    <t>27-12-23 21:00</t>
  </si>
  <si>
    <t>PAT5609</t>
  </si>
  <si>
    <t>21-09-23 9:00</t>
  </si>
  <si>
    <t>PAT5610</t>
  </si>
  <si>
    <t>15-12-23 7:00</t>
  </si>
  <si>
    <t>PAT5611</t>
  </si>
  <si>
    <t>PAT5612</t>
  </si>
  <si>
    <t>PAT5613</t>
  </si>
  <si>
    <t>PAT5614</t>
  </si>
  <si>
    <t>25-06-24 0:00</t>
  </si>
  <si>
    <t>13-06-24 6:00</t>
  </si>
  <si>
    <t>PAT5615</t>
  </si>
  <si>
    <t>PAT5616</t>
  </si>
  <si>
    <t>28-03-23 7:00</t>
  </si>
  <si>
    <t>PAT5617</t>
  </si>
  <si>
    <t>31-08-23 7:00</t>
  </si>
  <si>
    <t>PAT5618</t>
  </si>
  <si>
    <t>17-02-24 21:00</t>
  </si>
  <si>
    <t>PAT5619</t>
  </si>
  <si>
    <t>PAT5620</t>
  </si>
  <si>
    <t>PAT5621</t>
  </si>
  <si>
    <t>28-04-24 9:00</t>
  </si>
  <si>
    <t>PAT5622</t>
  </si>
  <si>
    <t>15-05-24 1:00</t>
  </si>
  <si>
    <t>PAT5623</t>
  </si>
  <si>
    <t>PAT5624</t>
  </si>
  <si>
    <t>16-01-23 18:00</t>
  </si>
  <si>
    <t>PAT5625</t>
  </si>
  <si>
    <t>PAT5626</t>
  </si>
  <si>
    <t>25-10-23 10:00</t>
  </si>
  <si>
    <t>PAT5627</t>
  </si>
  <si>
    <t>PAT5628</t>
  </si>
  <si>
    <t>17-02-24 10:00</t>
  </si>
  <si>
    <t>PAT5629</t>
  </si>
  <si>
    <t>PAT5630</t>
  </si>
  <si>
    <t>PAT5631</t>
  </si>
  <si>
    <t>PAT5632</t>
  </si>
  <si>
    <t>27-04-24 18:00</t>
  </si>
  <si>
    <t>PAT5633</t>
  </si>
  <si>
    <t>14-12-23 11:00</t>
  </si>
  <si>
    <t>PAT5634</t>
  </si>
  <si>
    <t>PAT5635</t>
  </si>
  <si>
    <t>30-11-23 23:00</t>
  </si>
  <si>
    <t>PAT5636</t>
  </si>
  <si>
    <t>28-12-23 23:00</t>
  </si>
  <si>
    <t>PAT5637</t>
  </si>
  <si>
    <t>PAT5638</t>
  </si>
  <si>
    <t>PAT5639</t>
  </si>
  <si>
    <t>PAT5640</t>
  </si>
  <si>
    <t>PAT5641</t>
  </si>
  <si>
    <t>25-08-23 3:00</t>
  </si>
  <si>
    <t>PAT5642</t>
  </si>
  <si>
    <t>PAT5643</t>
  </si>
  <si>
    <t>18-07-23 20:00</t>
  </si>
  <si>
    <t>PAT5644</t>
  </si>
  <si>
    <t>21-11-23 5:00</t>
  </si>
  <si>
    <t>PAT5645</t>
  </si>
  <si>
    <t>30-04-23 14:00</t>
  </si>
  <si>
    <t>PAT5646</t>
  </si>
  <si>
    <t>PAT5647</t>
  </si>
  <si>
    <t>PAT5648</t>
  </si>
  <si>
    <t>PAT5649</t>
  </si>
  <si>
    <t>PAT5650</t>
  </si>
  <si>
    <t>PAT5651</t>
  </si>
  <si>
    <t>22-06-24 23:00</t>
  </si>
  <si>
    <t>PAT5652</t>
  </si>
  <si>
    <t>15-10-23 1:00</t>
  </si>
  <si>
    <t>PAT5653</t>
  </si>
  <si>
    <t>13-04-23 23:00</t>
  </si>
  <si>
    <t>PAT5654</t>
  </si>
  <si>
    <t>18-07-23 0:00</t>
  </si>
  <si>
    <t>17-07-23 4:00</t>
  </si>
  <si>
    <t>PAT5655</t>
  </si>
  <si>
    <t>28-10-23 21:00</t>
  </si>
  <si>
    <t>PAT5656</t>
  </si>
  <si>
    <t>20-08-23 9:00</t>
  </si>
  <si>
    <t>PAT5657</t>
  </si>
  <si>
    <t>PAT5658</t>
  </si>
  <si>
    <t>28-06-23 18:00</t>
  </si>
  <si>
    <t>PAT5659</t>
  </si>
  <si>
    <t>PAT5660</t>
  </si>
  <si>
    <t>PAT5661</t>
  </si>
  <si>
    <t>PAT5662</t>
  </si>
  <si>
    <t>PAT5663</t>
  </si>
  <si>
    <t>14-02-23 15:00</t>
  </si>
  <si>
    <t>PAT5664</t>
  </si>
  <si>
    <t>23-02-23 15:00</t>
  </si>
  <si>
    <t>PAT5665</t>
  </si>
  <si>
    <t>27-10-23 0:00</t>
  </si>
  <si>
    <t>25-10-23 23:00</t>
  </si>
  <si>
    <t>PAT5666</t>
  </si>
  <si>
    <t>PAT5667</t>
  </si>
  <si>
    <t>17-05-24 19:00</t>
  </si>
  <si>
    <t>PAT5668</t>
  </si>
  <si>
    <t>PAT5669</t>
  </si>
  <si>
    <t>PAT5670</t>
  </si>
  <si>
    <t>26-10-23 0:00</t>
  </si>
  <si>
    <t>16-10-23 19:00</t>
  </si>
  <si>
    <t>PAT5671</t>
  </si>
  <si>
    <t>24-04-24 20:00</t>
  </si>
  <si>
    <t>PAT5672</t>
  </si>
  <si>
    <t>30-04-24 14:00</t>
  </si>
  <si>
    <t>PAT5673</t>
  </si>
  <si>
    <t>26-03-24 10:00</t>
  </si>
  <si>
    <t>PAT5674</t>
  </si>
  <si>
    <t>16-12-23 15:00</t>
  </si>
  <si>
    <t>PAT5675</t>
  </si>
  <si>
    <t>PAT5676</t>
  </si>
  <si>
    <t>18-02-23 13:00</t>
  </si>
  <si>
    <t>PAT5677</t>
  </si>
  <si>
    <t>PAT5678</t>
  </si>
  <si>
    <t>PAT5679</t>
  </si>
  <si>
    <t>26-04-23 19:00</t>
  </si>
  <si>
    <t>PAT5680</t>
  </si>
  <si>
    <t>PAT5681</t>
  </si>
  <si>
    <t>14-02-24 4:00</t>
  </si>
  <si>
    <t>PAT5682</t>
  </si>
  <si>
    <t>18-05-24 16:00</t>
  </si>
  <si>
    <t>PAT5683</t>
  </si>
  <si>
    <t>18-03-23 8:00</t>
  </si>
  <si>
    <t>PAT5684</t>
  </si>
  <si>
    <t>23-02-23 1:00</t>
  </si>
  <si>
    <t>PAT5685</t>
  </si>
  <si>
    <t>PAT5686</t>
  </si>
  <si>
    <t>28-05-23 16:00</t>
  </si>
  <si>
    <t>PAT5687</t>
  </si>
  <si>
    <t>PAT5688</t>
  </si>
  <si>
    <t>26-03-23 17:00</t>
  </si>
  <si>
    <t>PAT5689</t>
  </si>
  <si>
    <t>PAT5690</t>
  </si>
  <si>
    <t>28-04-23 5:00</t>
  </si>
  <si>
    <t>PAT5691</t>
  </si>
  <si>
    <t>29-02-24 10:00</t>
  </si>
  <si>
    <t>PAT5692</t>
  </si>
  <si>
    <t>19-08-23 1:00</t>
  </si>
  <si>
    <t>PAT5693</t>
  </si>
  <si>
    <t>PAT5694</t>
  </si>
  <si>
    <t>PAT5695</t>
  </si>
  <si>
    <t>PAT5696</t>
  </si>
  <si>
    <t>29-03-24 1:00</t>
  </si>
  <si>
    <t>PAT5697</t>
  </si>
  <si>
    <t>31-10-23 13:00</t>
  </si>
  <si>
    <t>PAT5698</t>
  </si>
  <si>
    <t>15-03-24 3:00</t>
  </si>
  <si>
    <t>PAT5699</t>
  </si>
  <si>
    <t>22-11-23 0:00</t>
  </si>
  <si>
    <t>PAT5700</t>
  </si>
  <si>
    <t>PAT5701</t>
  </si>
  <si>
    <t>13-04-23 20:00</t>
  </si>
  <si>
    <t>PAT5702</t>
  </si>
  <si>
    <t>27-07-23 0:00</t>
  </si>
  <si>
    <t>27-07-23 12:00</t>
  </si>
  <si>
    <t>PAT5703</t>
  </si>
  <si>
    <t>PAT5704</t>
  </si>
  <si>
    <t>24-09-23 5:00</t>
  </si>
  <si>
    <t>PAT5705</t>
  </si>
  <si>
    <t>25-03-23 2:00</t>
  </si>
  <si>
    <t>PAT5706</t>
  </si>
  <si>
    <t>PAT5707</t>
  </si>
  <si>
    <t>PAT5708</t>
  </si>
  <si>
    <t>27-06-23 1:00</t>
  </si>
  <si>
    <t>PAT5709</t>
  </si>
  <si>
    <t>18-03-23 17:00</t>
  </si>
  <si>
    <t>PAT5710</t>
  </si>
  <si>
    <t>PAT5711</t>
  </si>
  <si>
    <t>PAT5712</t>
  </si>
  <si>
    <t>20-02-24 4:00</t>
  </si>
  <si>
    <t>PAT5713</t>
  </si>
  <si>
    <t>PAT5714</t>
  </si>
  <si>
    <t>22-04-24 9:00</t>
  </si>
  <si>
    <t>PAT5715</t>
  </si>
  <si>
    <t>21-10-23 19:00</t>
  </si>
  <si>
    <t>PAT5716</t>
  </si>
  <si>
    <t>PAT5717</t>
  </si>
  <si>
    <t>26-08-23 22:00</t>
  </si>
  <si>
    <t>PAT5718</t>
  </si>
  <si>
    <t>19-10-23 9:00</t>
  </si>
  <si>
    <t>PAT5719</t>
  </si>
  <si>
    <t>18-10-23 3:00</t>
  </si>
  <si>
    <t>PAT5720</t>
  </si>
  <si>
    <t>PAT5721</t>
  </si>
  <si>
    <t>PAT5722</t>
  </si>
  <si>
    <t>28-08-23 2:00</t>
  </si>
  <si>
    <t>PAT5723</t>
  </si>
  <si>
    <t>24-09-23 6:00</t>
  </si>
  <si>
    <t>PAT5724</t>
  </si>
  <si>
    <t>22-07-23 17:00</t>
  </si>
  <si>
    <t>PAT5725</t>
  </si>
  <si>
    <t>PAT5726</t>
  </si>
  <si>
    <t>28-04-23 11:00</t>
  </si>
  <si>
    <t>PAT5727</t>
  </si>
  <si>
    <t>16-08-23 16:00</t>
  </si>
  <si>
    <t>PAT5728</t>
  </si>
  <si>
    <t>31-05-23 10:00</t>
  </si>
  <si>
    <t>PAT5729</t>
  </si>
  <si>
    <t>29-09-23 18:00</t>
  </si>
  <si>
    <t>PAT5730</t>
  </si>
  <si>
    <t>21-05-23 6:00</t>
  </si>
  <si>
    <t>PAT5731</t>
  </si>
  <si>
    <t>PAT5732</t>
  </si>
  <si>
    <t>PAT5733</t>
  </si>
  <si>
    <t>22-06-23 0:00</t>
  </si>
  <si>
    <t>16-06-23 9:00</t>
  </si>
  <si>
    <t>PAT5734</t>
  </si>
  <si>
    <t>PAT5735</t>
  </si>
  <si>
    <t>18-10-23 10:00</t>
  </si>
  <si>
    <t>PAT5736</t>
  </si>
  <si>
    <t>PAT5737</t>
  </si>
  <si>
    <t>PAT5738</t>
  </si>
  <si>
    <t>23-04-24 2:00</t>
  </si>
  <si>
    <t>PAT5739</t>
  </si>
  <si>
    <t>PAT5740</t>
  </si>
  <si>
    <t>13-02-24 17:00</t>
  </si>
  <si>
    <t>PAT5741</t>
  </si>
  <si>
    <t>PAT5742</t>
  </si>
  <si>
    <t>27-05-24 20:00</t>
  </si>
  <si>
    <t>PAT5743</t>
  </si>
  <si>
    <t>18-05-24 18:00</t>
  </si>
  <si>
    <t>PAT5744</t>
  </si>
  <si>
    <t>22-03-24 5:00</t>
  </si>
  <si>
    <t>PAT5745</t>
  </si>
  <si>
    <t>22-03-23 20:00</t>
  </si>
  <si>
    <t>PAT5746</t>
  </si>
  <si>
    <t>PAT5747</t>
  </si>
  <si>
    <t>15-03-24 4:00</t>
  </si>
  <si>
    <t>PAT5748</t>
  </si>
  <si>
    <t>24-11-23 23:00</t>
  </si>
  <si>
    <t>PAT5749</t>
  </si>
  <si>
    <t>PAT5750</t>
  </si>
  <si>
    <t>26-01-23 4:00</t>
  </si>
  <si>
    <t>PAT5751</t>
  </si>
  <si>
    <t>30-03-23 16:00</t>
  </si>
  <si>
    <t>PAT5752</t>
  </si>
  <si>
    <t>PAT5753</t>
  </si>
  <si>
    <t>20-01-23 4:00</t>
  </si>
  <si>
    <t>PAT5754</t>
  </si>
  <si>
    <t>29-09-23 8:00</t>
  </si>
  <si>
    <t>PAT5755</t>
  </si>
  <si>
    <t>PAT5756</t>
  </si>
  <si>
    <t>30-06-23 16:00</t>
  </si>
  <si>
    <t>PAT5757</t>
  </si>
  <si>
    <t>25-04-24 15:00</t>
  </si>
  <si>
    <t>PAT5758</t>
  </si>
  <si>
    <t>PAT5759</t>
  </si>
  <si>
    <t>23-03-24 20:00</t>
  </si>
  <si>
    <t>PAT5760</t>
  </si>
  <si>
    <t>PAT5761</t>
  </si>
  <si>
    <t>PAT5762</t>
  </si>
  <si>
    <t>21-03-24 19:00</t>
  </si>
  <si>
    <t>PAT5763</t>
  </si>
  <si>
    <t>PAT5764</t>
  </si>
  <si>
    <t>PAT5765</t>
  </si>
  <si>
    <t>23-04-24 8:00</t>
  </si>
  <si>
    <t>PAT5766</t>
  </si>
  <si>
    <t>22-12-23 1:00</t>
  </si>
  <si>
    <t>PAT5767</t>
  </si>
  <si>
    <t>22-02-24 22:00</t>
  </si>
  <si>
    <t>PAT5768</t>
  </si>
  <si>
    <t>PAT5769</t>
  </si>
  <si>
    <t>25-11-23 21:00</t>
  </si>
  <si>
    <t>PAT5770</t>
  </si>
  <si>
    <t>14-04-23 1:00</t>
  </si>
  <si>
    <t>PAT5771</t>
  </si>
  <si>
    <t>PAT5772</t>
  </si>
  <si>
    <t>PAT5773</t>
  </si>
  <si>
    <t>25-02-24 23:00</t>
  </si>
  <si>
    <t>PAT5774</t>
  </si>
  <si>
    <t>21-05-24 10:00</t>
  </si>
  <si>
    <t>PAT5775</t>
  </si>
  <si>
    <t>19-10-23 10:00</t>
  </si>
  <si>
    <t>PAT5776</t>
  </si>
  <si>
    <t>PAT5777</t>
  </si>
  <si>
    <t>PAT5778</t>
  </si>
  <si>
    <t>PAT5779</t>
  </si>
  <si>
    <t>PAT5780</t>
  </si>
  <si>
    <t>PAT5781</t>
  </si>
  <si>
    <t>PAT5782</t>
  </si>
  <si>
    <t>24-11-23 18:00</t>
  </si>
  <si>
    <t>PAT5783</t>
  </si>
  <si>
    <t>26-04-23 23:00</t>
  </si>
  <si>
    <t>PAT5784</t>
  </si>
  <si>
    <t>17-02-24 8:00</t>
  </si>
  <si>
    <t>PAT5785</t>
  </si>
  <si>
    <t>PAT5786</t>
  </si>
  <si>
    <t>PAT5787</t>
  </si>
  <si>
    <t>17-04-24 4:00</t>
  </si>
  <si>
    <t>PAT5788</t>
  </si>
  <si>
    <t>PAT5789</t>
  </si>
  <si>
    <t>24-02-23 10:00</t>
  </si>
  <si>
    <t>PAT5790</t>
  </si>
  <si>
    <t>PAT5791</t>
  </si>
  <si>
    <t>14-06-24 17:00</t>
  </si>
  <si>
    <t>PAT5792</t>
  </si>
  <si>
    <t>PAT5793</t>
  </si>
  <si>
    <t>24-05-24 13:00</t>
  </si>
  <si>
    <t>PAT5794</t>
  </si>
  <si>
    <t>29-03-24 17:00</t>
  </si>
  <si>
    <t>PAT5795</t>
  </si>
  <si>
    <t>18-02-23 5:00</t>
  </si>
  <si>
    <t>PAT5796</t>
  </si>
  <si>
    <t>24-07-23 8:00</t>
  </si>
  <si>
    <t>PAT5797</t>
  </si>
  <si>
    <t>PAT5798</t>
  </si>
  <si>
    <t>16-05-23 9:00</t>
  </si>
  <si>
    <t>PAT5799</t>
  </si>
  <si>
    <t>PAT5800</t>
  </si>
  <si>
    <t>21-03-24 4:00</t>
  </si>
  <si>
    <t>PAT5801</t>
  </si>
  <si>
    <t>PAT5802</t>
  </si>
  <si>
    <t>PAT5803</t>
  </si>
  <si>
    <t>26-01-23 11:00</t>
  </si>
  <si>
    <t>PAT5804</t>
  </si>
  <si>
    <t>PAT5805</t>
  </si>
  <si>
    <t>PAT5806</t>
  </si>
  <si>
    <t>14-11-23 17:00</t>
  </si>
  <si>
    <t>PAT5807</t>
  </si>
  <si>
    <t>PAT5808</t>
  </si>
  <si>
    <t>18-02-24 13:00</t>
  </si>
  <si>
    <t>PAT5809</t>
  </si>
  <si>
    <t>PAT5810</t>
  </si>
  <si>
    <t>16-08-23 23:00</t>
  </si>
  <si>
    <t>PAT5811</t>
  </si>
  <si>
    <t>26-04-23 8:00</t>
  </si>
  <si>
    <t>PAT5812</t>
  </si>
  <si>
    <t>14-04-24 15:00</t>
  </si>
  <si>
    <t>PAT5813</t>
  </si>
  <si>
    <t>PAT5814</t>
  </si>
  <si>
    <t>PAT5815</t>
  </si>
  <si>
    <t>23-05-24 1:00</t>
  </si>
  <si>
    <t>PAT5816</t>
  </si>
  <si>
    <t>26-10-23 3:00</t>
  </si>
  <si>
    <t>PAT5817</t>
  </si>
  <si>
    <t>PAT5818</t>
  </si>
  <si>
    <t>PAT5819</t>
  </si>
  <si>
    <t>25-02-24 3:00</t>
  </si>
  <si>
    <t>PAT5820</t>
  </si>
  <si>
    <t>PAT5821</t>
  </si>
  <si>
    <t>PAT5822</t>
  </si>
  <si>
    <t>PAT5823</t>
  </si>
  <si>
    <t>PAT5824</t>
  </si>
  <si>
    <t>24-05-23 12:00</t>
  </si>
  <si>
    <t>PAT5825</t>
  </si>
  <si>
    <t>24-01-24 3:00</t>
  </si>
  <si>
    <t>PAT5826</t>
  </si>
  <si>
    <t>PAT5827</t>
  </si>
  <si>
    <t>PAT5828</t>
  </si>
  <si>
    <t>PAT5829</t>
  </si>
  <si>
    <t>13-03-23 18:00</t>
  </si>
  <si>
    <t>PAT5830</t>
  </si>
  <si>
    <t>PAT5831</t>
  </si>
  <si>
    <t>27-02-24 15:00</t>
  </si>
  <si>
    <t>PAT5832</t>
  </si>
  <si>
    <t>21-12-23 0:00</t>
  </si>
  <si>
    <t>13-12-23 21:00</t>
  </si>
  <si>
    <t>PAT5833</t>
  </si>
  <si>
    <t>31-05-24 16:00</t>
  </si>
  <si>
    <t>PAT5834</t>
  </si>
  <si>
    <t>29-09-23 3:00</t>
  </si>
  <si>
    <t>PAT5835</t>
  </si>
  <si>
    <t>31-12-22 23:00</t>
  </si>
  <si>
    <t>PAT5836</t>
  </si>
  <si>
    <t>PAT5837</t>
  </si>
  <si>
    <t>PAT5838</t>
  </si>
  <si>
    <t>14-05-24 5:00</t>
  </si>
  <si>
    <t>PAT5839</t>
  </si>
  <si>
    <t>PAT5840</t>
  </si>
  <si>
    <t>PAT5841</t>
  </si>
  <si>
    <t>PAT5842</t>
  </si>
  <si>
    <t>18-12-23 9:00</t>
  </si>
  <si>
    <t>PAT5843</t>
  </si>
  <si>
    <t>PAT5844</t>
  </si>
  <si>
    <t>22-01-24 4:00</t>
  </si>
  <si>
    <t>PAT5845</t>
  </si>
  <si>
    <t>PAT5846</t>
  </si>
  <si>
    <t>23-11-23 15:00</t>
  </si>
  <si>
    <t>PAT5847</t>
  </si>
  <si>
    <t>PAT5848</t>
  </si>
  <si>
    <t>PAT5849</t>
  </si>
  <si>
    <t>27-01-24 2:00</t>
  </si>
  <si>
    <t>PAT5850</t>
  </si>
  <si>
    <t>26-08-23 5:00</t>
  </si>
  <si>
    <t>PAT5851</t>
  </si>
  <si>
    <t>23-02-24 6:00</t>
  </si>
  <si>
    <t>PAT5852</t>
  </si>
  <si>
    <t>14-02-23 19:00</t>
  </si>
  <si>
    <t>PAT5853</t>
  </si>
  <si>
    <t>18-11-23 20:00</t>
  </si>
  <si>
    <t>PAT5854</t>
  </si>
  <si>
    <t>28-04-24 21:00</t>
  </si>
  <si>
    <t>PAT5855</t>
  </si>
  <si>
    <t>21-01-24 6:00</t>
  </si>
  <si>
    <t>PAT5856</t>
  </si>
  <si>
    <t>31-01-24 12:00</t>
  </si>
  <si>
    <t>PAT5857</t>
  </si>
  <si>
    <t>PAT5858</t>
  </si>
  <si>
    <t>20-05-24 1:00</t>
  </si>
  <si>
    <t>PAT5859</t>
  </si>
  <si>
    <t>PAT5860</t>
  </si>
  <si>
    <t>PAT5861</t>
  </si>
  <si>
    <t>25-05-24 19:00</t>
  </si>
  <si>
    <t>PAT5862</t>
  </si>
  <si>
    <t>PAT5863</t>
  </si>
  <si>
    <t>PAT5864</t>
  </si>
  <si>
    <t>PAT5865</t>
  </si>
  <si>
    <t>13-04-23 16:00</t>
  </si>
  <si>
    <t>PAT5866</t>
  </si>
  <si>
    <t>23-06-24 0:00</t>
  </si>
  <si>
    <t>21-06-24 16:00</t>
  </si>
  <si>
    <t>PAT5867</t>
  </si>
  <si>
    <t>PAT5868</t>
  </si>
  <si>
    <t>PAT5869</t>
  </si>
  <si>
    <t>26-05-23 14:00</t>
  </si>
  <si>
    <t>PAT5870</t>
  </si>
  <si>
    <t>21-02-24 8:00</t>
  </si>
  <si>
    <t>PAT5871</t>
  </si>
  <si>
    <t>PAT5872</t>
  </si>
  <si>
    <t>16-03-23 23:00</t>
  </si>
  <si>
    <t>PAT5873</t>
  </si>
  <si>
    <t>22-04-24 11:00</t>
  </si>
  <si>
    <t>PAT5874</t>
  </si>
  <si>
    <t>PAT5875</t>
  </si>
  <si>
    <t>PAT5876</t>
  </si>
  <si>
    <t>PAT5877</t>
  </si>
  <si>
    <t>23-03-23 3:00</t>
  </si>
  <si>
    <t>PAT5878</t>
  </si>
  <si>
    <t>30-11-23 2:00</t>
  </si>
  <si>
    <t>PAT5879</t>
  </si>
  <si>
    <t>20-01-24 15:00</t>
  </si>
  <si>
    <t>PAT5880</t>
  </si>
  <si>
    <t>17-11-23 11:00</t>
  </si>
  <si>
    <t>PAT5881</t>
  </si>
  <si>
    <t>PAT5882</t>
  </si>
  <si>
    <t>PAT5883</t>
  </si>
  <si>
    <t>PAT5884</t>
  </si>
  <si>
    <t>28-08-23 1:00</t>
  </si>
  <si>
    <t>PAT5885</t>
  </si>
  <si>
    <t>17-10-23 22:00</t>
  </si>
  <si>
    <t>PAT5886</t>
  </si>
  <si>
    <t>PAT5887</t>
  </si>
  <si>
    <t>PAT5888</t>
  </si>
  <si>
    <t>20-03-24 1:00</t>
  </si>
  <si>
    <t>PAT5889</t>
  </si>
  <si>
    <t>PAT5890</t>
  </si>
  <si>
    <t>PAT5891</t>
  </si>
  <si>
    <t>30-03-24 0:00</t>
  </si>
  <si>
    <t>27-03-24 20:00</t>
  </si>
  <si>
    <t>PAT5892</t>
  </si>
  <si>
    <t>19-06-23 7:00</t>
  </si>
  <si>
    <t>PAT5893</t>
  </si>
  <si>
    <t>30-10-23 14:00</t>
  </si>
  <si>
    <t>PAT5894</t>
  </si>
  <si>
    <t>26-01-23 10:00</t>
  </si>
  <si>
    <t>PAT5895</t>
  </si>
  <si>
    <t>17-02-23 16:00</t>
  </si>
  <si>
    <t>PAT5896</t>
  </si>
  <si>
    <t>26-11-23 3:00</t>
  </si>
  <si>
    <t>PAT5897</t>
  </si>
  <si>
    <t>28-02-23 8:00</t>
  </si>
  <si>
    <t>PAT5898</t>
  </si>
  <si>
    <t>28-10-23 4:00</t>
  </si>
  <si>
    <t>PAT5899</t>
  </si>
  <si>
    <t>29-12-23 10:00</t>
  </si>
  <si>
    <t>PAT5900</t>
  </si>
  <si>
    <t>19-01-24 0:00</t>
  </si>
  <si>
    <t>20-01-24 22:00</t>
  </si>
  <si>
    <t>PAT5901</t>
  </si>
  <si>
    <t>17-03-24 18:00</t>
  </si>
  <si>
    <t>PAT5902</t>
  </si>
  <si>
    <t>27-05-23 6:00</t>
  </si>
  <si>
    <t>PAT5903</t>
  </si>
  <si>
    <t>PAT5904</t>
  </si>
  <si>
    <t>21-02-24 15:00</t>
  </si>
  <si>
    <t>PAT5905</t>
  </si>
  <si>
    <t>PAT5906</t>
  </si>
  <si>
    <t>25-06-23 3:00</t>
  </si>
  <si>
    <t>PAT5907</t>
  </si>
  <si>
    <t>25-06-23 21:00</t>
  </si>
  <si>
    <t>PAT5908</t>
  </si>
  <si>
    <t>PAT5909</t>
  </si>
  <si>
    <t>28-01-24 6:00</t>
  </si>
  <si>
    <t>PAT5910</t>
  </si>
  <si>
    <t>PAT5911</t>
  </si>
  <si>
    <t>20-05-24 6:00</t>
  </si>
  <si>
    <t>PAT5912</t>
  </si>
  <si>
    <t>25-05-23 14:00</t>
  </si>
  <si>
    <t>PAT5913</t>
  </si>
  <si>
    <t>24-08-23 7:00</t>
  </si>
  <si>
    <t>PAT5914</t>
  </si>
  <si>
    <t>18-04-24 9:00</t>
  </si>
  <si>
    <t>PAT5915</t>
  </si>
  <si>
    <t>14-09-23 9:00</t>
  </si>
  <si>
    <t>PAT5916</t>
  </si>
  <si>
    <t>PAT5917</t>
  </si>
  <si>
    <t>15-09-23 2:00</t>
  </si>
  <si>
    <t>PAT5918</t>
  </si>
  <si>
    <t>PAT5919</t>
  </si>
  <si>
    <t>19-04-24 14:00</t>
  </si>
  <si>
    <t>PAT5920</t>
  </si>
  <si>
    <t>18-10-23 13:00</t>
  </si>
  <si>
    <t>PAT5921</t>
  </si>
  <si>
    <t>PAT5922</t>
  </si>
  <si>
    <t>18-03-23 4:00</t>
  </si>
  <si>
    <t>PAT5923</t>
  </si>
  <si>
    <t>29-03-24 19:00</t>
  </si>
  <si>
    <t>PAT5924</t>
  </si>
  <si>
    <t>16-12-23 9:00</t>
  </si>
  <si>
    <t>PAT5925</t>
  </si>
  <si>
    <t>30-10-23 16:00</t>
  </si>
  <si>
    <t>PAT5926</t>
  </si>
  <si>
    <t>PAT5927</t>
  </si>
  <si>
    <t>14-09-23 17:00</t>
  </si>
  <si>
    <t>PAT5928</t>
  </si>
  <si>
    <t>PAT5929</t>
  </si>
  <si>
    <t>PAT5930</t>
  </si>
  <si>
    <t>19-07-23 21:00</t>
  </si>
  <si>
    <t>PAT5931</t>
  </si>
  <si>
    <t>PAT5932</t>
  </si>
  <si>
    <t>PAT5933</t>
  </si>
  <si>
    <t>18-04-23 21:00</t>
  </si>
  <si>
    <t>PAT5934</t>
  </si>
  <si>
    <t>PAT5935</t>
  </si>
  <si>
    <t>22-01-24 18:00</t>
  </si>
  <si>
    <t>PAT5936</t>
  </si>
  <si>
    <t>29-12-23 15:00</t>
  </si>
  <si>
    <t>PAT5937</t>
  </si>
  <si>
    <t>25-10-23 5:00</t>
  </si>
  <si>
    <t>PAT5938</t>
  </si>
  <si>
    <t>27-10-23 13:00</t>
  </si>
  <si>
    <t>PAT5939</t>
  </si>
  <si>
    <t>22-01-23 9:00</t>
  </si>
  <si>
    <t>PAT5940</t>
  </si>
  <si>
    <t>PAT5941</t>
  </si>
  <si>
    <t>PAT5942</t>
  </si>
  <si>
    <t>PAT5943</t>
  </si>
  <si>
    <t>19-02-23 7:00</t>
  </si>
  <si>
    <t>PAT5944</t>
  </si>
  <si>
    <t>22-05-24 11:00</t>
  </si>
  <si>
    <t>PAT5945</t>
  </si>
  <si>
    <t>21-10-23 5:00</t>
  </si>
  <si>
    <t>PAT5946</t>
  </si>
  <si>
    <t>21-08-23 6:00</t>
  </si>
  <si>
    <t>PAT5947</t>
  </si>
  <si>
    <t>23-12-23 21:00</t>
  </si>
  <si>
    <t>PAT5948</t>
  </si>
  <si>
    <t>PAT5949</t>
  </si>
  <si>
    <t>PAT5950</t>
  </si>
  <si>
    <t>13-09-23 11:00</t>
  </si>
  <si>
    <t>PAT5951</t>
  </si>
  <si>
    <t>18-05-23 23:00</t>
  </si>
  <si>
    <t>PAT5952</t>
  </si>
  <si>
    <t>PAT5953</t>
  </si>
  <si>
    <t>PAT5954</t>
  </si>
  <si>
    <t>PAT5955</t>
  </si>
  <si>
    <t>25-03-24 6:00</t>
  </si>
  <si>
    <t>PAT5956</t>
  </si>
  <si>
    <t>31-01-23 17:00</t>
  </si>
  <si>
    <t>PAT5957</t>
  </si>
  <si>
    <t>PAT5958</t>
  </si>
  <si>
    <t>PAT5959</t>
  </si>
  <si>
    <t>PAT5960</t>
  </si>
  <si>
    <t>29-10-23 20:00</t>
  </si>
  <si>
    <t>PAT5961</t>
  </si>
  <si>
    <t>26-11-23 20:00</t>
  </si>
  <si>
    <t>PAT5962</t>
  </si>
  <si>
    <t>PAT5963</t>
  </si>
  <si>
    <t>PAT5964</t>
  </si>
  <si>
    <t>21-07-23 15:00</t>
  </si>
  <si>
    <t>PAT5965</t>
  </si>
  <si>
    <t>16-05-23 3:00</t>
  </si>
  <si>
    <t>PAT5966</t>
  </si>
  <si>
    <t>PAT5967</t>
  </si>
  <si>
    <t>25-05-24 21:00</t>
  </si>
  <si>
    <t>PAT5968</t>
  </si>
  <si>
    <t>PAT5969</t>
  </si>
  <si>
    <t>15-06-23 6:00</t>
  </si>
  <si>
    <t>PAT5970</t>
  </si>
  <si>
    <t>18-09-23 22:00</t>
  </si>
  <si>
    <t>PAT5971</t>
  </si>
  <si>
    <t>PAT5972</t>
  </si>
  <si>
    <t>30-10-23 23:00</t>
  </si>
  <si>
    <t>PAT5973</t>
  </si>
  <si>
    <t>PAT5974</t>
  </si>
  <si>
    <t>29-04-23 9:00</t>
  </si>
  <si>
    <t>PAT5975</t>
  </si>
  <si>
    <t>19-04-24 4:00</t>
  </si>
  <si>
    <t>PAT5976</t>
  </si>
  <si>
    <t>19-03-23 20:00</t>
  </si>
  <si>
    <t>PAT5977</t>
  </si>
  <si>
    <t>25-05-23 20:00</t>
  </si>
  <si>
    <t>PAT5978</t>
  </si>
  <si>
    <t>17-08-23 17:00</t>
  </si>
  <si>
    <t>PAT5979</t>
  </si>
  <si>
    <t>PAT5980</t>
  </si>
  <si>
    <t>PAT5981</t>
  </si>
  <si>
    <t>PAT5982</t>
  </si>
  <si>
    <t>PAT5983</t>
  </si>
  <si>
    <t>16-01-23 12:00</t>
  </si>
  <si>
    <t>PAT5984</t>
  </si>
  <si>
    <t>PAT5985</t>
  </si>
  <si>
    <t>PAT5986</t>
  </si>
  <si>
    <t>PAT5987</t>
  </si>
  <si>
    <t>PAT5988</t>
  </si>
  <si>
    <t>22-09-23 6:00</t>
  </si>
  <si>
    <t>PAT5989</t>
  </si>
  <si>
    <t>22-01-24 7:00</t>
  </si>
  <si>
    <t>PAT5990</t>
  </si>
  <si>
    <t>13-01-24 9:00</t>
  </si>
  <si>
    <t>PAT5991</t>
  </si>
  <si>
    <t>19-04-23 8:00</t>
  </si>
  <si>
    <t>PAT5992</t>
  </si>
  <si>
    <t>PAT5993</t>
  </si>
  <si>
    <t>27-04-24 4:00</t>
  </si>
  <si>
    <t>PAT5994</t>
  </si>
  <si>
    <t>21-01-23 15:00</t>
  </si>
  <si>
    <t>PAT5995</t>
  </si>
  <si>
    <t>30-11-23 9:00</t>
  </si>
  <si>
    <t>PAT5996</t>
  </si>
  <si>
    <t>PAT5997</t>
  </si>
  <si>
    <t>PAT5998</t>
  </si>
  <si>
    <t>PAT5999</t>
  </si>
  <si>
    <t>Healthcare Analytics Questions</t>
  </si>
  <si>
    <t>1. What is the average length of hospital stay for different age groups?</t>
  </si>
  <si>
    <t>2. Which departments have the highest patient inflow per month?</t>
  </si>
  <si>
    <t>3. Which diseases or conditions are most frequently diagnosed?</t>
  </si>
  <si>
    <t>4. What is the average treatment cost for different diseases?</t>
  </si>
  <si>
    <t>5. Is there a seasonal trend in the number of hospital admissions?</t>
  </si>
  <si>
    <t>6. Which medications are most commonly prescribed by department?</t>
  </si>
  <si>
    <t>7. What percentage of patients have insurance coverage?</t>
  </si>
  <si>
    <t>8. How many emergency cases were handled in the last 12 months?</t>
  </si>
  <si>
    <t>Operational &amp; Quality Control Questions</t>
  </si>
  <si>
    <t>9. What is the doctor-to-patient ratio in each department?</t>
  </si>
  <si>
    <t>10. Which diagnostic tests have the highest rejection or error rate?</t>
  </si>
  <si>
    <t>11. What is the average waiting time for patients from appointment to consultation?</t>
  </si>
  <si>
    <t>12. How does staff utilization rate vary by shift and department?</t>
  </si>
  <si>
    <t>Q1.</t>
  </si>
  <si>
    <t>1=11</t>
  </si>
  <si>
    <t>12=22</t>
  </si>
  <si>
    <t>34=45</t>
  </si>
  <si>
    <t>23=33</t>
  </si>
  <si>
    <t>46=56</t>
  </si>
  <si>
    <t>57=67</t>
  </si>
  <si>
    <t>68=78</t>
  </si>
  <si>
    <t>79=89</t>
  </si>
  <si>
    <t>Month</t>
  </si>
  <si>
    <t>Q4.</t>
  </si>
  <si>
    <t>Disease</t>
  </si>
  <si>
    <t>Average Treatment Cost</t>
  </si>
  <si>
    <t>Count of Medication</t>
  </si>
  <si>
    <t>Grand Total</t>
  </si>
  <si>
    <t>Row Labels</t>
  </si>
  <si>
    <t>Column Labels</t>
  </si>
  <si>
    <t>Q7.</t>
  </si>
  <si>
    <t>Count of Patient ID</t>
  </si>
  <si>
    <t>Count of Doctor</t>
  </si>
  <si>
    <t>Q10.</t>
  </si>
  <si>
    <t>Sum of Stay Duration (days)</t>
  </si>
  <si>
    <t>Count of Admission Date</t>
  </si>
  <si>
    <t>Count of Discharge Date</t>
  </si>
  <si>
    <t>Q12.</t>
  </si>
  <si>
    <t>Staff Utilization Rate</t>
  </si>
  <si>
    <t>Some Question which are important, those answers are written in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</si>
</sst>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">
    <font>
      <sz val="11"/>
      <color theme="1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Aptos Narrow"/>
    </font>
    <font>
      <sz val="13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14" fontId="3" fillId="0" borderId="0" xfId="0" applyNumberFormat="1" applyFo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3" fillId="0" borderId="0" xfId="0" applyFont="1" applyAlignment="1">
      <alignment horizontal="left" vertical="center"/>
    </xf>
    <xf numFmtId="16" fontId="0" fillId="0" borderId="0" xfId="0" applyNumberFormat="1" applyFont="1" applyAlignment="1"/>
    <xf numFmtId="22" fontId="2" fillId="0" borderId="0" xfId="0" applyNumberFormat="1" applyFont="1" applyAlignment="1">
      <alignment horizontal="right"/>
    </xf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4" fontId="0" fillId="0" borderId="0" xfId="0" applyNumberFormat="1" applyFont="1" applyAlignment="1"/>
    <xf numFmtId="0" fontId="1" fillId="0" borderId="0" xfId="0" applyFont="1" applyFill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4.871934606483" createdVersion="8" refreshedVersion="8" minRefreshableVersion="3" recordCount="1000" xr:uid="{2DA79C50-4268-409B-B654-269F33730EEE}">
  <cacheSource type="worksheet">
    <worksheetSource ref="A1:V1001" sheet="Healthcare_LifeSciences_Data"/>
  </cacheSource>
  <cacheFields count="22">
    <cacheField name="Patient ID" numFmtId="0">
      <sharedItems count="1000">
        <s v="PAT5000"/>
        <s v="PAT5001"/>
        <s v="PAT5002"/>
        <s v="PAT5003"/>
        <s v="PAT5004"/>
        <s v="PAT5005"/>
        <s v="PAT5006"/>
        <s v="PAT5007"/>
        <s v="PAT5008"/>
        <s v="PAT5009"/>
        <s v="PAT5010"/>
        <s v="PAT5011"/>
        <s v="PAT5012"/>
        <s v="PAT5013"/>
        <s v="PAT5014"/>
        <s v="PAT5015"/>
        <s v="PAT5016"/>
        <s v="PAT5017"/>
        <s v="PAT5018"/>
        <s v="PAT5019"/>
        <s v="PAT5020"/>
        <s v="PAT5021"/>
        <s v="PAT5022"/>
        <s v="PAT5023"/>
        <s v="PAT5024"/>
        <s v="PAT5025"/>
        <s v="PAT5026"/>
        <s v="PAT5027"/>
        <s v="PAT5028"/>
        <s v="PAT5029"/>
        <s v="PAT5030"/>
        <s v="PAT5031"/>
        <s v="PAT5032"/>
        <s v="PAT5033"/>
        <s v="PAT5034"/>
        <s v="PAT5035"/>
        <s v="PAT5036"/>
        <s v="PAT5037"/>
        <s v="PAT5038"/>
        <s v="PAT5039"/>
        <s v="PAT5040"/>
        <s v="PAT5041"/>
        <s v="PAT5042"/>
        <s v="PAT5043"/>
        <s v="PAT5044"/>
        <s v="PAT5045"/>
        <s v="PAT5046"/>
        <s v="PAT5047"/>
        <s v="PAT5048"/>
        <s v="PAT5049"/>
        <s v="PAT5050"/>
        <s v="PAT5051"/>
        <s v="PAT5052"/>
        <s v="PAT5053"/>
        <s v="PAT5054"/>
        <s v="PAT5055"/>
        <s v="PAT5056"/>
        <s v="PAT5057"/>
        <s v="PAT5058"/>
        <s v="PAT5059"/>
        <s v="PAT5060"/>
        <s v="PAT5061"/>
        <s v="PAT5062"/>
        <s v="PAT5063"/>
        <s v="PAT5064"/>
        <s v="PAT5065"/>
        <s v="PAT5066"/>
        <s v="PAT5067"/>
        <s v="PAT5068"/>
        <s v="PAT5069"/>
        <s v="PAT5070"/>
        <s v="PAT5071"/>
        <s v="PAT5072"/>
        <s v="PAT5073"/>
        <s v="PAT5074"/>
        <s v="PAT5075"/>
        <s v="PAT5076"/>
        <s v="PAT5077"/>
        <s v="PAT5078"/>
        <s v="PAT5079"/>
        <s v="PAT5080"/>
        <s v="PAT5081"/>
        <s v="PAT5082"/>
        <s v="PAT5083"/>
        <s v="PAT5084"/>
        <s v="PAT5085"/>
        <s v="PAT5086"/>
        <s v="PAT5087"/>
        <s v="PAT5088"/>
        <s v="PAT5089"/>
        <s v="PAT5090"/>
        <s v="PAT5091"/>
        <s v="PAT5092"/>
        <s v="PAT5093"/>
        <s v="PAT5094"/>
        <s v="PAT5095"/>
        <s v="PAT5096"/>
        <s v="PAT5097"/>
        <s v="PAT5098"/>
        <s v="PAT5099"/>
        <s v="PAT5100"/>
        <s v="PAT5101"/>
        <s v="PAT5102"/>
        <s v="PAT5103"/>
        <s v="PAT5104"/>
        <s v="PAT5105"/>
        <s v="PAT5106"/>
        <s v="PAT5107"/>
        <s v="PAT5108"/>
        <s v="PAT5109"/>
        <s v="PAT5110"/>
        <s v="PAT5111"/>
        <s v="PAT5112"/>
        <s v="PAT5113"/>
        <s v="PAT5114"/>
        <s v="PAT5115"/>
        <s v="PAT5116"/>
        <s v="PAT5117"/>
        <s v="PAT5118"/>
        <s v="PAT5119"/>
        <s v="PAT5120"/>
        <s v="PAT5121"/>
        <s v="PAT5122"/>
        <s v="PAT5123"/>
        <s v="PAT5124"/>
        <s v="PAT5125"/>
        <s v="PAT5126"/>
        <s v="PAT5127"/>
        <s v="PAT5128"/>
        <s v="PAT5129"/>
        <s v="PAT5130"/>
        <s v="PAT5131"/>
        <s v="PAT5132"/>
        <s v="PAT5133"/>
        <s v="PAT5134"/>
        <s v="PAT5135"/>
        <s v="PAT5136"/>
        <s v="PAT5137"/>
        <s v="PAT5138"/>
        <s v="PAT5139"/>
        <s v="PAT5140"/>
        <s v="PAT5141"/>
        <s v="PAT5142"/>
        <s v="PAT5143"/>
        <s v="PAT5144"/>
        <s v="PAT5145"/>
        <s v="PAT5146"/>
        <s v="PAT5147"/>
        <s v="PAT5148"/>
        <s v="PAT5149"/>
        <s v="PAT5150"/>
        <s v="PAT5151"/>
        <s v="PAT5152"/>
        <s v="PAT5153"/>
        <s v="PAT5154"/>
        <s v="PAT5155"/>
        <s v="PAT5156"/>
        <s v="PAT5157"/>
        <s v="PAT5158"/>
        <s v="PAT5159"/>
        <s v="PAT5160"/>
        <s v="PAT5161"/>
        <s v="PAT5162"/>
        <s v="PAT5163"/>
        <s v="PAT5164"/>
        <s v="PAT5165"/>
        <s v="PAT5166"/>
        <s v="PAT5167"/>
        <s v="PAT5168"/>
        <s v="PAT5169"/>
        <s v="PAT5170"/>
        <s v="PAT5171"/>
        <s v="PAT5172"/>
        <s v="PAT5173"/>
        <s v="PAT5174"/>
        <s v="PAT5175"/>
        <s v="PAT5176"/>
        <s v="PAT5177"/>
        <s v="PAT5178"/>
        <s v="PAT5179"/>
        <s v="PAT5180"/>
        <s v="PAT5181"/>
        <s v="PAT5182"/>
        <s v="PAT5183"/>
        <s v="PAT5184"/>
        <s v="PAT5185"/>
        <s v="PAT5186"/>
        <s v="PAT5187"/>
        <s v="PAT5188"/>
        <s v="PAT5189"/>
        <s v="PAT5190"/>
        <s v="PAT5191"/>
        <s v="PAT5192"/>
        <s v="PAT5193"/>
        <s v="PAT5194"/>
        <s v="PAT5195"/>
        <s v="PAT5196"/>
        <s v="PAT5197"/>
        <s v="PAT5198"/>
        <s v="PAT5199"/>
        <s v="PAT5200"/>
        <s v="PAT5201"/>
        <s v="PAT5202"/>
        <s v="PAT5203"/>
        <s v="PAT5204"/>
        <s v="PAT5205"/>
        <s v="PAT5206"/>
        <s v="PAT5207"/>
        <s v="PAT5208"/>
        <s v="PAT5209"/>
        <s v="PAT5210"/>
        <s v="PAT5211"/>
        <s v="PAT5212"/>
        <s v="PAT5213"/>
        <s v="PAT5214"/>
        <s v="PAT5215"/>
        <s v="PAT5216"/>
        <s v="PAT5217"/>
        <s v="PAT5218"/>
        <s v="PAT5219"/>
        <s v="PAT5220"/>
        <s v="PAT5221"/>
        <s v="PAT5222"/>
        <s v="PAT5223"/>
        <s v="PAT5224"/>
        <s v="PAT5225"/>
        <s v="PAT5226"/>
        <s v="PAT5227"/>
        <s v="PAT5228"/>
        <s v="PAT5229"/>
        <s v="PAT5230"/>
        <s v="PAT5231"/>
        <s v="PAT5232"/>
        <s v="PAT5233"/>
        <s v="PAT5234"/>
        <s v="PAT5235"/>
        <s v="PAT5236"/>
        <s v="PAT5237"/>
        <s v="PAT5238"/>
        <s v="PAT5239"/>
        <s v="PAT5240"/>
        <s v="PAT5241"/>
        <s v="PAT5242"/>
        <s v="PAT5243"/>
        <s v="PAT5244"/>
        <s v="PAT5245"/>
        <s v="PAT5246"/>
        <s v="PAT5247"/>
        <s v="PAT5248"/>
        <s v="PAT5249"/>
        <s v="PAT5250"/>
        <s v="PAT5251"/>
        <s v="PAT5252"/>
        <s v="PAT5253"/>
        <s v="PAT5254"/>
        <s v="PAT5255"/>
        <s v="PAT5256"/>
        <s v="PAT5257"/>
        <s v="PAT5258"/>
        <s v="PAT5259"/>
        <s v="PAT5260"/>
        <s v="PAT5261"/>
        <s v="PAT5262"/>
        <s v="PAT5263"/>
        <s v="PAT5264"/>
        <s v="PAT5265"/>
        <s v="PAT5266"/>
        <s v="PAT5267"/>
        <s v="PAT5268"/>
        <s v="PAT5269"/>
        <s v="PAT5270"/>
        <s v="PAT5271"/>
        <s v="PAT5272"/>
        <s v="PAT5273"/>
        <s v="PAT5274"/>
        <s v="PAT5275"/>
        <s v="PAT5276"/>
        <s v="PAT5277"/>
        <s v="PAT5278"/>
        <s v="PAT5279"/>
        <s v="PAT5280"/>
        <s v="PAT5281"/>
        <s v="PAT5282"/>
        <s v="PAT5283"/>
        <s v="PAT5284"/>
        <s v="PAT5285"/>
        <s v="PAT5286"/>
        <s v="PAT5287"/>
        <s v="PAT5288"/>
        <s v="PAT5289"/>
        <s v="PAT5290"/>
        <s v="PAT5291"/>
        <s v="PAT5292"/>
        <s v="PAT5293"/>
        <s v="PAT5294"/>
        <s v="PAT5295"/>
        <s v="PAT5296"/>
        <s v="PAT5297"/>
        <s v="PAT5298"/>
        <s v="PAT5299"/>
        <s v="PAT5300"/>
        <s v="PAT5301"/>
        <s v="PAT5302"/>
        <s v="PAT5303"/>
        <s v="PAT5304"/>
        <s v="PAT5305"/>
        <s v="PAT5306"/>
        <s v="PAT5307"/>
        <s v="PAT5308"/>
        <s v="PAT5309"/>
        <s v="PAT5310"/>
        <s v="PAT5311"/>
        <s v="PAT5312"/>
        <s v="PAT5313"/>
        <s v="PAT5314"/>
        <s v="PAT5315"/>
        <s v="PAT5316"/>
        <s v="PAT5317"/>
        <s v="PAT5318"/>
        <s v="PAT5319"/>
        <s v="PAT5320"/>
        <s v="PAT5321"/>
        <s v="PAT5322"/>
        <s v="PAT5323"/>
        <s v="PAT5324"/>
        <s v="PAT5325"/>
        <s v="PAT5326"/>
        <s v="PAT5327"/>
        <s v="PAT5328"/>
        <s v="PAT5329"/>
        <s v="PAT5330"/>
        <s v="PAT5331"/>
        <s v="PAT5332"/>
        <s v="PAT5333"/>
        <s v="PAT5334"/>
        <s v="PAT5335"/>
        <s v="PAT5336"/>
        <s v="PAT5337"/>
        <s v="PAT5338"/>
        <s v="PAT5339"/>
        <s v="PAT5340"/>
        <s v="PAT5341"/>
        <s v="PAT5342"/>
        <s v="PAT5343"/>
        <s v="PAT5344"/>
        <s v="PAT5345"/>
        <s v="PAT5346"/>
        <s v="PAT5347"/>
        <s v="PAT5348"/>
        <s v="PAT5349"/>
        <s v="PAT5350"/>
        <s v="PAT5351"/>
        <s v="PAT5352"/>
        <s v="PAT5353"/>
        <s v="PAT5354"/>
        <s v="PAT5355"/>
        <s v="PAT5356"/>
        <s v="PAT5357"/>
        <s v="PAT5358"/>
        <s v="PAT5359"/>
        <s v="PAT5360"/>
        <s v="PAT5361"/>
        <s v="PAT5362"/>
        <s v="PAT5363"/>
        <s v="PAT5364"/>
        <s v="PAT5365"/>
        <s v="PAT5366"/>
        <s v="PAT5367"/>
        <s v="PAT5368"/>
        <s v="PAT5369"/>
        <s v="PAT5370"/>
        <s v="PAT5371"/>
        <s v="PAT5372"/>
        <s v="PAT5373"/>
        <s v="PAT5374"/>
        <s v="PAT5375"/>
        <s v="PAT5376"/>
        <s v="PAT5377"/>
        <s v="PAT5378"/>
        <s v="PAT5379"/>
        <s v="PAT5380"/>
        <s v="PAT5381"/>
        <s v="PAT5382"/>
        <s v="PAT5383"/>
        <s v="PAT5384"/>
        <s v="PAT5385"/>
        <s v="PAT5386"/>
        <s v="PAT5387"/>
        <s v="PAT5388"/>
        <s v="PAT5389"/>
        <s v="PAT5390"/>
        <s v="PAT5391"/>
        <s v="PAT5392"/>
        <s v="PAT5393"/>
        <s v="PAT5394"/>
        <s v="PAT5395"/>
        <s v="PAT5396"/>
        <s v="PAT5397"/>
        <s v="PAT5398"/>
        <s v="PAT5399"/>
        <s v="PAT5400"/>
        <s v="PAT5401"/>
        <s v="PAT5402"/>
        <s v="PAT5403"/>
        <s v="PAT5404"/>
        <s v="PAT5405"/>
        <s v="PAT5406"/>
        <s v="PAT5407"/>
        <s v="PAT5408"/>
        <s v="PAT5409"/>
        <s v="PAT5410"/>
        <s v="PAT5411"/>
        <s v="PAT5412"/>
        <s v="PAT5413"/>
        <s v="PAT5414"/>
        <s v="PAT5415"/>
        <s v="PAT5416"/>
        <s v="PAT5417"/>
        <s v="PAT5418"/>
        <s v="PAT5419"/>
        <s v="PAT5420"/>
        <s v="PAT5421"/>
        <s v="PAT5422"/>
        <s v="PAT5423"/>
        <s v="PAT5424"/>
        <s v="PAT5425"/>
        <s v="PAT5426"/>
        <s v="PAT5427"/>
        <s v="PAT5428"/>
        <s v="PAT5429"/>
        <s v="PAT5430"/>
        <s v="PAT5431"/>
        <s v="PAT5432"/>
        <s v="PAT5433"/>
        <s v="PAT5434"/>
        <s v="PAT5435"/>
        <s v="PAT5436"/>
        <s v="PAT5437"/>
        <s v="PAT5438"/>
        <s v="PAT5439"/>
        <s v="PAT5440"/>
        <s v="PAT5441"/>
        <s v="PAT5442"/>
        <s v="PAT5443"/>
        <s v="PAT5444"/>
        <s v="PAT5445"/>
        <s v="PAT5446"/>
        <s v="PAT5447"/>
        <s v="PAT5448"/>
        <s v="PAT5449"/>
        <s v="PAT5450"/>
        <s v="PAT5451"/>
        <s v="PAT5452"/>
        <s v="PAT5453"/>
        <s v="PAT5454"/>
        <s v="PAT5455"/>
        <s v="PAT5456"/>
        <s v="PAT5457"/>
        <s v="PAT5458"/>
        <s v="PAT5459"/>
        <s v="PAT5460"/>
        <s v="PAT5461"/>
        <s v="PAT5462"/>
        <s v="PAT5463"/>
        <s v="PAT5464"/>
        <s v="PAT5465"/>
        <s v="PAT5466"/>
        <s v="PAT5467"/>
        <s v="PAT5468"/>
        <s v="PAT5469"/>
        <s v="PAT5470"/>
        <s v="PAT5471"/>
        <s v="PAT5472"/>
        <s v="PAT5473"/>
        <s v="PAT5474"/>
        <s v="PAT5475"/>
        <s v="PAT5476"/>
        <s v="PAT5477"/>
        <s v="PAT5478"/>
        <s v="PAT5479"/>
        <s v="PAT5480"/>
        <s v="PAT5481"/>
        <s v="PAT5482"/>
        <s v="PAT5483"/>
        <s v="PAT5484"/>
        <s v="PAT5485"/>
        <s v="PAT5486"/>
        <s v="PAT5487"/>
        <s v="PAT5488"/>
        <s v="PAT5489"/>
        <s v="PAT5490"/>
        <s v="PAT5491"/>
        <s v="PAT5492"/>
        <s v="PAT5493"/>
        <s v="PAT5494"/>
        <s v="PAT5495"/>
        <s v="PAT5496"/>
        <s v="PAT5497"/>
        <s v="PAT5498"/>
        <s v="PAT5499"/>
        <s v="PAT5500"/>
        <s v="PAT5501"/>
        <s v="PAT5502"/>
        <s v="PAT5503"/>
        <s v="PAT5504"/>
        <s v="PAT5505"/>
        <s v="PAT5506"/>
        <s v="PAT5507"/>
        <s v="PAT5508"/>
        <s v="PAT5509"/>
        <s v="PAT5510"/>
        <s v="PAT5511"/>
        <s v="PAT5512"/>
        <s v="PAT5513"/>
        <s v="PAT5514"/>
        <s v="PAT5515"/>
        <s v="PAT5516"/>
        <s v="PAT5517"/>
        <s v="PAT5518"/>
        <s v="PAT5519"/>
        <s v="PAT5520"/>
        <s v="PAT5521"/>
        <s v="PAT5522"/>
        <s v="PAT5523"/>
        <s v="PAT5524"/>
        <s v="PAT5525"/>
        <s v="PAT5526"/>
        <s v="PAT5527"/>
        <s v="PAT5528"/>
        <s v="PAT5529"/>
        <s v="PAT5530"/>
        <s v="PAT5531"/>
        <s v="PAT5532"/>
        <s v="PAT5533"/>
        <s v="PAT5534"/>
        <s v="PAT5535"/>
        <s v="PAT5536"/>
        <s v="PAT5537"/>
        <s v="PAT5538"/>
        <s v="PAT5539"/>
        <s v="PAT5540"/>
        <s v="PAT5541"/>
        <s v="PAT5542"/>
        <s v="PAT5543"/>
        <s v="PAT5544"/>
        <s v="PAT5545"/>
        <s v="PAT5546"/>
        <s v="PAT5547"/>
        <s v="PAT5548"/>
        <s v="PAT5549"/>
        <s v="PAT5550"/>
        <s v="PAT5551"/>
        <s v="PAT5552"/>
        <s v="PAT5553"/>
        <s v="PAT5554"/>
        <s v="PAT5555"/>
        <s v="PAT5556"/>
        <s v="PAT5557"/>
        <s v="PAT5558"/>
        <s v="PAT5559"/>
        <s v="PAT5560"/>
        <s v="PAT5561"/>
        <s v="PAT5562"/>
        <s v="PAT5563"/>
        <s v="PAT5564"/>
        <s v="PAT5565"/>
        <s v="PAT5566"/>
        <s v="PAT5567"/>
        <s v="PAT5568"/>
        <s v="PAT5569"/>
        <s v="PAT5570"/>
        <s v="PAT5571"/>
        <s v="PAT5572"/>
        <s v="PAT5573"/>
        <s v="PAT5574"/>
        <s v="PAT5575"/>
        <s v="PAT5576"/>
        <s v="PAT5577"/>
        <s v="PAT5578"/>
        <s v="PAT5579"/>
        <s v="PAT5580"/>
        <s v="PAT5581"/>
        <s v="PAT5582"/>
        <s v="PAT5583"/>
        <s v="PAT5584"/>
        <s v="PAT5585"/>
        <s v="PAT5586"/>
        <s v="PAT5587"/>
        <s v="PAT5588"/>
        <s v="PAT5589"/>
        <s v="PAT5590"/>
        <s v="PAT5591"/>
        <s v="PAT5592"/>
        <s v="PAT5593"/>
        <s v="PAT5594"/>
        <s v="PAT5595"/>
        <s v="PAT5596"/>
        <s v="PAT5597"/>
        <s v="PAT5598"/>
        <s v="PAT5599"/>
        <s v="PAT5600"/>
        <s v="PAT5601"/>
        <s v="PAT5602"/>
        <s v="PAT5603"/>
        <s v="PAT5604"/>
        <s v="PAT5605"/>
        <s v="PAT5606"/>
        <s v="PAT5607"/>
        <s v="PAT5608"/>
        <s v="PAT5609"/>
        <s v="PAT5610"/>
        <s v="PAT5611"/>
        <s v="PAT5612"/>
        <s v="PAT5613"/>
        <s v="PAT5614"/>
        <s v="PAT5615"/>
        <s v="PAT5616"/>
        <s v="PAT5617"/>
        <s v="PAT5618"/>
        <s v="PAT5619"/>
        <s v="PAT5620"/>
        <s v="PAT5621"/>
        <s v="PAT5622"/>
        <s v="PAT5623"/>
        <s v="PAT5624"/>
        <s v="PAT5625"/>
        <s v="PAT5626"/>
        <s v="PAT5627"/>
        <s v="PAT5628"/>
        <s v="PAT5629"/>
        <s v="PAT5630"/>
        <s v="PAT5631"/>
        <s v="PAT5632"/>
        <s v="PAT5633"/>
        <s v="PAT5634"/>
        <s v="PAT5635"/>
        <s v="PAT5636"/>
        <s v="PAT5637"/>
        <s v="PAT5638"/>
        <s v="PAT5639"/>
        <s v="PAT5640"/>
        <s v="PAT5641"/>
        <s v="PAT5642"/>
        <s v="PAT5643"/>
        <s v="PAT5644"/>
        <s v="PAT5645"/>
        <s v="PAT5646"/>
        <s v="PAT5647"/>
        <s v="PAT5648"/>
        <s v="PAT5649"/>
        <s v="PAT5650"/>
        <s v="PAT5651"/>
        <s v="PAT5652"/>
        <s v="PAT5653"/>
        <s v="PAT5654"/>
        <s v="PAT5655"/>
        <s v="PAT5656"/>
        <s v="PAT5657"/>
        <s v="PAT5658"/>
        <s v="PAT5659"/>
        <s v="PAT5660"/>
        <s v="PAT5661"/>
        <s v="PAT5662"/>
        <s v="PAT5663"/>
        <s v="PAT5664"/>
        <s v="PAT5665"/>
        <s v="PAT5666"/>
        <s v="PAT5667"/>
        <s v="PAT5668"/>
        <s v="PAT5669"/>
        <s v="PAT5670"/>
        <s v="PAT5671"/>
        <s v="PAT5672"/>
        <s v="PAT5673"/>
        <s v="PAT5674"/>
        <s v="PAT5675"/>
        <s v="PAT5676"/>
        <s v="PAT5677"/>
        <s v="PAT5678"/>
        <s v="PAT5679"/>
        <s v="PAT5680"/>
        <s v="PAT5681"/>
        <s v="PAT5682"/>
        <s v="PAT5683"/>
        <s v="PAT5684"/>
        <s v="PAT5685"/>
        <s v="PAT5686"/>
        <s v="PAT5687"/>
        <s v="PAT5688"/>
        <s v="PAT5689"/>
        <s v="PAT5690"/>
        <s v="PAT5691"/>
        <s v="PAT5692"/>
        <s v="PAT5693"/>
        <s v="PAT5694"/>
        <s v="PAT5695"/>
        <s v="PAT5696"/>
        <s v="PAT5697"/>
        <s v="PAT5698"/>
        <s v="PAT5699"/>
        <s v="PAT5700"/>
        <s v="PAT5701"/>
        <s v="PAT5702"/>
        <s v="PAT5703"/>
        <s v="PAT5704"/>
        <s v="PAT5705"/>
        <s v="PAT5706"/>
        <s v="PAT5707"/>
        <s v="PAT5708"/>
        <s v="PAT5709"/>
        <s v="PAT5710"/>
        <s v="PAT5711"/>
        <s v="PAT5712"/>
        <s v="PAT5713"/>
        <s v="PAT5714"/>
        <s v="PAT5715"/>
        <s v="PAT5716"/>
        <s v="PAT5717"/>
        <s v="PAT5718"/>
        <s v="PAT5719"/>
        <s v="PAT5720"/>
        <s v="PAT5721"/>
        <s v="PAT5722"/>
        <s v="PAT5723"/>
        <s v="PAT5724"/>
        <s v="PAT5725"/>
        <s v="PAT5726"/>
        <s v="PAT5727"/>
        <s v="PAT5728"/>
        <s v="PAT5729"/>
        <s v="PAT5730"/>
        <s v="PAT5731"/>
        <s v="PAT5732"/>
        <s v="PAT5733"/>
        <s v="PAT5734"/>
        <s v="PAT5735"/>
        <s v="PAT5736"/>
        <s v="PAT5737"/>
        <s v="PAT5738"/>
        <s v="PAT5739"/>
        <s v="PAT5740"/>
        <s v="PAT5741"/>
        <s v="PAT5742"/>
        <s v="PAT5743"/>
        <s v="PAT5744"/>
        <s v="PAT5745"/>
        <s v="PAT5746"/>
        <s v="PAT5747"/>
        <s v="PAT5748"/>
        <s v="PAT5749"/>
        <s v="PAT5750"/>
        <s v="PAT5751"/>
        <s v="PAT5752"/>
        <s v="PAT5753"/>
        <s v="PAT5754"/>
        <s v="PAT5755"/>
        <s v="PAT5756"/>
        <s v="PAT5757"/>
        <s v="PAT5758"/>
        <s v="PAT5759"/>
        <s v="PAT5760"/>
        <s v="PAT5761"/>
        <s v="PAT5762"/>
        <s v="PAT5763"/>
        <s v="PAT5764"/>
        <s v="PAT5765"/>
        <s v="PAT5766"/>
        <s v="PAT5767"/>
        <s v="PAT5768"/>
        <s v="PAT5769"/>
        <s v="PAT5770"/>
        <s v="PAT5771"/>
        <s v="PAT5772"/>
        <s v="PAT5773"/>
        <s v="PAT5774"/>
        <s v="PAT5775"/>
        <s v="PAT5776"/>
        <s v="PAT5777"/>
        <s v="PAT5778"/>
        <s v="PAT5779"/>
        <s v="PAT5780"/>
        <s v="PAT5781"/>
        <s v="PAT5782"/>
        <s v="PAT5783"/>
        <s v="PAT5784"/>
        <s v="PAT5785"/>
        <s v="PAT5786"/>
        <s v="PAT5787"/>
        <s v="PAT5788"/>
        <s v="PAT5789"/>
        <s v="PAT5790"/>
        <s v="PAT5791"/>
        <s v="PAT5792"/>
        <s v="PAT5793"/>
        <s v="PAT5794"/>
        <s v="PAT5795"/>
        <s v="PAT5796"/>
        <s v="PAT5797"/>
        <s v="PAT5798"/>
        <s v="PAT5799"/>
        <s v="PAT5800"/>
        <s v="PAT5801"/>
        <s v="PAT5802"/>
        <s v="PAT5803"/>
        <s v="PAT5804"/>
        <s v="PAT5805"/>
        <s v="PAT5806"/>
        <s v="PAT5807"/>
        <s v="PAT5808"/>
        <s v="PAT5809"/>
        <s v="PAT5810"/>
        <s v="PAT5811"/>
        <s v="PAT5812"/>
        <s v="PAT5813"/>
        <s v="PAT5814"/>
        <s v="PAT5815"/>
        <s v="PAT5816"/>
        <s v="PAT5817"/>
        <s v="PAT5818"/>
        <s v="PAT5819"/>
        <s v="PAT5820"/>
        <s v="PAT5821"/>
        <s v="PAT5822"/>
        <s v="PAT5823"/>
        <s v="PAT5824"/>
        <s v="PAT5825"/>
        <s v="PAT5826"/>
        <s v="PAT5827"/>
        <s v="PAT5828"/>
        <s v="PAT5829"/>
        <s v="PAT5830"/>
        <s v="PAT5831"/>
        <s v="PAT5832"/>
        <s v="PAT5833"/>
        <s v="PAT5834"/>
        <s v="PAT5835"/>
        <s v="PAT5836"/>
        <s v="PAT5837"/>
        <s v="PAT5838"/>
        <s v="PAT5839"/>
        <s v="PAT5840"/>
        <s v="PAT5841"/>
        <s v="PAT5842"/>
        <s v="PAT5843"/>
        <s v="PAT5844"/>
        <s v="PAT5845"/>
        <s v="PAT5846"/>
        <s v="PAT5847"/>
        <s v="PAT5848"/>
        <s v="PAT5849"/>
        <s v="PAT5850"/>
        <s v="PAT5851"/>
        <s v="PAT5852"/>
        <s v="PAT5853"/>
        <s v="PAT5854"/>
        <s v="PAT5855"/>
        <s v="PAT5856"/>
        <s v="PAT5857"/>
        <s v="PAT5858"/>
        <s v="PAT5859"/>
        <s v="PAT5860"/>
        <s v="PAT5861"/>
        <s v="PAT5862"/>
        <s v="PAT5863"/>
        <s v="PAT5864"/>
        <s v="PAT5865"/>
        <s v="PAT5866"/>
        <s v="PAT5867"/>
        <s v="PAT5868"/>
        <s v="PAT5869"/>
        <s v="PAT5870"/>
        <s v="PAT5871"/>
        <s v="PAT5872"/>
        <s v="PAT5873"/>
        <s v="PAT5874"/>
        <s v="PAT5875"/>
        <s v="PAT5876"/>
        <s v="PAT5877"/>
        <s v="PAT5878"/>
        <s v="PAT5879"/>
        <s v="PAT5880"/>
        <s v="PAT5881"/>
        <s v="PAT5882"/>
        <s v="PAT5883"/>
        <s v="PAT5884"/>
        <s v="PAT5885"/>
        <s v="PAT5886"/>
        <s v="PAT5887"/>
        <s v="PAT5888"/>
        <s v="PAT5889"/>
        <s v="PAT5890"/>
        <s v="PAT5891"/>
        <s v="PAT5892"/>
        <s v="PAT5893"/>
        <s v="PAT5894"/>
        <s v="PAT5895"/>
        <s v="PAT5896"/>
        <s v="PAT5897"/>
        <s v="PAT5898"/>
        <s v="PAT5899"/>
        <s v="PAT5900"/>
        <s v="PAT5901"/>
        <s v="PAT5902"/>
        <s v="PAT5903"/>
        <s v="PAT5904"/>
        <s v="PAT5905"/>
        <s v="PAT5906"/>
        <s v="PAT5907"/>
        <s v="PAT5908"/>
        <s v="PAT5909"/>
        <s v="PAT5910"/>
        <s v="PAT5911"/>
        <s v="PAT5912"/>
        <s v="PAT5913"/>
        <s v="PAT5914"/>
        <s v="PAT5915"/>
        <s v="PAT5916"/>
        <s v="PAT5917"/>
        <s v="PAT5918"/>
        <s v="PAT5919"/>
        <s v="PAT5920"/>
        <s v="PAT5921"/>
        <s v="PAT5922"/>
        <s v="PAT5923"/>
        <s v="PAT5924"/>
        <s v="PAT5925"/>
        <s v="PAT5926"/>
        <s v="PAT5927"/>
        <s v="PAT5928"/>
        <s v="PAT5929"/>
        <s v="PAT5930"/>
        <s v="PAT5931"/>
        <s v="PAT5932"/>
        <s v="PAT5933"/>
        <s v="PAT5934"/>
        <s v="PAT5935"/>
        <s v="PAT5936"/>
        <s v="PAT5937"/>
        <s v="PAT5938"/>
        <s v="PAT5939"/>
        <s v="PAT5940"/>
        <s v="PAT5941"/>
        <s v="PAT5942"/>
        <s v="PAT5943"/>
        <s v="PAT5944"/>
        <s v="PAT5945"/>
        <s v="PAT5946"/>
        <s v="PAT5947"/>
        <s v="PAT5948"/>
        <s v="PAT5949"/>
        <s v="PAT5950"/>
        <s v="PAT5951"/>
        <s v="PAT5952"/>
        <s v="PAT5953"/>
        <s v="PAT5954"/>
        <s v="PAT5955"/>
        <s v="PAT5956"/>
        <s v="PAT5957"/>
        <s v="PAT5958"/>
        <s v="PAT5959"/>
        <s v="PAT5960"/>
        <s v="PAT5961"/>
        <s v="PAT5962"/>
        <s v="PAT5963"/>
        <s v="PAT5964"/>
        <s v="PAT5965"/>
        <s v="PAT5966"/>
        <s v="PAT5967"/>
        <s v="PAT5968"/>
        <s v="PAT5969"/>
        <s v="PAT5970"/>
        <s v="PAT5971"/>
        <s v="PAT5972"/>
        <s v="PAT5973"/>
        <s v="PAT5974"/>
        <s v="PAT5975"/>
        <s v="PAT5976"/>
        <s v="PAT5977"/>
        <s v="PAT5978"/>
        <s v="PAT5979"/>
        <s v="PAT5980"/>
        <s v="PAT5981"/>
        <s v="PAT5982"/>
        <s v="PAT5983"/>
        <s v="PAT5984"/>
        <s v="PAT5985"/>
        <s v="PAT5986"/>
        <s v="PAT5987"/>
        <s v="PAT5988"/>
        <s v="PAT5989"/>
        <s v="PAT5990"/>
        <s v="PAT5991"/>
        <s v="PAT5992"/>
        <s v="PAT5993"/>
        <s v="PAT5994"/>
        <s v="PAT5995"/>
        <s v="PAT5996"/>
        <s v="PAT5997"/>
        <s v="PAT5998"/>
        <s v="PAT5999"/>
      </sharedItems>
    </cacheField>
    <cacheField name="Age" numFmtId="0">
      <sharedItems containsSemiMixedTypes="0" containsString="0" containsNumber="1" containsInteger="1" minValue="1" maxValue="89"/>
    </cacheField>
    <cacheField name="Department" numFmtId="0">
      <sharedItems count="6">
        <s v="Neurology"/>
        <s v="ICU"/>
        <s v="General Medicine"/>
        <s v="Emergency"/>
        <s v="Cardiology"/>
        <s v="Orthopedics"/>
      </sharedItems>
    </cacheField>
    <cacheField name="Admission Date" numFmtId="0">
      <sharedItems containsDate="1" containsMixedTypes="1" minDate="2023-01-01T00:00:00" maxDate="2024-12-06T00:00:00" count="471">
        <d v="2023-04-25T00:00:00"/>
        <s v="26-01-23 0:00"/>
        <d v="2023-09-10T00:00:00"/>
        <d v="2023-08-09T00:00:00"/>
        <s v="17-08-23 0:00"/>
        <s v="23-05-23 0:00"/>
        <s v="15-04-23 0:00"/>
        <s v="31-03-23 0:00"/>
        <d v="2024-08-03T00:00:00"/>
        <d v="2023-02-02T00:00:00"/>
        <s v="31-01-23 0:00"/>
        <d v="2023-06-04T00:00:00"/>
        <d v="2023-12-08T00:00:00"/>
        <s v="27-08-23 0:00"/>
        <d v="2024-01-06T00:00:00"/>
        <s v="28-01-23 0:00"/>
        <s v="23-07-23 0:00"/>
        <d v="2024-05-03T00:00:00"/>
        <s v="14-08-23 0:00"/>
        <d v="2024-04-04T00:00:00"/>
        <d v="2023-12-10T00:00:00"/>
        <d v="2023-07-01T00:00:00"/>
        <s v="13-06-23 0:00"/>
        <s v="15-12-23 0:00"/>
        <d v="2023-09-06T00:00:00"/>
        <d v="2023-09-08T00:00:00"/>
        <d v="2023-11-12T00:00:00"/>
        <d v="2023-05-04T00:00:00"/>
        <s v="25-01-24 0:00"/>
        <d v="2023-10-04T00:00:00"/>
        <d v="2024-03-01T00:00:00"/>
        <s v="19-12-23 0:00"/>
        <s v="28-09-23 0:00"/>
        <s v="14-02-23 0:00"/>
        <s v="15-04-24 0:00"/>
        <d v="2023-08-05T00:00:00"/>
        <s v="23-01-24 0:00"/>
        <s v="22-03-23 0:00"/>
        <s v="28-10-23 0:00"/>
        <d v="2024-06-01T00:00:00"/>
        <s v="16-07-23 0:00"/>
        <s v="13-03-23 0:00"/>
        <s v="16-02-23 0:00"/>
        <s v="22-08-23 0:00"/>
        <s v="24-10-23 0:00"/>
        <s v="23-03-23 0:00"/>
        <s v="14-04-23 0:00"/>
        <d v="2024-09-04T00:00:00"/>
        <d v="2024-09-01T00:00:00"/>
        <s v="16-06-23 0:00"/>
        <s v="15-01-24 0:00"/>
        <s v="30-12-23 0:00"/>
        <d v="2023-03-08T00:00:00"/>
        <d v="2023-01-10T00:00:00"/>
        <s v="15-03-23 0:00"/>
        <s v="25-06-23 0:00"/>
        <s v="17-06-23 0:00"/>
        <s v="18-04-24 0:00"/>
        <s v="24-01-24 0:00"/>
        <d v="2023-04-10T00:00:00"/>
        <s v="13-08-23 0:00"/>
        <s v="29-11-23 0:00"/>
        <s v="27-02-23 0:00"/>
        <s v="23-08-23 0:00"/>
        <s v="20-11-23 0:00"/>
        <s v="15-02-24 0:00"/>
        <d v="2023-02-10T00:00:00"/>
        <d v="2023-09-03T00:00:00"/>
        <d v="2023-05-08T00:00:00"/>
        <s v="19-11-23 0:00"/>
        <d v="2023-06-08T00:00:00"/>
        <s v="26-05-24 0:00"/>
        <d v="2024-10-02T00:00:00"/>
        <s v="14-04-24 0:00"/>
        <s v="27-05-23 0:00"/>
        <s v="29-09-23 0:00"/>
        <d v="2023-10-09T00:00:00"/>
        <s v="27-09-23 0:00"/>
        <s v="14-03-24 0:00"/>
        <s v="13-02-24 0:00"/>
        <s v="22-05-23 0:00"/>
        <d v="2024-05-06T00:00:00"/>
        <s v="20-05-24 0:00"/>
        <d v="2023-04-04T00:00:00"/>
        <s v="18-02-23 0:00"/>
        <s v="23-04-23 0:00"/>
        <d v="2023-06-06T00:00:00"/>
        <d v="2023-07-03T00:00:00"/>
        <s v="30-01-24 0:00"/>
        <s v="26-01-24 0:00"/>
        <s v="24-04-24 0:00"/>
        <s v="15-09-23 0:00"/>
        <d v="2023-12-01T00:00:00"/>
        <s v="28-04-23 0:00"/>
        <s v="25-04-23 0:00"/>
        <s v="21-03-24 0:00"/>
        <d v="2023-11-06T00:00:00"/>
        <d v="2023-04-01T00:00:00"/>
        <s v="27-05-24 0:00"/>
        <d v="2023-02-07T00:00:00"/>
        <d v="2024-03-06T00:00:00"/>
        <s v="19-04-23 0:00"/>
        <d v="2023-02-11T00:00:00"/>
        <s v="18-01-24 0:00"/>
        <s v="15-06-23 0:00"/>
        <d v="2023-01-01T00:00:00"/>
        <s v="28-11-23 0:00"/>
        <s v="15-05-24 0:00"/>
        <s v="20-01-23 0:00"/>
        <d v="2024-07-01T00:00:00"/>
        <d v="2023-11-11T00:00:00"/>
        <d v="2023-03-09T00:00:00"/>
        <d v="2023-01-03T00:00:00"/>
        <d v="2023-04-09T00:00:00"/>
        <s v="29-03-23 0:00"/>
        <d v="2024-12-05T00:00:00"/>
        <d v="2023-12-03T00:00:00"/>
        <d v="2023-09-05T00:00:00"/>
        <d v="2023-12-05T00:00:00"/>
        <d v="2024-01-05T00:00:00"/>
        <s v="19-06-23 0:00"/>
        <s v="24-06-24 0:00"/>
        <d v="2024-09-03T00:00:00"/>
        <s v="25-07-23 0:00"/>
        <s v="16-11-23 0:00"/>
        <s v="24-03-24 0:00"/>
        <s v="13-06-24 0:00"/>
        <d v="2024-07-04T00:00:00"/>
        <d v="2023-04-05T00:00:00"/>
        <d v="2023-11-09T00:00:00"/>
        <s v="19-08-23 0:00"/>
        <s v="13-12-23 0:00"/>
        <s v="22-01-23 0:00"/>
        <s v="24-08-23 0:00"/>
        <d v="2023-08-01T00:00:00"/>
        <s v="14-03-23 0:00"/>
        <d v="2023-02-03T00:00:00"/>
        <d v="2023-11-03T00:00:00"/>
        <d v="2023-05-12T00:00:00"/>
        <d v="2024-10-06T00:00:00"/>
        <d v="2023-01-09T00:00:00"/>
        <s v="13-10-23 0:00"/>
        <d v="2023-08-08T00:00:00"/>
        <s v="16-05-23 0:00"/>
        <s v="29-04-24 0:00"/>
        <d v="2023-06-09T00:00:00"/>
        <s v="21-02-24 0:00"/>
        <s v="14-07-23 0:00"/>
        <d v="2023-07-04T00:00:00"/>
        <s v="17-03-24 0:00"/>
        <s v="29-12-23 0:00"/>
        <s v="25-02-24 0:00"/>
        <s v="23-04-24 0:00"/>
        <s v="25-02-23 0:00"/>
        <d v="2023-11-04T00:00:00"/>
        <d v="2023-04-03T00:00:00"/>
        <s v="17-02-24 0:00"/>
        <s v="14-12-23 0:00"/>
        <s v="22-04-23 0:00"/>
        <d v="2023-12-09T00:00:00"/>
        <s v="24-05-23 0:00"/>
        <d v="2023-07-07T00:00:00"/>
        <s v="13-09-23 0:00"/>
        <s v="19-03-23 0:00"/>
        <s v="29-03-24 0:00"/>
        <s v="21-02-23 0:00"/>
        <s v="16-01-23 0:00"/>
        <s v="31-08-23 0:00"/>
        <s v="20-06-23 0:00"/>
        <d v="2024-07-05T00:00:00"/>
        <d v="2023-07-08T00:00:00"/>
        <s v="18-06-23 0:00"/>
        <d v="2023-03-01T00:00:00"/>
        <d v="2024-04-02T00:00:00"/>
        <d v="2024-10-04T00:00:00"/>
        <s v="20-10-23 0:00"/>
        <s v="13-05-24 0:00"/>
        <d v="2023-08-06T00:00:00"/>
        <s v="31-10-23 0:00"/>
        <d v="2023-11-08T00:00:00"/>
        <s v="18-11-23 0:00"/>
        <s v="28-02-23 0:00"/>
        <d v="2024-03-05T00:00:00"/>
        <s v="29-05-24 0:00"/>
        <d v="2024-04-06T00:00:00"/>
        <s v="24-03-23 0:00"/>
        <d v="2023-10-07T00:00:00"/>
        <s v="29-08-23 0:00"/>
        <s v="18-02-24 0:00"/>
        <d v="2023-03-05T00:00:00"/>
        <d v="2023-10-02T00:00:00"/>
        <s v="25-03-23 0:00"/>
        <s v="19-06-24 0:00"/>
        <s v="25-09-23 0:00"/>
        <s v="29-07-23 0:00"/>
        <d v="2023-02-09T00:00:00"/>
        <s v="15-05-23 0:00"/>
        <d v="2023-04-11T00:00:00"/>
        <s v="13-04-24 0:00"/>
        <s v="16-03-23 0:00"/>
        <d v="2023-10-01T00:00:00"/>
        <s v="13-04-23 0:00"/>
        <s v="17-03-23 0:00"/>
        <d v="2024-02-06T00:00:00"/>
        <s v="24-12-23 0:00"/>
        <s v="14-01-24 0:00"/>
        <s v="19-10-23 0:00"/>
        <d v="2023-06-11T00:00:00"/>
        <d v="2023-09-01T00:00:00"/>
        <d v="2023-03-11T00:00:00"/>
        <s v="17-04-23 0:00"/>
        <s v="18-05-23 0:00"/>
        <s v="29-04-23 0:00"/>
        <s v="20-04-23 0:00"/>
        <d v="2023-06-10T00:00:00"/>
        <s v="16-10-23 0:00"/>
        <d v="2023-04-08T00:00:00"/>
        <s v="18-12-23 0:00"/>
        <s v="28-07-23 0:00"/>
        <s v="22-02-23 0:00"/>
        <d v="2023-11-10T00:00:00"/>
        <s v="15-02-23 0:00"/>
        <d v="2023-08-12T00:00:00"/>
        <s v="14-05-23 0:00"/>
        <s v="26-09-23 0:00"/>
        <s v="28-03-24 0:00"/>
        <s v="13-03-24 0:00"/>
        <d v="2023-02-06T00:00:00"/>
        <d v="2023-06-02T00:00:00"/>
        <d v="2023-01-06T00:00:00"/>
        <s v="16-03-24 0:00"/>
        <d v="2023-11-05T00:00:00"/>
        <d v="2023-12-02T00:00:00"/>
        <d v="2023-12-11T00:00:00"/>
        <d v="2024-02-01T00:00:00"/>
        <s v="16-04-23 0:00"/>
        <d v="2023-01-07T00:00:00"/>
        <s v="27-02-24 0:00"/>
        <d v="2023-03-07T00:00:00"/>
        <d v="2023-07-12T00:00:00"/>
        <s v="26-02-24 0:00"/>
        <s v="21-04-23 0:00"/>
        <s v="27-01-24 0:00"/>
        <d v="2023-09-02T00:00:00"/>
        <s v="26-04-24 0:00"/>
        <s v="16-08-23 0:00"/>
        <s v="24-07-23 0:00"/>
        <s v="16-04-24 0:00"/>
        <s v="25-12-23 0:00"/>
        <d v="2023-09-11T00:00:00"/>
        <s v="25-01-23 0:00"/>
        <s v="17-07-23 0:00"/>
        <d v="2023-03-12T00:00:00"/>
        <s v="26-12-23 0:00"/>
        <s v="14-02-24 0:00"/>
        <d v="2023-06-12T00:00:00"/>
        <s v="29-01-23 0:00"/>
        <s v="20-03-24 0:00"/>
        <s v="20-12-23 0:00"/>
        <s v="22-03-24 0:00"/>
        <d v="2024-07-06T00:00:00"/>
        <s v="18-09-23 0:00"/>
        <d v="2023-02-01T00:00:00"/>
        <s v="16-06-24 0:00"/>
        <s v="21-07-23 0:00"/>
        <d v="2024-08-01T00:00:00"/>
        <s v="13-11-23 0:00"/>
        <s v="23-02-24 0:00"/>
        <d v="2023-01-12T00:00:00"/>
        <s v="30-10-23 0:00"/>
        <d v="2024-06-03T00:00:00"/>
        <s v="28-06-23 0:00"/>
        <d v="2023-05-11T00:00:00"/>
        <s v="20-02-24 0:00"/>
        <d v="2023-08-11T00:00:00"/>
        <s v="21-10-23 0:00"/>
        <s v="26-11-23 0:00"/>
        <s v="21-04-24 0:00"/>
        <s v="23-06-23 0:00"/>
        <s v="28-03-23 0:00"/>
        <s v="18-10-23 0:00"/>
        <d v="2024-11-06T00:00:00"/>
        <d v="2023-10-12T00:00:00"/>
        <s v="14-11-23 0:00"/>
        <s v="31-05-23 0:00"/>
        <s v="17-02-23 0:00"/>
        <d v="2024-11-04T00:00:00"/>
        <s v="29-02-24 0:00"/>
        <s v="19-07-23 0:00"/>
        <s v="29-01-24 0:00"/>
        <s v="21-05-24 0:00"/>
        <d v="2023-07-09T00:00:00"/>
        <d v="2023-06-01T00:00:00"/>
        <d v="2024-11-03T00:00:00"/>
        <s v="30-06-23 0:00"/>
        <s v="14-06-24 0:00"/>
        <s v="20-04-24 0:00"/>
        <d v="2023-05-05T00:00:00"/>
        <d v="2024-12-04T00:00:00"/>
        <s v="17-05-23 0:00"/>
        <s v="21-11-23 0:00"/>
        <s v="31-05-24 0:00"/>
        <d v="2024-12-03T00:00:00"/>
        <d v="2024-01-04T00:00:00"/>
        <d v="2023-12-06T00:00:00"/>
        <d v="2024-05-04T00:00:00"/>
        <s v="23-09-23 0:00"/>
        <s v="17-06-24 0:00"/>
        <d v="2024-11-05T00:00:00"/>
        <s v="26-03-24 0:00"/>
        <s v="21-03-23 0:00"/>
        <s v="24-11-23 0:00"/>
        <d v="2023-04-06T00:00:00"/>
        <s v="25-08-23 0:00"/>
        <s v="28-01-24 0:00"/>
        <s v="22-02-24 0:00"/>
        <s v="22-04-24 0:00"/>
        <d v="2024-01-03T00:00:00"/>
        <d v="2023-05-03T00:00:00"/>
        <s v="31-07-23 0:00"/>
        <d v="2024-03-02T00:00:00"/>
        <s v="21-01-23 0:00"/>
        <s v="27-12-23 0:00"/>
        <s v="14-05-24 0:00"/>
        <d v="2023-07-10T00:00:00"/>
        <s v="30-01-23 0:00"/>
        <s v="19-02-24 0:00"/>
        <d v="2024-08-02T00:00:00"/>
        <s v="27-03-23 0:00"/>
        <s v="19-05-23 0:00"/>
        <s v="17-04-24 0:00"/>
        <d v="2023-06-07T00:00:00"/>
        <s v="24-09-23 0:00"/>
        <d v="2023-02-12T00:00:00"/>
        <d v="2023-12-12T00:00:00"/>
        <d v="2024-07-03T00:00:00"/>
        <s v="16-09-23 0:00"/>
        <s v="23-02-23 0:00"/>
        <s v="18-08-23 0:00"/>
        <d v="2023-11-02T00:00:00"/>
        <d v="2023-01-02T00:00:00"/>
        <d v="2023-10-05T00:00:00"/>
        <s v="20-09-23 0:00"/>
        <s v="13-01-24 0:00"/>
        <s v="21-06-23 0:00"/>
        <s v="15-11-23 0:00"/>
        <s v="27-01-23 0:00"/>
        <s v="20-01-24 0:00"/>
        <d v="2024-11-02T00:00:00"/>
        <s v="22-12-23 0:00"/>
        <s v="16-12-23 0:00"/>
        <s v="13-01-23 0:00"/>
        <s v="16-05-24 0:00"/>
        <s v="19-03-24 0:00"/>
        <s v="18-06-24 0:00"/>
        <d v="2024-10-05T00:00:00"/>
        <s v="27-11-23 0:00"/>
        <d v="2023-09-09T00:00:00"/>
        <s v="30-03-23 0:00"/>
        <d v="2024-06-04T00:00:00"/>
        <s v="22-09-23 0:00"/>
        <s v="14-10-23 0:00"/>
        <d v="2023-10-10T00:00:00"/>
        <d v="2023-11-01T00:00:00"/>
        <s v="15-07-23 0:00"/>
        <d v="2023-05-09T00:00:00"/>
        <d v="2024-02-05T00:00:00"/>
        <s v="17-05-24 0:00"/>
        <d v="2024-03-04T00:00:00"/>
        <s v="18-01-23 0:00"/>
        <s v="29-10-23 0:00"/>
        <s v="15-08-23 0:00"/>
        <d v="2023-10-11T00:00:00"/>
        <d v="2023-05-10T00:00:00"/>
        <d v="2023-09-07T00:00:00"/>
        <d v="2023-10-08T00:00:00"/>
        <s v="21-06-24 0:00"/>
        <s v="17-10-23 0:00"/>
        <s v="18-07-23 0:00"/>
        <s v="21-08-23 0:00"/>
        <d v="2024-05-01T00:00:00"/>
        <s v="15-01-23 0:00"/>
        <d v="2023-08-10T00:00:00"/>
        <s v="27-10-23 0:00"/>
        <s v="25-04-24 0:00"/>
        <d v="2024-05-05T00:00:00"/>
        <s v="27-03-24 0:00"/>
        <d v="2023-08-07T00:00:00"/>
        <d v="2024-04-05T00:00:00"/>
        <s v="27-04-23 0:00"/>
        <d v="2023-08-03T00:00:00"/>
        <s v="18-05-24 0:00"/>
        <s v="24-02-23 0:00"/>
        <d v="2023-05-06T00:00:00"/>
        <d v="2023-02-05T00:00:00"/>
        <d v="2024-02-03T00:00:00"/>
        <s v="20-08-23 0:00"/>
        <d v="2023-01-11T00:00:00"/>
        <s v="15-03-24 0:00"/>
        <d v="2023-03-03T00:00:00"/>
        <d v="2023-12-04T00:00:00"/>
        <d v="2023-01-08T00:00:00"/>
        <d v="2023-10-06T00:00:00"/>
        <s v="27-06-23 0:00"/>
        <s v="18-03-23 0:00"/>
        <s v="26-10-23 0:00"/>
        <d v="2023-03-02T00:00:00"/>
        <s v="26-08-23 0:00"/>
        <s v="23-10-23 0:00"/>
        <s v="28-08-23 0:00"/>
        <s v="22-07-23 0:00"/>
        <s v="30-09-23 0:00"/>
        <s v="26-05-23 0:00"/>
        <s v="25-03-24 0:00"/>
        <s v="18-03-24 0:00"/>
        <s v="14-09-23 0:00"/>
        <d v="2023-03-10T00:00:00"/>
        <s v="29-06-23 0:00"/>
        <s v="15-06-24 0:00"/>
        <d v="2023-05-07T00:00:00"/>
        <s v="23-12-23 0:00"/>
        <s v="25-11-23 0:00"/>
        <s v="18-04-23 0:00"/>
        <s v="14-06-23 0:00"/>
        <d v="2023-04-12T00:00:00"/>
        <s v="22-05-24 0:00"/>
        <d v="2023-07-02T00:00:00"/>
        <d v="2023-01-04T00:00:00"/>
        <s v="28-02-24 0:00"/>
        <d v="2023-12-07T00:00:00"/>
        <s v="25-05-24 0:00"/>
        <s v="22-10-23 0:00"/>
        <d v="2023-01-05T00:00:00"/>
        <d v="2023-07-06T00:00:00"/>
        <d v="2024-09-05T00:00:00"/>
        <s v="28-04-24 0:00"/>
        <s v="29-05-23 0:00"/>
        <s v="20-05-23 0:00"/>
        <d v="2024-02-04T00:00:00"/>
        <s v="22-01-24 0:00"/>
        <s v="13-07-23 0:00"/>
        <s v="22-11-23 0:00"/>
        <s v="31-01-24 0:00"/>
        <s v="22-06-24 0:00"/>
        <s v="28-05-23 0:00"/>
        <s v="24-02-24 0:00"/>
        <d v="2024-12-02T00:00:00"/>
        <d v="2023-03-04T00:00:00"/>
        <s v="30-03-24 0:00"/>
        <s v="19-01-24 0:00"/>
        <s v="30-05-23 0:00"/>
        <d v="2023-04-07T00:00:00"/>
        <s v="24-06-23 0:00"/>
        <s v="24-05-24 0:00"/>
        <s v="19-09-23 0:00"/>
        <d v="2024-10-03T00:00:00"/>
        <s v="23-01-23 0:00"/>
        <s v="20-02-23 0:00"/>
        <s v="23-05-24 0:00"/>
        <s v="21-05-23 0:00"/>
        <d v="2023-04-02T00:00:00"/>
        <d v="2024-10-01T00:00:00"/>
        <s v="28-05-24 0:00"/>
        <s v="21-09-23 0:00"/>
        <d v="2024-08-05T00:00:00"/>
        <s v="25-05-23 0:00"/>
        <d v="2024-09-02T00:00:00"/>
        <d v="2023-07-05T00:00:00"/>
        <s v="16-01-24 0:00"/>
        <s v="27-04-24 0:00"/>
        <d v="2023-06-03T00:00:00"/>
      </sharedItems>
    </cacheField>
    <cacheField name="Month" numFmtId="0">
      <sharedItems containsBlank="1" count="2">
        <s v="Apr"/>
        <m/>
      </sharedItems>
    </cacheField>
    <cacheField name="Discharge Date" numFmtId="0">
      <sharedItems containsDate="1" containsMixedTypes="1" minDate="2023-01-02T00:00:00" maxDate="2024-12-07T00:00:00" count="466">
        <d v="2023-06-05T00:00:00"/>
        <d v="2023-02-02T00:00:00"/>
        <d v="2023-11-10T00:00:00"/>
        <d v="2023-11-09T00:00:00"/>
        <s v="18-08-23 0:00"/>
        <s v="24-05-23 0:00"/>
        <s v="20-04-23 0:00"/>
        <d v="2023-08-04T00:00:00"/>
        <d v="2024-10-03T00:00:00"/>
        <d v="2023-04-02T00:00:00"/>
        <s v="21-04-23 0:00"/>
        <s v="21-08-23 0:00"/>
        <s v="30-08-23 0:00"/>
        <d v="2024-08-06T00:00:00"/>
        <d v="2023-05-02T00:00:00"/>
        <s v="29-07-23 0:00"/>
        <s v="16-03-24 0:00"/>
        <s v="26-08-23 0:00"/>
        <s v="16-04-24 0:00"/>
        <s v="21-10-23 0:00"/>
        <s v="14-01-23 0:00"/>
        <s v="23-06-23 0:00"/>
        <s v="20-03-24 0:00"/>
        <s v="27-12-23 0:00"/>
        <s v="15-10-23 0:00"/>
        <s v="24-06-23 0:00"/>
        <s v="16-08-23 0:00"/>
        <s v="22-12-23 0:00"/>
        <s v="17-04-23 0:00"/>
        <s v="19-04-23 0:00"/>
        <d v="2024-02-02T00:00:00"/>
        <d v="2024-10-01T00:00:00"/>
        <s v="24-12-23 0:00"/>
        <s v="29-09-23 0:00"/>
        <s v="26-02-23 0:00"/>
        <s v="21-04-24 0:00"/>
        <d v="2023-12-05T00:00:00"/>
        <s v="31-01-24 0:00"/>
        <s v="30-03-23 0:00"/>
        <d v="2023-01-11T00:00:00"/>
        <s v="20-01-24 0:00"/>
        <s v="22-07-23 0:00"/>
        <s v="15-03-23 0:00"/>
        <s v="27-02-23 0:00"/>
        <s v="28-08-23 0:00"/>
        <d v="2023-02-11T00:00:00"/>
        <d v="2023-07-04T00:00:00"/>
        <d v="2023-07-09T00:00:00"/>
        <s v="26-01-24 0:00"/>
        <s v="19-10-23 0:00"/>
        <s v="14-04-24 0:00"/>
        <s v="13-01-24 0:00"/>
        <s v="18-06-23 0:00"/>
        <s v="29-01-24 0:00"/>
        <d v="2023-11-08T00:00:00"/>
        <d v="2023-03-10T00:00:00"/>
        <s v="26-03-23 0:00"/>
        <s v="29-06-23 0:00"/>
        <s v="19-09-23 0:00"/>
        <s v="28-06-23 0:00"/>
        <s v="28-04-24 0:00"/>
        <s v="25-01-24 0:00"/>
        <d v="2023-05-10T00:00:00"/>
        <d v="2023-05-12T00:00:00"/>
        <d v="2023-03-03T00:00:00"/>
        <s v="15-02-23 0:00"/>
        <s v="30-11-23 0:00"/>
        <s v="19-02-24 0:00"/>
        <d v="2023-04-10T00:00:00"/>
        <s v="23-03-23 0:00"/>
        <s v="28-11-23 0:00"/>
        <d v="2023-10-08T00:00:00"/>
        <d v="2024-05-06T00:00:00"/>
        <s v="14-02-24 0:00"/>
        <d v="2023-10-06T00:00:00"/>
        <s v="29-05-23 0:00"/>
        <s v="23-09-23 0:00"/>
        <s v="30-09-23 0:00"/>
        <s v="27-03-24 0:00"/>
        <s v="28-02-24 0:00"/>
        <s v="16-01-24 0:00"/>
        <s v="14-08-23 0:00"/>
        <s v="27-05-23 0:00"/>
        <s v="19-06-24 0:00"/>
        <s v="23-05-24 0:00"/>
        <s v="28-04-23 0:00"/>
        <s v="19-06-23 0:00"/>
        <s v="16-06-23 0:00"/>
        <s v="18-03-23 0:00"/>
        <s v="13-02-24 0:00"/>
        <s v="27-01-24 0:00"/>
        <s v="27-04-24 0:00"/>
        <s v="16-09-23 0:00"/>
        <s v="18-01-23 0:00"/>
        <d v="2023-11-05T00:00:00"/>
        <s v="14-10-23 0:00"/>
        <s v="19-12-23 0:00"/>
        <d v="2023-05-05T00:00:00"/>
        <d v="2023-03-11T00:00:00"/>
        <s v="22-03-24 0:00"/>
        <s v="14-06-23 0:00"/>
        <d v="2023-05-01T00:00:00"/>
        <d v="2023-09-07T00:00:00"/>
        <d v="2024-12-06T00:00:00"/>
        <s v="14-11-23 0:00"/>
        <s v="31-07-23 0:00"/>
        <s v="21-06-23 0:00"/>
        <d v="2023-10-01T00:00:00"/>
        <d v="2023-08-12T00:00:00"/>
        <s v="17-05-24 0:00"/>
        <s v="28-01-23 0:00"/>
        <d v="2023-04-05T00:00:00"/>
        <d v="2024-11-01T00:00:00"/>
        <s v="21-11-23 0:00"/>
        <d v="2023-04-09T00:00:00"/>
        <s v="13-03-23 0:00"/>
        <s v="17-09-23 0:00"/>
        <d v="2023-06-04T00:00:00"/>
        <d v="2023-12-04T00:00:00"/>
        <s v="21-03-23 0:00"/>
        <s v="14-05-23 0:00"/>
        <s v="20-05-23 0:00"/>
        <d v="2024-12-05T00:00:00"/>
        <s v="20-06-23 0:00"/>
        <d v="2024-02-07T00:00:00"/>
        <s v="23-03-24 0:00"/>
        <d v="2023-12-08T00:00:00"/>
        <d v="2023-01-08T00:00:00"/>
        <s v="27-11-23 0:00"/>
        <s v="15-02-24 0:00"/>
        <d v="2024-05-04T00:00:00"/>
        <s v="28-06-24 0:00"/>
        <s v="15-04-24 0:00"/>
        <s v="26-09-23 0:00"/>
        <s v="23-12-23 0:00"/>
        <s v="25-01-23 0:00"/>
        <s v="17-08-23 0:00"/>
        <s v="13-01-23 0:00"/>
        <s v="24-03-23 0:00"/>
        <d v="2023-02-09T00:00:00"/>
        <s v="20-03-23 0:00"/>
        <s v="14-02-23 0:00"/>
        <d v="2023-11-12T00:00:00"/>
        <s v="20-06-24 0:00"/>
        <d v="2023-10-09T00:00:00"/>
        <s v="18-10-23 0:00"/>
        <s v="20-05-24 0:00"/>
        <s v="26-05-23 0:00"/>
        <d v="2024-06-05T00:00:00"/>
        <d v="2023-08-09T00:00:00"/>
        <d v="2024-04-03T00:00:00"/>
        <s v="16-07-23 0:00"/>
        <s v="28-03-24 0:00"/>
        <d v="2024-05-03T00:00:00"/>
        <d v="2024-05-05T00:00:00"/>
        <d v="2023-11-03T00:00:00"/>
        <s v="15-04-23 0:00"/>
        <s v="25-02-24 0:00"/>
        <s v="29-12-23 0:00"/>
        <s v="26-04-23 0:00"/>
        <s v="28-07-23 0:00"/>
        <d v="2024-12-04T00:00:00"/>
        <s v="31-05-23 0:00"/>
        <s v="15-03-24 0:00"/>
        <s v="19-07-23 0:00"/>
        <s v="24-04-24 0:00"/>
        <s v="20-09-23 0:00"/>
        <s v="25-03-23 0:00"/>
        <d v="2024-09-04T00:00:00"/>
        <s v="16-04-23 0:00"/>
        <s v="19-01-23 0:00"/>
        <s v="15-09-23 0:00"/>
        <s v="23-02-24 0:00"/>
        <s v="14-05-24 0:00"/>
        <s v="21-05-24 0:00"/>
        <d v="2023-09-08T00:00:00"/>
        <s v="17-02-24 0:00"/>
        <d v="2023-09-03T00:00:00"/>
        <d v="2024-05-02T00:00:00"/>
        <s v="15-01-23 0:00"/>
        <d v="2024-10-02T00:00:00"/>
        <d v="2023-12-10T00:00:00"/>
        <s v="13-04-24 0:00"/>
        <s v="29-10-23 0:00"/>
        <s v="17-06-23 0:00"/>
        <s v="23-07-23 0:00"/>
        <d v="2023-06-11T00:00:00"/>
        <s v="22-08-23 0:00"/>
        <s v="24-11-23 0:00"/>
        <s v="14-03-23 0:00"/>
        <d v="2023-04-03T00:00:00"/>
        <s v="16-05-24 0:00"/>
        <s v="25-06-23 0:00"/>
        <s v="16-06-24 0:00"/>
        <s v="15-07-23 0:00"/>
        <s v="22-03-23 0:00"/>
        <s v="16-03-23 0:00"/>
        <s v="20-02-24 0:00"/>
        <s v="13-05-23 0:00"/>
        <s v="28-03-23 0:00"/>
        <s v="27-06-24 0:00"/>
        <d v="2023-09-10T00:00:00"/>
        <d v="2023-08-10T00:00:00"/>
        <s v="16-02-24 0:00"/>
        <s v="17-05-23 0:00"/>
        <s v="17-11-23 0:00"/>
        <s v="18-04-24 0:00"/>
        <s v="23-01-23 0:00"/>
        <s v="27-04-23 0:00"/>
        <s v="20-08-23 0:00"/>
        <d v="2024-04-01T00:00:00"/>
        <s v="15-01-24 0:00"/>
        <s v="26-06-23 0:00"/>
        <d v="2024-04-04T00:00:00"/>
        <s v="20-11-23 0:00"/>
        <s v="21-01-23 0:00"/>
        <d v="2023-08-11T00:00:00"/>
        <s v="18-04-23 0:00"/>
        <s v="21-05-23 0:00"/>
        <d v="2023-03-05T00:00:00"/>
        <s v="22-10-23 0:00"/>
        <d v="2024-04-06T00:00:00"/>
        <s v="25-05-24 0:00"/>
        <d v="2023-01-03T00:00:00"/>
        <d v="2024-12-03T00:00:00"/>
        <s v="23-10-23 0:00"/>
        <d v="2023-10-12T00:00:00"/>
        <d v="2023-01-05T00:00:00"/>
        <d v="2023-08-06T00:00:00"/>
        <d v="2023-11-02T00:00:00"/>
        <d v="2023-07-06T00:00:00"/>
        <s v="29-03-24 0:00"/>
        <s v="22-02-23 0:00"/>
        <s v="24-01-24 0:00"/>
        <d v="2024-05-01T00:00:00"/>
        <d v="2023-07-08T00:00:00"/>
        <s v="30-12-23 0:00"/>
        <d v="2024-03-03T00:00:00"/>
        <d v="2023-05-09T00:00:00"/>
        <d v="2023-12-07T00:00:00"/>
        <d v="2023-03-02T00:00:00"/>
        <s v="13-07-23 0:00"/>
        <s v="15-12-23 0:00"/>
        <s v="30-04-23 0:00"/>
        <d v="2024-03-05T00:00:00"/>
        <s v="19-11-23 0:00"/>
        <d v="2023-07-12T00:00:00"/>
        <s v="20-10-23 0:00"/>
        <d v="2024-09-06T00:00:00"/>
        <d v="2023-02-05T00:00:00"/>
        <d v="2023-07-07T00:00:00"/>
        <s v="24-04-23 0:00"/>
        <s v="21-03-24 0:00"/>
        <s v="28-12-23 0:00"/>
        <d v="2024-10-06T00:00:00"/>
        <d v="2024-06-02T00:00:00"/>
        <s v="19-02-23 0:00"/>
        <s v="31-03-24 0:00"/>
        <d v="2023-11-01T00:00:00"/>
        <s v="30-06-24 0:00"/>
        <s v="21-01-24 0:00"/>
        <d v="2023-12-12T00:00:00"/>
        <d v="2023-02-12T00:00:00"/>
        <d v="2023-05-11T00:00:00"/>
        <d v="2024-02-03T00:00:00"/>
        <s v="16-12-23 0:00"/>
        <s v="13-11-23 0:00"/>
        <s v="26-07-23 0:00"/>
        <s v="13-03-24 0:00"/>
        <d v="2024-03-02T00:00:00"/>
        <d v="2023-05-07T00:00:00"/>
        <d v="2023-08-01T00:00:00"/>
        <s v="17-03-24 0:00"/>
        <d v="2024-10-04T00:00:00"/>
        <d v="2024-07-04T00:00:00"/>
        <s v="15-08-23 0:00"/>
        <s v="21-06-24 0:00"/>
        <d v="2024-11-05T00:00:00"/>
        <d v="2023-08-07T00:00:00"/>
        <d v="2023-03-04T00:00:00"/>
        <s v="18-06-24 0:00"/>
        <s v="29-08-23 0:00"/>
        <s v="30-07-23 0:00"/>
        <d v="2023-09-06T00:00:00"/>
        <s v="24-02-23 0:00"/>
        <s v="22-09-23 0:00"/>
        <s v="17-04-24 0:00"/>
        <s v="25-07-23 0:00"/>
        <d v="2024-11-02T00:00:00"/>
        <s v="24-05-24 0:00"/>
        <d v="2023-12-06T00:00:00"/>
        <s v="29-04-23 0:00"/>
        <s v="26-04-24 0:00"/>
        <s v="25-09-23 0:00"/>
        <s v="19-05-23 0:00"/>
        <s v="23-04-24 0:00"/>
        <s v="25-11-23 0:00"/>
        <d v="2024-03-06T00:00:00"/>
        <s v="15-06-23 0:00"/>
        <d v="2024-08-04T00:00:00"/>
        <d v="2023-06-10T00:00:00"/>
        <s v="24-09-23 0:00"/>
        <d v="2024-03-04T00:00:00"/>
        <s v="29-03-23 0:00"/>
        <s v="20-12-23 0:00"/>
        <d v="2023-04-04T00:00:00"/>
        <d v="2023-06-06T00:00:00"/>
        <d v="2024-08-02T00:00:00"/>
        <s v="14-03-24 0:00"/>
        <s v="25-04-24 0:00"/>
        <d v="2024-09-03T00:00:00"/>
        <d v="2023-07-03T00:00:00"/>
        <d v="2023-08-08T00:00:00"/>
        <s v="26-01-23 0:00"/>
        <d v="2024-07-02T00:00:00"/>
        <d v="2024-08-05T00:00:00"/>
        <s v="17-01-23 0:00"/>
        <d v="2024-07-03T00:00:00"/>
        <s v="19-08-23 0:00"/>
        <s v="22-05-24 0:00"/>
        <s v="18-05-24 0:00"/>
        <s v="13-02-23 0:00"/>
        <s v="13-12-23 0:00"/>
        <d v="2024-01-03T00:00:00"/>
        <d v="2023-03-07T00:00:00"/>
        <d v="2024-07-05T00:00:00"/>
        <d v="2023-07-02T00:00:00"/>
        <s v="18-02-24 0:00"/>
        <d v="2023-06-02T00:00:00"/>
        <d v="2023-05-03T00:00:00"/>
        <s v="28-01-24 0:00"/>
        <s v="29-04-24 0:00"/>
        <s v="31-08-23 0:00"/>
        <s v="27-03-23 0:00"/>
        <s v="25-02-23 0:00"/>
        <s v="30-01-23 0:00"/>
        <d v="2023-10-05T00:00:00"/>
        <s v="22-01-24 0:00"/>
        <d v="2023-01-07T00:00:00"/>
        <d v="2023-01-02T00:00:00"/>
        <s v="23-11-23 0:00"/>
        <s v="24-02-24 0:00"/>
        <s v="18-11-23 0:00"/>
        <s v="15-05-23 0:00"/>
        <s v="23-02-23 0:00"/>
        <d v="2024-11-06T00:00:00"/>
        <s v="20-01-23 0:00"/>
        <d v="2024-11-03T00:00:00"/>
        <d v="2024-02-04T00:00:00"/>
        <s v="17-01-24 0:00"/>
        <s v="30-04-24 0:00"/>
        <s v="24-06-24 0:00"/>
        <d v="2024-02-05T00:00:00"/>
        <s v="25-03-24 0:00"/>
        <s v="17-10-23 0:00"/>
        <d v="2023-03-12T00:00:00"/>
        <s v="14-09-23 0:00"/>
        <d v="2023-10-04T00:00:00"/>
        <s v="25-10-23 0:00"/>
        <s v="26-05-24 0:00"/>
        <s v="18-12-23 0:00"/>
        <s v="25-06-24 0:00"/>
        <s v="13-04-23 0:00"/>
        <d v="2024-09-05T00:00:00"/>
        <s v="13-09-23 0:00"/>
        <d v="2023-03-09T00:00:00"/>
        <d v="2023-04-12T00:00:00"/>
        <s v="24-07-23 0:00"/>
        <d v="2024-06-07T00:00:00"/>
        <s v="30-10-23 0:00"/>
        <s v="23-04-23 0:00"/>
        <s v="21-07-23 0:00"/>
        <d v="2023-10-11T00:00:00"/>
        <d v="2024-08-01T00:00:00"/>
        <d v="2023-06-07T00:00:00"/>
        <d v="2023-09-11T00:00:00"/>
        <s v="29-01-23 0:00"/>
        <s v="22-05-23 0:00"/>
        <d v="2023-10-03T00:00:00"/>
        <d v="2023-11-11T00:00:00"/>
        <s v="29-05-24 0:00"/>
        <s v="26-10-23 0:00"/>
        <d v="2024-01-05T00:00:00"/>
        <s v="21-09-23 0:00"/>
        <d v="2023-09-05T00:00:00"/>
        <s v="28-02-23 0:00"/>
        <s v="27-09-23 0:00"/>
        <s v="16-05-23 0:00"/>
        <d v="2024-06-03T00:00:00"/>
        <d v="2024-04-02T00:00:00"/>
        <d v="2024-06-04T00:00:00"/>
        <s v="22-11-23 0:00"/>
        <d v="2023-01-10T00:00:00"/>
        <d v="2024-04-05T00:00:00"/>
        <d v="2023-09-02T00:00:00"/>
        <d v="2023-07-11T00:00:00"/>
        <d v="2023-06-09T00:00:00"/>
        <d v="2023-01-09T00:00:00"/>
        <d v="2023-05-06T00:00:00"/>
        <d v="2023-03-06T00:00:00"/>
        <d v="2023-12-03T00:00:00"/>
        <s v="22-06-23 0:00"/>
        <s v="23-05-23 0:00"/>
        <d v="2024-02-06T00:00:00"/>
        <s v="31-03-23 0:00"/>
        <d v="2023-06-12T00:00:00"/>
        <s v="31-01-23 0:00"/>
        <d v="2023-11-04T00:00:00"/>
        <s v="25-08-23 0:00"/>
        <d v="2023-07-10T00:00:00"/>
        <d v="2023-12-02T00:00:00"/>
        <s v="17-06-24 0:00"/>
        <d v="2024-11-04T00:00:00"/>
        <s v="24-10-23 0:00"/>
        <s v="31-05-24 0:00"/>
        <d v="2023-09-12T00:00:00"/>
        <s v="29-02-24 0:00"/>
        <d v="2023-04-11T00:00:00"/>
        <s v="20-04-24 0:00"/>
        <d v="2023-02-04T00:00:00"/>
        <s v="18-09-23 0:00"/>
        <s v="29-11-23 0:00"/>
        <s v="22-02-24 0:00"/>
        <d v="2024-07-06T00:00:00"/>
        <d v="2023-02-08T00:00:00"/>
        <s v="18-05-23 0:00"/>
        <d v="2024-08-03T00:00:00"/>
        <s v="14-04-23 0:00"/>
        <d v="2023-10-10T00:00:00"/>
        <d v="2023-02-06T00:00:00"/>
        <s v="21-12-23 0:00"/>
        <d v="2023-12-01T00:00:00"/>
        <s v="15-11-23 0:00"/>
        <d v="2023-11-06T00:00:00"/>
        <d v="2024-03-01T00:00:00"/>
        <s v="23-01-24 0:00"/>
        <s v="22-04-24 0:00"/>
        <d v="2024-09-02T00:00:00"/>
        <s v="30-01-24 0:00"/>
        <d v="2024-12-02T00:00:00"/>
        <d v="2024-01-04T00:00:00"/>
        <s v="23-06-24 0:00"/>
        <d v="2023-05-04T00:00:00"/>
        <s v="27-05-24 0:00"/>
        <s v="14-12-23 0:00"/>
        <s v="26-03-24 0:00"/>
        <s v="27-02-24 0:00"/>
        <s v="17-07-23 0:00"/>
        <d v="2024-06-06T00:00:00"/>
        <s v="28-05-23 0:00"/>
        <d v="2023-09-09T00:00:00"/>
        <d v="2023-04-08T00:00:00"/>
        <s v="15-05-24 0:00"/>
        <d v="2023-12-11T00:00:00"/>
        <s v="16-01-23 0:00"/>
        <d v="2023-02-03T00:00:00"/>
        <d v="2024-01-01T00:00:00"/>
        <s v="13-10-23 0:00"/>
        <s v="28-09-23 0:00"/>
        <s v="13-05-24 0:00"/>
        <s v="26-12-23 0:00"/>
        <s v="27-08-23 0:00"/>
        <s v="19-01-24 0:00"/>
        <s v="21-02-24 0:00"/>
        <d v="2023-08-05T00:00:00"/>
        <s v="17-03-23 0:00"/>
      </sharedItems>
    </cacheField>
    <cacheField name="Stay Duration (days)" numFmtId="0">
      <sharedItems containsSemiMixedTypes="0" containsString="0" containsNumber="1" containsInteger="1" minValue="1" maxValue="15" count="15">
        <n v="11"/>
        <n v="7"/>
        <n v="2"/>
        <n v="3"/>
        <n v="1"/>
        <n v="5"/>
        <n v="8"/>
        <n v="4"/>
        <n v="15"/>
        <n v="9"/>
        <n v="6"/>
        <n v="12"/>
        <n v="10"/>
        <n v="14"/>
        <n v="13"/>
      </sharedItems>
    </cacheField>
    <cacheField name="Disease/Condition" numFmtId="0">
      <sharedItems count="6">
        <s v="Heart Disease"/>
        <s v="Fracture"/>
        <s v="Hypertension"/>
        <s v="Diabetes"/>
        <s v="Flu"/>
        <s v="Migraine"/>
      </sharedItems>
    </cacheField>
    <cacheField name="Satisfaction Score" numFmtId="0">
      <sharedItems containsSemiMixedTypes="0" containsString="0" containsNumber="1" containsInteger="1" minValue="1" maxValue="5"/>
    </cacheField>
    <cacheField name="Doctor" numFmtId="0">
      <sharedItems/>
    </cacheField>
    <cacheField name="Treatment Cost" numFmtId="0">
      <sharedItems containsSemiMixedTypes="0" containsString="0" containsNumber="1" containsInteger="1" minValue="5002" maxValue="49990"/>
    </cacheField>
    <cacheField name="Medication" numFmtId="0">
      <sharedItems/>
    </cacheField>
    <cacheField name="Has Insurance" numFmtId="0">
      <sharedItems/>
    </cacheField>
    <cacheField name="Case Type" numFmtId="0">
      <sharedItems count="2">
        <s v="Routine"/>
        <s v="Emergency"/>
      </sharedItems>
    </cacheField>
    <cacheField name="Appointment Date" numFmtId="0">
      <sharedItems containsDate="1" containsMixedTypes="1" minDate="2023-01-01T00:00:00" maxDate="2024-12-06T00:00:00"/>
    </cacheField>
    <cacheField name="Consultation Date" numFmtId="0">
      <sharedItems containsDate="1" containsMixedTypes="1" minDate="2023-01-01T22:00:00" maxDate="2024-12-06T21:00:00"/>
    </cacheField>
    <cacheField name="Test Type" numFmtId="0">
      <sharedItems count="5">
        <s v="X-Ray"/>
        <s v="Blood Test"/>
        <s v="CT Scan"/>
        <s v="Ultrasound"/>
        <s v="MRI"/>
      </sharedItems>
    </cacheField>
    <cacheField name="Test Result" numFmtId="0">
      <sharedItems/>
    </cacheField>
    <cacheField name="Shift" numFmtId="0">
      <sharedItems/>
    </cacheField>
    <cacheField name="Staff Hours Worked" numFmtId="0">
      <sharedItems containsSemiMixedTypes="0" containsString="0" containsNumber="1" containsInteger="1" minValue="4" maxValue="11"/>
    </cacheField>
    <cacheField name="Staff Available Hours" numFmtId="0">
      <sharedItems containsSemiMixedTypes="0" containsString="0" containsNumber="1" containsInteger="1" minValue="8" maxValue="12"/>
    </cacheField>
    <cacheField name="Treatment Pl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52"/>
    <x v="0"/>
    <x v="0"/>
    <x v="0"/>
    <x v="0"/>
    <x v="0"/>
    <x v="0"/>
    <n v="3"/>
    <s v="Dr. Mehta"/>
    <n v="40901"/>
    <s v="MedC"/>
    <s v="No"/>
    <x v="0"/>
    <s v="22-04-23 0:00"/>
    <s v="22-04-23 12:00"/>
    <x v="0"/>
    <s v="Accepted"/>
    <s v="Afternoon"/>
    <n v="9"/>
    <n v="12"/>
    <s v="Plan B"/>
  </r>
  <r>
    <x v="1"/>
    <n v="15"/>
    <x v="1"/>
    <x v="1"/>
    <x v="1"/>
    <x v="1"/>
    <x v="1"/>
    <x v="1"/>
    <n v="2"/>
    <s v="Dr. Sharma"/>
    <n v="49380"/>
    <s v="MedE"/>
    <s v="No"/>
    <x v="0"/>
    <s v="22-01-23 0:00"/>
    <s v="22-01-23 21:00"/>
    <x v="1"/>
    <s v="Rejected"/>
    <s v="Afternoon"/>
    <n v="9"/>
    <n v="10"/>
    <s v="Plan B"/>
  </r>
  <r>
    <x v="2"/>
    <n v="72"/>
    <x v="0"/>
    <x v="2"/>
    <x v="1"/>
    <x v="2"/>
    <x v="2"/>
    <x v="2"/>
    <n v="5"/>
    <s v="Dr. Mehta"/>
    <n v="25493"/>
    <s v="MedC"/>
    <s v="No"/>
    <x v="1"/>
    <d v="2023-09-10T00:00:00"/>
    <d v="2023-09-10T02:00:00"/>
    <x v="2"/>
    <s v="Rejected"/>
    <s v="Morning"/>
    <n v="10"/>
    <n v="10"/>
    <s v="Plan B"/>
  </r>
  <r>
    <x v="3"/>
    <n v="61"/>
    <x v="2"/>
    <x v="3"/>
    <x v="1"/>
    <x v="3"/>
    <x v="3"/>
    <x v="1"/>
    <n v="3"/>
    <s v="Dr. Gupta"/>
    <n v="23595"/>
    <s v="MedC"/>
    <s v="No"/>
    <x v="0"/>
    <d v="2023-04-09T00:00:00"/>
    <d v="2023-04-09T14:00:00"/>
    <x v="2"/>
    <s v="Accepted"/>
    <s v="Night"/>
    <n v="7"/>
    <n v="12"/>
    <s v="Plan C"/>
  </r>
  <r>
    <x v="4"/>
    <n v="21"/>
    <x v="3"/>
    <x v="4"/>
    <x v="1"/>
    <x v="4"/>
    <x v="4"/>
    <x v="3"/>
    <n v="1"/>
    <s v="Dr. Gupta"/>
    <n v="26923"/>
    <s v="MedE"/>
    <s v="No"/>
    <x v="1"/>
    <s v="16-08-23 0:00"/>
    <s v="17-08-23 14:00"/>
    <x v="2"/>
    <s v="Accepted"/>
    <s v="Night"/>
    <n v="5"/>
    <n v="10"/>
    <s v="Plan B"/>
  </r>
  <r>
    <x v="5"/>
    <n v="83"/>
    <x v="4"/>
    <x v="5"/>
    <x v="1"/>
    <x v="5"/>
    <x v="4"/>
    <x v="3"/>
    <n v="3"/>
    <s v="Dr. Mehta"/>
    <n v="14735"/>
    <s v="MedA"/>
    <s v="Yes"/>
    <x v="0"/>
    <s v="18-05-23 0:00"/>
    <s v="18-05-23 10:00"/>
    <x v="3"/>
    <s v="Rejected"/>
    <s v="Morning"/>
    <n v="9"/>
    <n v="12"/>
    <s v="Plan C"/>
  </r>
  <r>
    <x v="6"/>
    <n v="87"/>
    <x v="4"/>
    <x v="6"/>
    <x v="1"/>
    <x v="6"/>
    <x v="5"/>
    <x v="4"/>
    <n v="1"/>
    <s v="Dr. Sharma"/>
    <n v="39457"/>
    <s v="MedC"/>
    <s v="Yes"/>
    <x v="1"/>
    <d v="2023-12-04T00:00:00"/>
    <s v="13-04-23 22:00"/>
    <x v="0"/>
    <s v="Accepted"/>
    <s v="Afternoon"/>
    <n v="10"/>
    <n v="8"/>
    <s v="Plan B"/>
  </r>
  <r>
    <x v="7"/>
    <n v="75"/>
    <x v="1"/>
    <x v="7"/>
    <x v="1"/>
    <x v="7"/>
    <x v="6"/>
    <x v="3"/>
    <n v="5"/>
    <s v="Dr. Mehta"/>
    <n v="47531"/>
    <s v="MedC"/>
    <s v="Yes"/>
    <x v="1"/>
    <s v="29-03-23 0:00"/>
    <s v="30-03-23 2:00"/>
    <x v="3"/>
    <s v="Accepted"/>
    <s v="Afternoon"/>
    <n v="4"/>
    <n v="8"/>
    <s v="Plan C"/>
  </r>
  <r>
    <x v="8"/>
    <n v="75"/>
    <x v="2"/>
    <x v="8"/>
    <x v="1"/>
    <x v="8"/>
    <x v="2"/>
    <x v="1"/>
    <n v="5"/>
    <s v="Dr. Mehta"/>
    <n v="12727"/>
    <s v="MedD"/>
    <s v="Yes"/>
    <x v="0"/>
    <d v="2024-06-03T00:00:00"/>
    <d v="2024-06-03T05:00:00"/>
    <x v="3"/>
    <s v="Accepted"/>
    <s v="Night"/>
    <n v="9"/>
    <n v="12"/>
    <s v="Plan C"/>
  </r>
  <r>
    <x v="9"/>
    <n v="88"/>
    <x v="5"/>
    <x v="9"/>
    <x v="1"/>
    <x v="9"/>
    <x v="2"/>
    <x v="5"/>
    <n v="4"/>
    <s v="Dr. Mehta"/>
    <n v="12764"/>
    <s v="MedE"/>
    <s v="Yes"/>
    <x v="0"/>
    <s v="30-01-23 0:00"/>
    <s v="30-01-23 20:00"/>
    <x v="4"/>
    <s v="Accepted"/>
    <s v="Night"/>
    <n v="6"/>
    <n v="8"/>
    <s v="Plan C"/>
  </r>
  <r>
    <x v="10"/>
    <n v="24"/>
    <x v="2"/>
    <x v="10"/>
    <x v="1"/>
    <x v="9"/>
    <x v="7"/>
    <x v="5"/>
    <n v="4"/>
    <s v="Dr. Rao"/>
    <n v="32599"/>
    <s v="MedB"/>
    <s v="No"/>
    <x v="0"/>
    <s v="31-01-23 0:00"/>
    <s v="31-01-23 11:00"/>
    <x v="0"/>
    <s v="Accepted"/>
    <s v="Night"/>
    <n v="6"/>
    <n v="10"/>
    <s v="Plan A"/>
  </r>
  <r>
    <x v="11"/>
    <n v="3"/>
    <x v="4"/>
    <x v="11"/>
    <x v="1"/>
    <x v="10"/>
    <x v="8"/>
    <x v="4"/>
    <n v="4"/>
    <s v="Dr. Gupta"/>
    <n v="5818"/>
    <s v="MedA"/>
    <s v="No"/>
    <x v="1"/>
    <d v="2023-02-04T00:00:00"/>
    <d v="2023-03-04T13:00:00"/>
    <x v="2"/>
    <s v="Accepted"/>
    <s v="Night"/>
    <n v="4"/>
    <n v="8"/>
    <s v="Plan B"/>
  </r>
  <r>
    <x v="12"/>
    <n v="22"/>
    <x v="4"/>
    <x v="12"/>
    <x v="1"/>
    <x v="11"/>
    <x v="9"/>
    <x v="0"/>
    <n v="5"/>
    <s v="Dr. Patel"/>
    <n v="42289"/>
    <s v="MedA"/>
    <s v="Yes"/>
    <x v="0"/>
    <d v="2023-11-08T00:00:00"/>
    <d v="2023-11-08T16:00:00"/>
    <x v="1"/>
    <s v="Accepted"/>
    <s v="Night"/>
    <n v="11"/>
    <n v="8"/>
    <s v="Plan A"/>
  </r>
  <r>
    <x v="13"/>
    <n v="53"/>
    <x v="3"/>
    <x v="13"/>
    <x v="1"/>
    <x v="12"/>
    <x v="3"/>
    <x v="1"/>
    <n v="2"/>
    <s v="Dr. Patel"/>
    <n v="38892"/>
    <s v="MedE"/>
    <s v="Yes"/>
    <x v="0"/>
    <s v="23-08-23 0:00"/>
    <s v="24-08-23 13:00"/>
    <x v="2"/>
    <s v="Accepted"/>
    <s v="Afternoon"/>
    <n v="7"/>
    <n v="12"/>
    <s v="Plan B"/>
  </r>
  <r>
    <x v="14"/>
    <n v="2"/>
    <x v="2"/>
    <x v="14"/>
    <x v="1"/>
    <x v="13"/>
    <x v="1"/>
    <x v="1"/>
    <n v="5"/>
    <s v="Dr. Rao"/>
    <n v="10660"/>
    <s v="MedD"/>
    <s v="No"/>
    <x v="0"/>
    <s v="30-05-24 0:00"/>
    <s v="31-05-24 1:00"/>
    <x v="3"/>
    <s v="Accepted"/>
    <s v="Afternoon"/>
    <n v="11"/>
    <n v="10"/>
    <s v="Plan B"/>
  </r>
  <r>
    <x v="15"/>
    <n v="88"/>
    <x v="2"/>
    <x v="15"/>
    <x v="1"/>
    <x v="14"/>
    <x v="6"/>
    <x v="3"/>
    <n v="3"/>
    <s v="Dr. Mehta"/>
    <n v="34521"/>
    <s v="MedD"/>
    <s v="Yes"/>
    <x v="1"/>
    <s v="25-01-23 0:00"/>
    <s v="26-01-23 20:00"/>
    <x v="0"/>
    <s v="Accepted"/>
    <s v="Afternoon"/>
    <n v="5"/>
    <n v="8"/>
    <s v="Plan A"/>
  </r>
  <r>
    <x v="16"/>
    <n v="30"/>
    <x v="4"/>
    <x v="16"/>
    <x v="1"/>
    <x v="15"/>
    <x v="10"/>
    <x v="1"/>
    <n v="5"/>
    <s v="Dr. Rao"/>
    <n v="43409"/>
    <s v="MedE"/>
    <s v="No"/>
    <x v="0"/>
    <s v="21-07-23 0:00"/>
    <s v="22-07-23 11:00"/>
    <x v="0"/>
    <s v="Accepted"/>
    <s v="Afternoon"/>
    <n v="11"/>
    <n v="8"/>
    <s v="Plan C"/>
  </r>
  <r>
    <x v="17"/>
    <n v="38"/>
    <x v="5"/>
    <x v="17"/>
    <x v="1"/>
    <x v="16"/>
    <x v="0"/>
    <x v="2"/>
    <n v="5"/>
    <s v="Dr. Rao"/>
    <n v="39470"/>
    <s v="MedD"/>
    <s v="Yes"/>
    <x v="1"/>
    <s v="29-02-24 0:00"/>
    <s v="29-02-24 22:00"/>
    <x v="0"/>
    <s v="Accepted"/>
    <s v="Morning"/>
    <n v="5"/>
    <n v="12"/>
    <s v="Plan B"/>
  </r>
  <r>
    <x v="18"/>
    <n v="2"/>
    <x v="1"/>
    <x v="18"/>
    <x v="1"/>
    <x v="17"/>
    <x v="11"/>
    <x v="0"/>
    <n v="1"/>
    <s v="Dr. Sharma"/>
    <n v="23385"/>
    <s v="MedA"/>
    <s v="No"/>
    <x v="0"/>
    <d v="2023-12-08T00:00:00"/>
    <s v="13-08-23 1:00"/>
    <x v="4"/>
    <s v="Accepted"/>
    <s v="Afternoon"/>
    <n v="9"/>
    <n v="12"/>
    <s v="Plan C"/>
  </r>
  <r>
    <x v="19"/>
    <n v="64"/>
    <x v="1"/>
    <x v="19"/>
    <x v="1"/>
    <x v="18"/>
    <x v="11"/>
    <x v="3"/>
    <n v="1"/>
    <s v="Dr. Gupta"/>
    <n v="28296"/>
    <s v="MedA"/>
    <s v="Yes"/>
    <x v="0"/>
    <d v="2024-03-04T00:00:00"/>
    <d v="2024-05-04T00:00:00"/>
    <x v="2"/>
    <s v="Accepted"/>
    <s v="Morning"/>
    <n v="6"/>
    <n v="10"/>
    <s v="Plan A"/>
  </r>
  <r>
    <x v="20"/>
    <n v="60"/>
    <x v="2"/>
    <x v="20"/>
    <x v="1"/>
    <x v="19"/>
    <x v="9"/>
    <x v="2"/>
    <n v="1"/>
    <s v="Dr. Patel"/>
    <n v="28616"/>
    <s v="MedB"/>
    <s v="No"/>
    <x v="0"/>
    <d v="2023-12-10T00:00:00"/>
    <d v="2023-12-10T09:00:00"/>
    <x v="4"/>
    <s v="Accepted"/>
    <s v="Afternoon"/>
    <n v="7"/>
    <n v="8"/>
    <s v="Plan C"/>
  </r>
  <r>
    <x v="21"/>
    <n v="21"/>
    <x v="1"/>
    <x v="21"/>
    <x v="1"/>
    <x v="20"/>
    <x v="1"/>
    <x v="4"/>
    <n v="5"/>
    <s v="Dr. Mehta"/>
    <n v="31382"/>
    <s v="MedE"/>
    <s v="Yes"/>
    <x v="0"/>
    <d v="2023-07-01T00:00:00"/>
    <d v="2023-08-01T21:00:00"/>
    <x v="1"/>
    <s v="Accepted"/>
    <s v="Night"/>
    <n v="7"/>
    <n v="12"/>
    <s v="Plan B"/>
  </r>
  <r>
    <x v="22"/>
    <n v="33"/>
    <x v="4"/>
    <x v="22"/>
    <x v="1"/>
    <x v="21"/>
    <x v="12"/>
    <x v="5"/>
    <n v="2"/>
    <s v="Dr. Patel"/>
    <n v="16139"/>
    <s v="MedC"/>
    <s v="Yes"/>
    <x v="0"/>
    <d v="2023-08-06T00:00:00"/>
    <d v="2023-09-06T23:00:00"/>
    <x v="3"/>
    <s v="Accepted"/>
    <s v="Night"/>
    <n v="7"/>
    <n v="12"/>
    <s v="Plan B"/>
  </r>
  <r>
    <x v="23"/>
    <n v="76"/>
    <x v="4"/>
    <x v="8"/>
    <x v="1"/>
    <x v="22"/>
    <x v="11"/>
    <x v="4"/>
    <n v="3"/>
    <s v="Dr. Patel"/>
    <n v="37060"/>
    <s v="MedC"/>
    <s v="Yes"/>
    <x v="0"/>
    <d v="2024-07-03T00:00:00"/>
    <d v="2024-07-03T06:00:00"/>
    <x v="4"/>
    <s v="Accepted"/>
    <s v="Night"/>
    <n v="9"/>
    <n v="12"/>
    <s v="Plan B"/>
  </r>
  <r>
    <x v="24"/>
    <n v="58"/>
    <x v="2"/>
    <x v="23"/>
    <x v="1"/>
    <x v="23"/>
    <x v="11"/>
    <x v="5"/>
    <n v="3"/>
    <s v="Dr. Gupta"/>
    <n v="27419"/>
    <s v="MedB"/>
    <s v="Yes"/>
    <x v="0"/>
    <d v="2023-12-12T00:00:00"/>
    <s v="13-12-23 9:00"/>
    <x v="4"/>
    <s v="Accepted"/>
    <s v="Morning"/>
    <n v="5"/>
    <n v="10"/>
    <s v="Plan A"/>
  </r>
  <r>
    <x v="25"/>
    <n v="22"/>
    <x v="2"/>
    <x v="20"/>
    <x v="1"/>
    <x v="24"/>
    <x v="3"/>
    <x v="4"/>
    <n v="2"/>
    <s v="Dr. Patel"/>
    <n v="32785"/>
    <s v="MedB"/>
    <s v="No"/>
    <x v="0"/>
    <d v="2023-08-10T00:00:00"/>
    <d v="2023-10-10T00:00:00"/>
    <x v="3"/>
    <s v="Accepted"/>
    <s v="Afternoon"/>
    <n v="7"/>
    <n v="12"/>
    <s v="Plan B"/>
  </r>
  <r>
    <x v="26"/>
    <n v="89"/>
    <x v="3"/>
    <x v="24"/>
    <x v="1"/>
    <x v="25"/>
    <x v="8"/>
    <x v="1"/>
    <n v="2"/>
    <s v="Dr. Patel"/>
    <n v="20702"/>
    <s v="MedD"/>
    <s v="No"/>
    <x v="0"/>
    <d v="2023-06-06T00:00:00"/>
    <d v="2023-06-06T23:00:00"/>
    <x v="0"/>
    <s v="Accepted"/>
    <s v="Afternoon"/>
    <n v="9"/>
    <n v="10"/>
    <s v="Plan A"/>
  </r>
  <r>
    <x v="27"/>
    <n v="49"/>
    <x v="2"/>
    <x v="25"/>
    <x v="1"/>
    <x v="26"/>
    <x v="1"/>
    <x v="2"/>
    <n v="3"/>
    <s v="Dr. Rao"/>
    <n v="34217"/>
    <s v="MedB"/>
    <s v="Yes"/>
    <x v="0"/>
    <d v="2023-05-08T00:00:00"/>
    <d v="2023-05-08T04:00:00"/>
    <x v="3"/>
    <s v="Accepted"/>
    <s v="Morning"/>
    <n v="9"/>
    <n v="10"/>
    <s v="Plan C"/>
  </r>
  <r>
    <x v="28"/>
    <n v="59"/>
    <x v="5"/>
    <x v="26"/>
    <x v="1"/>
    <x v="27"/>
    <x v="0"/>
    <x v="5"/>
    <n v="4"/>
    <s v="Dr. Gupta"/>
    <n v="44291"/>
    <s v="MedB"/>
    <s v="Yes"/>
    <x v="0"/>
    <d v="2023-11-12T00:00:00"/>
    <d v="2023-11-12T07:00:00"/>
    <x v="2"/>
    <s v="Accepted"/>
    <s v="Morning"/>
    <n v="4"/>
    <n v="8"/>
    <s v="Plan B"/>
  </r>
  <r>
    <x v="29"/>
    <n v="42"/>
    <x v="1"/>
    <x v="6"/>
    <x v="1"/>
    <x v="28"/>
    <x v="2"/>
    <x v="3"/>
    <n v="1"/>
    <s v="Dr. Sharma"/>
    <n v="17397"/>
    <s v="MedC"/>
    <s v="Yes"/>
    <x v="0"/>
    <s v="13-04-23 0:00"/>
    <s v="14-04-23 4:00"/>
    <x v="3"/>
    <s v="Accepted"/>
    <s v="Morning"/>
    <n v="8"/>
    <n v="8"/>
    <s v="Plan B"/>
  </r>
  <r>
    <x v="30"/>
    <n v="60"/>
    <x v="2"/>
    <x v="27"/>
    <x v="1"/>
    <x v="29"/>
    <x v="13"/>
    <x v="2"/>
    <n v="1"/>
    <s v="Dr. Mehta"/>
    <n v="45879"/>
    <s v="MedD"/>
    <s v="No"/>
    <x v="0"/>
    <d v="2023-03-04T00:00:00"/>
    <d v="2023-03-04T15:00:00"/>
    <x v="0"/>
    <s v="Accepted"/>
    <s v="Morning"/>
    <n v="11"/>
    <n v="10"/>
    <s v="Plan B"/>
  </r>
  <r>
    <x v="31"/>
    <n v="80"/>
    <x v="0"/>
    <x v="28"/>
    <x v="1"/>
    <x v="30"/>
    <x v="6"/>
    <x v="3"/>
    <n v="3"/>
    <s v="Dr. Patel"/>
    <n v="40169"/>
    <s v="MedB"/>
    <s v="No"/>
    <x v="0"/>
    <s v="20-01-24 0:00"/>
    <s v="20-01-24 5:00"/>
    <x v="3"/>
    <s v="Accepted"/>
    <s v="Morning"/>
    <n v="7"/>
    <n v="8"/>
    <s v="Plan C"/>
  </r>
  <r>
    <x v="32"/>
    <n v="15"/>
    <x v="3"/>
    <x v="29"/>
    <x v="1"/>
    <x v="6"/>
    <x v="12"/>
    <x v="2"/>
    <n v="2"/>
    <s v="Dr. Mehta"/>
    <n v="31940"/>
    <s v="MedB"/>
    <s v="Yes"/>
    <x v="1"/>
    <d v="2023-07-04T00:00:00"/>
    <d v="2023-07-04T22:00:00"/>
    <x v="4"/>
    <s v="Rejected"/>
    <s v="Night"/>
    <n v="8"/>
    <n v="8"/>
    <s v="Plan B"/>
  </r>
  <r>
    <x v="33"/>
    <n v="62"/>
    <x v="0"/>
    <x v="30"/>
    <x v="1"/>
    <x v="31"/>
    <x v="1"/>
    <x v="2"/>
    <n v="4"/>
    <s v="Dr. Sharma"/>
    <n v="47249"/>
    <s v="MedD"/>
    <s v="No"/>
    <x v="0"/>
    <d v="2024-02-01T00:00:00"/>
    <d v="2024-03-01T15:00:00"/>
    <x v="1"/>
    <s v="Accepted"/>
    <s v="Afternoon"/>
    <n v="5"/>
    <n v="12"/>
    <s v="Plan A"/>
  </r>
  <r>
    <x v="34"/>
    <n v="62"/>
    <x v="4"/>
    <x v="31"/>
    <x v="1"/>
    <x v="32"/>
    <x v="5"/>
    <x v="4"/>
    <n v="3"/>
    <s v="Dr. Mehta"/>
    <n v="33341"/>
    <s v="MedE"/>
    <s v="No"/>
    <x v="0"/>
    <s v="15-12-23 0:00"/>
    <s v="16-12-23 16:00"/>
    <x v="4"/>
    <s v="Accepted"/>
    <s v="Morning"/>
    <n v="9"/>
    <n v="8"/>
    <s v="Plan C"/>
  </r>
  <r>
    <x v="35"/>
    <n v="47"/>
    <x v="1"/>
    <x v="32"/>
    <x v="1"/>
    <x v="33"/>
    <x v="4"/>
    <x v="5"/>
    <n v="1"/>
    <s v="Dr. Sharma"/>
    <n v="15067"/>
    <s v="MedD"/>
    <s v="No"/>
    <x v="1"/>
    <s v="26-09-23 0:00"/>
    <s v="27-09-23 15:00"/>
    <x v="1"/>
    <s v="Accepted"/>
    <s v="Night"/>
    <n v="10"/>
    <n v="10"/>
    <s v="Plan C"/>
  </r>
  <r>
    <x v="36"/>
    <n v="62"/>
    <x v="2"/>
    <x v="33"/>
    <x v="1"/>
    <x v="34"/>
    <x v="11"/>
    <x v="5"/>
    <n v="5"/>
    <s v="Dr. Rao"/>
    <n v="18824"/>
    <s v="MedC"/>
    <s v="No"/>
    <x v="1"/>
    <d v="2023-09-02T00:00:00"/>
    <d v="2023-10-02T02:00:00"/>
    <x v="3"/>
    <s v="Accepted"/>
    <s v="Morning"/>
    <n v="11"/>
    <n v="8"/>
    <s v="Plan C"/>
  </r>
  <r>
    <x v="37"/>
    <n v="51"/>
    <x v="0"/>
    <x v="34"/>
    <x v="1"/>
    <x v="35"/>
    <x v="10"/>
    <x v="2"/>
    <n v="2"/>
    <s v="Dr. Patel"/>
    <n v="18444"/>
    <s v="MedE"/>
    <s v="No"/>
    <x v="0"/>
    <d v="2024-12-04T00:00:00"/>
    <d v="2024-12-04T21:00:00"/>
    <x v="2"/>
    <s v="Accepted"/>
    <s v="Night"/>
    <n v="11"/>
    <n v="12"/>
    <s v="Plan C"/>
  </r>
  <r>
    <x v="38"/>
    <n v="55"/>
    <x v="1"/>
    <x v="35"/>
    <x v="1"/>
    <x v="36"/>
    <x v="7"/>
    <x v="1"/>
    <n v="5"/>
    <s v="Dr. Sharma"/>
    <n v="38307"/>
    <s v="MedA"/>
    <s v="No"/>
    <x v="0"/>
    <d v="2023-07-05T00:00:00"/>
    <d v="2023-07-05T02:00:00"/>
    <x v="3"/>
    <s v="Accepted"/>
    <s v="Morning"/>
    <n v="7"/>
    <n v="10"/>
    <s v="Plan C"/>
  </r>
  <r>
    <x v="39"/>
    <n v="64"/>
    <x v="4"/>
    <x v="36"/>
    <x v="1"/>
    <x v="37"/>
    <x v="6"/>
    <x v="1"/>
    <n v="3"/>
    <s v="Dr. Mehta"/>
    <n v="15974"/>
    <s v="MedD"/>
    <s v="Yes"/>
    <x v="0"/>
    <s v="23-01-24 0:00"/>
    <s v="24-01-24 17:00"/>
    <x v="0"/>
    <s v="Accepted"/>
    <s v="Afternoon"/>
    <n v="10"/>
    <n v="8"/>
    <s v="Plan A"/>
  </r>
  <r>
    <x v="40"/>
    <n v="3"/>
    <x v="5"/>
    <x v="37"/>
    <x v="1"/>
    <x v="38"/>
    <x v="6"/>
    <x v="3"/>
    <n v="1"/>
    <s v="Dr. Patel"/>
    <n v="43383"/>
    <s v="MedC"/>
    <s v="No"/>
    <x v="1"/>
    <s v="21-03-23 0:00"/>
    <s v="21-03-23 18:00"/>
    <x v="3"/>
    <s v="Accepted"/>
    <s v="Morning"/>
    <n v="6"/>
    <n v="10"/>
    <s v="Plan C"/>
  </r>
  <r>
    <x v="41"/>
    <n v="51"/>
    <x v="3"/>
    <x v="38"/>
    <x v="1"/>
    <x v="39"/>
    <x v="7"/>
    <x v="3"/>
    <n v="4"/>
    <s v="Dr. Rao"/>
    <n v="34290"/>
    <s v="MedE"/>
    <s v="Yes"/>
    <x v="0"/>
    <s v="28-10-23 0:00"/>
    <s v="29-10-23 5:00"/>
    <x v="1"/>
    <s v="Accepted"/>
    <s v="Morning"/>
    <n v="5"/>
    <n v="8"/>
    <s v="Plan B"/>
  </r>
  <r>
    <x v="42"/>
    <n v="7"/>
    <x v="1"/>
    <x v="39"/>
    <x v="1"/>
    <x v="40"/>
    <x v="13"/>
    <x v="4"/>
    <n v="5"/>
    <s v="Dr. Patel"/>
    <n v="21016"/>
    <s v="MedD"/>
    <s v="Yes"/>
    <x v="1"/>
    <d v="2024-03-01T00:00:00"/>
    <d v="2024-04-01T08:00:00"/>
    <x v="4"/>
    <s v="Accepted"/>
    <s v="Afternoon"/>
    <n v="4"/>
    <n v="12"/>
    <s v="Plan C"/>
  </r>
  <r>
    <x v="43"/>
    <n v="21"/>
    <x v="1"/>
    <x v="40"/>
    <x v="1"/>
    <x v="41"/>
    <x v="10"/>
    <x v="2"/>
    <n v="4"/>
    <s v="Dr. Sharma"/>
    <n v="37112"/>
    <s v="MedB"/>
    <s v="Yes"/>
    <x v="0"/>
    <s v="15-07-23 0:00"/>
    <s v="15-07-23 15:00"/>
    <x v="2"/>
    <s v="Accepted"/>
    <s v="Afternoon"/>
    <n v="4"/>
    <n v="8"/>
    <s v="Plan C"/>
  </r>
  <r>
    <x v="44"/>
    <n v="73"/>
    <x v="5"/>
    <x v="41"/>
    <x v="1"/>
    <x v="42"/>
    <x v="2"/>
    <x v="3"/>
    <n v="1"/>
    <s v="Dr. Rao"/>
    <n v="33513"/>
    <s v="MedD"/>
    <s v="No"/>
    <x v="1"/>
    <d v="2023-08-03T00:00:00"/>
    <d v="2023-08-03T23:00:00"/>
    <x v="3"/>
    <s v="Rejected"/>
    <s v="Morning"/>
    <n v="8"/>
    <n v="10"/>
    <s v="Plan C"/>
  </r>
  <r>
    <x v="45"/>
    <n v="39"/>
    <x v="1"/>
    <x v="42"/>
    <x v="1"/>
    <x v="43"/>
    <x v="0"/>
    <x v="3"/>
    <n v="5"/>
    <s v="Dr. Mehta"/>
    <n v="7956"/>
    <s v="MedA"/>
    <s v="Yes"/>
    <x v="1"/>
    <s v="13-02-23 0:00"/>
    <s v="14-02-23 12:00"/>
    <x v="3"/>
    <s v="Accepted"/>
    <s v="Afternoon"/>
    <n v="9"/>
    <n v="10"/>
    <s v="Plan C"/>
  </r>
  <r>
    <x v="46"/>
    <n v="18"/>
    <x v="4"/>
    <x v="43"/>
    <x v="1"/>
    <x v="44"/>
    <x v="10"/>
    <x v="0"/>
    <n v="4"/>
    <s v="Dr. Rao"/>
    <n v="13077"/>
    <s v="MedD"/>
    <s v="Yes"/>
    <x v="1"/>
    <s v="22-08-23 0:00"/>
    <s v="23-08-23 1:00"/>
    <x v="4"/>
    <s v="Accepted"/>
    <s v="Afternoon"/>
    <n v="8"/>
    <n v="10"/>
    <s v="Plan C"/>
  </r>
  <r>
    <x v="47"/>
    <n v="4"/>
    <x v="4"/>
    <x v="44"/>
    <x v="1"/>
    <x v="45"/>
    <x v="9"/>
    <x v="2"/>
    <n v="4"/>
    <s v="Dr. Rao"/>
    <n v="41490"/>
    <s v="MedE"/>
    <s v="Yes"/>
    <x v="0"/>
    <s v="19-10-23 0:00"/>
    <s v="20-10-23 4:00"/>
    <x v="2"/>
    <s v="Accepted"/>
    <s v="Night"/>
    <n v="6"/>
    <n v="8"/>
    <s v="Plan A"/>
  </r>
  <r>
    <x v="48"/>
    <n v="89"/>
    <x v="5"/>
    <x v="45"/>
    <x v="1"/>
    <x v="46"/>
    <x v="8"/>
    <x v="4"/>
    <n v="5"/>
    <s v="Dr. Gupta"/>
    <n v="49827"/>
    <s v="MedE"/>
    <s v="Yes"/>
    <x v="1"/>
    <s v="21-03-23 0:00"/>
    <s v="21-03-23 12:00"/>
    <x v="3"/>
    <s v="Accepted"/>
    <s v="Afternoon"/>
    <n v="6"/>
    <n v="8"/>
    <s v="Plan A"/>
  </r>
  <r>
    <x v="49"/>
    <n v="60"/>
    <x v="3"/>
    <x v="13"/>
    <x v="1"/>
    <x v="47"/>
    <x v="0"/>
    <x v="3"/>
    <n v="1"/>
    <s v="Dr. Rao"/>
    <n v="42855"/>
    <s v="MedD"/>
    <s v="Yes"/>
    <x v="0"/>
    <s v="22-08-23 0:00"/>
    <s v="23-08-23 20:00"/>
    <x v="3"/>
    <s v="Accepted"/>
    <s v="Afternoon"/>
    <n v="11"/>
    <n v="8"/>
    <s v="Plan C"/>
  </r>
  <r>
    <x v="50"/>
    <n v="14"/>
    <x v="2"/>
    <x v="46"/>
    <x v="1"/>
    <x v="6"/>
    <x v="10"/>
    <x v="4"/>
    <n v="4"/>
    <s v="Dr. Rao"/>
    <n v="48106"/>
    <s v="MedE"/>
    <s v="No"/>
    <x v="0"/>
    <d v="2023-12-04T00:00:00"/>
    <s v="13-04-23 14:00"/>
    <x v="1"/>
    <s v="Accepted"/>
    <s v="Morning"/>
    <n v="4"/>
    <n v="12"/>
    <s v="Plan A"/>
  </r>
  <r>
    <x v="51"/>
    <n v="9"/>
    <x v="0"/>
    <x v="28"/>
    <x v="1"/>
    <x v="48"/>
    <x v="4"/>
    <x v="5"/>
    <n v="3"/>
    <s v="Dr. Patel"/>
    <n v="39938"/>
    <s v="MedB"/>
    <s v="No"/>
    <x v="0"/>
    <s v="20-01-24 0:00"/>
    <s v="21-01-24 19:00"/>
    <x v="1"/>
    <s v="Accepted"/>
    <s v="Morning"/>
    <n v="10"/>
    <n v="12"/>
    <s v="Plan B"/>
  </r>
  <r>
    <x v="52"/>
    <n v="53"/>
    <x v="2"/>
    <x v="20"/>
    <x v="1"/>
    <x v="49"/>
    <x v="1"/>
    <x v="4"/>
    <n v="5"/>
    <s v="Dr. Mehta"/>
    <n v="41159"/>
    <s v="MedD"/>
    <s v="Yes"/>
    <x v="0"/>
    <d v="2023-12-10T00:00:00"/>
    <s v="13-10-23 1:00"/>
    <x v="0"/>
    <s v="Rejected"/>
    <s v="Night"/>
    <n v="7"/>
    <n v="12"/>
    <s v="Plan C"/>
  </r>
  <r>
    <x v="53"/>
    <n v="2"/>
    <x v="1"/>
    <x v="47"/>
    <x v="1"/>
    <x v="50"/>
    <x v="5"/>
    <x v="1"/>
    <n v="2"/>
    <s v="Dr. Patel"/>
    <n v="44710"/>
    <s v="MedB"/>
    <s v="No"/>
    <x v="0"/>
    <d v="2024-05-04T00:00:00"/>
    <d v="2024-05-04T06:00:00"/>
    <x v="4"/>
    <s v="Accepted"/>
    <s v="Morning"/>
    <n v="4"/>
    <n v="10"/>
    <s v="Plan B"/>
  </r>
  <r>
    <x v="54"/>
    <n v="84"/>
    <x v="0"/>
    <x v="48"/>
    <x v="1"/>
    <x v="51"/>
    <x v="7"/>
    <x v="1"/>
    <n v="2"/>
    <s v="Dr. Patel"/>
    <n v="23000"/>
    <s v="MedB"/>
    <s v="No"/>
    <x v="1"/>
    <d v="2024-05-01T00:00:00"/>
    <d v="2024-06-01T16:00:00"/>
    <x v="2"/>
    <s v="Accepted"/>
    <s v="Afternoon"/>
    <n v="4"/>
    <n v="10"/>
    <s v="Plan B"/>
  </r>
  <r>
    <x v="55"/>
    <n v="60"/>
    <x v="5"/>
    <x v="49"/>
    <x v="1"/>
    <x v="52"/>
    <x v="2"/>
    <x v="4"/>
    <n v="1"/>
    <s v="Dr. Sharma"/>
    <n v="18806"/>
    <s v="MedC"/>
    <s v="Yes"/>
    <x v="0"/>
    <s v="14-06-23 0:00"/>
    <s v="14-06-23 19:00"/>
    <x v="3"/>
    <s v="Accepted"/>
    <s v="Afternoon"/>
    <n v="10"/>
    <n v="10"/>
    <s v="Plan C"/>
  </r>
  <r>
    <x v="56"/>
    <n v="71"/>
    <x v="5"/>
    <x v="50"/>
    <x v="1"/>
    <x v="53"/>
    <x v="13"/>
    <x v="1"/>
    <n v="3"/>
    <s v="Dr. Patel"/>
    <n v="17809"/>
    <s v="MedD"/>
    <s v="No"/>
    <x v="1"/>
    <s v="13-01-24 0:00"/>
    <s v="13-01-24 16:00"/>
    <x v="3"/>
    <s v="Accepted"/>
    <s v="Afternoon"/>
    <n v="11"/>
    <n v="10"/>
    <s v="Plan B"/>
  </r>
  <r>
    <x v="57"/>
    <n v="44"/>
    <x v="3"/>
    <x v="51"/>
    <x v="1"/>
    <x v="51"/>
    <x v="13"/>
    <x v="5"/>
    <n v="4"/>
    <s v="Dr. Gupta"/>
    <n v="19855"/>
    <s v="MedE"/>
    <s v="No"/>
    <x v="1"/>
    <s v="29-12-23 0:00"/>
    <s v="30-12-23 22:00"/>
    <x v="0"/>
    <s v="Accepted"/>
    <s v="Morning"/>
    <n v="11"/>
    <n v="10"/>
    <s v="Plan B"/>
  </r>
  <r>
    <x v="58"/>
    <n v="8"/>
    <x v="0"/>
    <x v="52"/>
    <x v="1"/>
    <x v="54"/>
    <x v="6"/>
    <x v="2"/>
    <n v="2"/>
    <s v="Dr. Gupta"/>
    <n v="46876"/>
    <s v="MedB"/>
    <s v="Yes"/>
    <x v="0"/>
    <s v="29-07-23 0:00"/>
    <s v="29-07-23 5:00"/>
    <x v="3"/>
    <s v="Accepted"/>
    <s v="Afternoon"/>
    <n v="10"/>
    <n v="8"/>
    <s v="Plan B"/>
  </r>
  <r>
    <x v="59"/>
    <n v="47"/>
    <x v="4"/>
    <x v="53"/>
    <x v="1"/>
    <x v="55"/>
    <x v="2"/>
    <x v="1"/>
    <n v="1"/>
    <s v="Dr. Sharma"/>
    <n v="34388"/>
    <s v="MedC"/>
    <s v="Yes"/>
    <x v="0"/>
    <s v="26-09-23 0:00"/>
    <s v="26-09-23 6:00"/>
    <x v="4"/>
    <s v="Accepted"/>
    <s v="Afternoon"/>
    <n v="6"/>
    <n v="10"/>
    <s v="Plan C"/>
  </r>
  <r>
    <x v="60"/>
    <n v="35"/>
    <x v="0"/>
    <x v="54"/>
    <x v="1"/>
    <x v="56"/>
    <x v="0"/>
    <x v="1"/>
    <n v="3"/>
    <s v="Dr. Mehta"/>
    <n v="11458"/>
    <s v="MedD"/>
    <s v="No"/>
    <x v="0"/>
    <d v="2023-10-03T00:00:00"/>
    <d v="2023-10-03T18:00:00"/>
    <x v="0"/>
    <s v="Accepted"/>
    <s v="Night"/>
    <n v="10"/>
    <n v="8"/>
    <s v="Plan C"/>
  </r>
  <r>
    <x v="61"/>
    <n v="78"/>
    <x v="1"/>
    <x v="55"/>
    <x v="1"/>
    <x v="57"/>
    <x v="7"/>
    <x v="4"/>
    <n v="3"/>
    <s v="Dr. Mehta"/>
    <n v="40524"/>
    <s v="MedD"/>
    <s v="Yes"/>
    <x v="0"/>
    <s v="20-06-23 0:00"/>
    <s v="20-06-23 10:00"/>
    <x v="4"/>
    <s v="Accepted"/>
    <s v="Night"/>
    <n v="8"/>
    <n v="12"/>
    <s v="Plan B"/>
  </r>
  <r>
    <x v="62"/>
    <n v="81"/>
    <x v="4"/>
    <x v="3"/>
    <x v="1"/>
    <x v="58"/>
    <x v="0"/>
    <x v="5"/>
    <n v="1"/>
    <s v="Dr. Patel"/>
    <n v="11853"/>
    <s v="MedA"/>
    <s v="Yes"/>
    <x v="0"/>
    <d v="2023-07-09T00:00:00"/>
    <d v="2023-08-09T01:00:00"/>
    <x v="0"/>
    <s v="Accepted"/>
    <s v="Night"/>
    <n v="6"/>
    <n v="12"/>
    <s v="Plan C"/>
  </r>
  <r>
    <x v="63"/>
    <n v="36"/>
    <x v="5"/>
    <x v="56"/>
    <x v="1"/>
    <x v="59"/>
    <x v="0"/>
    <x v="2"/>
    <n v="1"/>
    <s v="Dr. Patel"/>
    <n v="45477"/>
    <s v="MedA"/>
    <s v="Yes"/>
    <x v="1"/>
    <s v="15-06-23 0:00"/>
    <s v="16-06-23 22:00"/>
    <x v="3"/>
    <s v="Accepted"/>
    <s v="Morning"/>
    <n v="10"/>
    <n v="12"/>
    <s v="Plan C"/>
  </r>
  <r>
    <x v="64"/>
    <n v="50"/>
    <x v="0"/>
    <x v="57"/>
    <x v="1"/>
    <x v="60"/>
    <x v="12"/>
    <x v="4"/>
    <n v="4"/>
    <s v="Dr. Patel"/>
    <n v="37222"/>
    <s v="MedB"/>
    <s v="Yes"/>
    <x v="1"/>
    <s v="14-04-24 0:00"/>
    <s v="15-04-24 17:00"/>
    <x v="0"/>
    <s v="Accepted"/>
    <s v="Afternoon"/>
    <n v="9"/>
    <n v="12"/>
    <s v="Plan B"/>
  </r>
  <r>
    <x v="65"/>
    <n v="4"/>
    <x v="2"/>
    <x v="58"/>
    <x v="1"/>
    <x v="61"/>
    <x v="4"/>
    <x v="4"/>
    <n v="1"/>
    <s v="Dr. Mehta"/>
    <n v="23320"/>
    <s v="MedA"/>
    <s v="No"/>
    <x v="1"/>
    <s v="23-01-24 0:00"/>
    <s v="23-01-24 10:00"/>
    <x v="1"/>
    <s v="Accepted"/>
    <s v="Afternoon"/>
    <n v="6"/>
    <n v="12"/>
    <s v="Plan C"/>
  </r>
  <r>
    <x v="66"/>
    <n v="2"/>
    <x v="3"/>
    <x v="59"/>
    <x v="1"/>
    <x v="62"/>
    <x v="4"/>
    <x v="0"/>
    <n v="4"/>
    <s v="Dr. Rao"/>
    <n v="33618"/>
    <s v="MedB"/>
    <s v="Yes"/>
    <x v="1"/>
    <d v="2023-04-10T00:00:00"/>
    <d v="2023-06-10T00:00:00"/>
    <x v="2"/>
    <s v="Accepted"/>
    <s v="Afternoon"/>
    <n v="6"/>
    <n v="10"/>
    <s v="Plan A"/>
  </r>
  <r>
    <x v="67"/>
    <n v="6"/>
    <x v="2"/>
    <x v="60"/>
    <x v="1"/>
    <x v="17"/>
    <x v="14"/>
    <x v="5"/>
    <n v="4"/>
    <s v="Dr. Gupta"/>
    <n v="22352"/>
    <s v="MedE"/>
    <s v="Yes"/>
    <x v="0"/>
    <d v="2023-12-08T00:00:00"/>
    <s v="13-08-23 1:00"/>
    <x v="3"/>
    <s v="Accepted"/>
    <s v="Night"/>
    <n v="4"/>
    <n v="10"/>
    <s v="Plan C"/>
  </r>
  <r>
    <x v="68"/>
    <n v="54"/>
    <x v="3"/>
    <x v="61"/>
    <x v="1"/>
    <x v="63"/>
    <x v="10"/>
    <x v="2"/>
    <n v="5"/>
    <s v="Dr. Rao"/>
    <n v="12297"/>
    <s v="MedB"/>
    <s v="No"/>
    <x v="0"/>
    <s v="28-11-23 0:00"/>
    <s v="28-11-23 21:00"/>
    <x v="2"/>
    <s v="Accepted"/>
    <s v="Afternoon"/>
    <n v="7"/>
    <n v="10"/>
    <s v="Plan A"/>
  </r>
  <r>
    <x v="69"/>
    <n v="4"/>
    <x v="1"/>
    <x v="62"/>
    <x v="1"/>
    <x v="64"/>
    <x v="7"/>
    <x v="5"/>
    <n v="3"/>
    <s v="Dr. Rao"/>
    <n v="32940"/>
    <s v="MedA"/>
    <s v="Yes"/>
    <x v="1"/>
    <s v="26-02-23 0:00"/>
    <s v="27-02-23 0:00"/>
    <x v="3"/>
    <s v="Accepted"/>
    <s v="Afternoon"/>
    <n v="4"/>
    <n v="12"/>
    <s v="Plan B"/>
  </r>
  <r>
    <x v="70"/>
    <n v="54"/>
    <x v="2"/>
    <x v="63"/>
    <x v="1"/>
    <x v="17"/>
    <x v="3"/>
    <x v="2"/>
    <n v="3"/>
    <s v="Dr. Mehta"/>
    <n v="8203"/>
    <s v="MedE"/>
    <s v="Yes"/>
    <x v="0"/>
    <s v="20-08-23 0:00"/>
    <s v="20-08-23 7:00"/>
    <x v="2"/>
    <s v="Accepted"/>
    <s v="Afternoon"/>
    <n v="5"/>
    <n v="12"/>
    <s v="Plan C"/>
  </r>
  <r>
    <x v="71"/>
    <n v="63"/>
    <x v="0"/>
    <x v="9"/>
    <x v="1"/>
    <x v="65"/>
    <x v="14"/>
    <x v="5"/>
    <n v="3"/>
    <s v="Dr. Rao"/>
    <n v="44267"/>
    <s v="MedA"/>
    <s v="Yes"/>
    <x v="0"/>
    <d v="2023-02-02T00:00:00"/>
    <d v="2023-02-02T06:00:00"/>
    <x v="1"/>
    <s v="Accepted"/>
    <s v="Afternoon"/>
    <n v="6"/>
    <n v="8"/>
    <s v="Plan B"/>
  </r>
  <r>
    <x v="72"/>
    <n v="18"/>
    <x v="0"/>
    <x v="64"/>
    <x v="1"/>
    <x v="66"/>
    <x v="12"/>
    <x v="4"/>
    <n v="5"/>
    <s v="Dr. Sharma"/>
    <n v="42941"/>
    <s v="MedB"/>
    <s v="No"/>
    <x v="1"/>
    <s v="18-11-23 0:00"/>
    <s v="18-11-23 1:00"/>
    <x v="2"/>
    <s v="Accepted"/>
    <s v="Afternoon"/>
    <n v="10"/>
    <n v="10"/>
    <s v="Plan B"/>
  </r>
  <r>
    <x v="73"/>
    <n v="44"/>
    <x v="2"/>
    <x v="65"/>
    <x v="1"/>
    <x v="67"/>
    <x v="7"/>
    <x v="4"/>
    <n v="4"/>
    <s v="Dr. Patel"/>
    <n v="22273"/>
    <s v="MedC"/>
    <s v="Yes"/>
    <x v="1"/>
    <d v="2024-11-02T00:00:00"/>
    <d v="2024-11-02T20:00:00"/>
    <x v="0"/>
    <s v="Accepted"/>
    <s v="Morning"/>
    <n v="10"/>
    <n v="12"/>
    <s v="Plan B"/>
  </r>
  <r>
    <x v="74"/>
    <n v="34"/>
    <x v="0"/>
    <x v="66"/>
    <x v="1"/>
    <x v="68"/>
    <x v="2"/>
    <x v="3"/>
    <n v="4"/>
    <s v="Dr. Sharma"/>
    <n v="30368"/>
    <s v="MedD"/>
    <s v="Yes"/>
    <x v="1"/>
    <s v="28-09-23 0:00"/>
    <s v="29-09-23 5:00"/>
    <x v="2"/>
    <s v="Accepted"/>
    <s v="Afternoon"/>
    <n v="10"/>
    <n v="12"/>
    <s v="Plan B"/>
  </r>
  <r>
    <x v="75"/>
    <n v="74"/>
    <x v="1"/>
    <x v="67"/>
    <x v="1"/>
    <x v="69"/>
    <x v="13"/>
    <x v="1"/>
    <n v="1"/>
    <s v="Dr. Gupta"/>
    <n v="16650"/>
    <s v="MedA"/>
    <s v="Yes"/>
    <x v="1"/>
    <d v="2023-07-03T00:00:00"/>
    <d v="2023-08-03T00:00:00"/>
    <x v="3"/>
    <s v="Accepted"/>
    <s v="Morning"/>
    <n v="6"/>
    <n v="12"/>
    <s v="Plan B"/>
  </r>
  <r>
    <x v="76"/>
    <n v="62"/>
    <x v="4"/>
    <x v="68"/>
    <x v="1"/>
    <x v="4"/>
    <x v="14"/>
    <x v="0"/>
    <n v="5"/>
    <s v="Dr. Patel"/>
    <n v="35984"/>
    <s v="MedB"/>
    <s v="Yes"/>
    <x v="1"/>
    <d v="2023-02-08T00:00:00"/>
    <d v="2023-02-08T18:00:00"/>
    <x v="4"/>
    <s v="Accepted"/>
    <s v="Afternoon"/>
    <n v="10"/>
    <n v="8"/>
    <s v="Plan C"/>
  </r>
  <r>
    <x v="77"/>
    <n v="14"/>
    <x v="1"/>
    <x v="69"/>
    <x v="1"/>
    <x v="70"/>
    <x v="9"/>
    <x v="5"/>
    <n v="1"/>
    <s v="Dr. Rao"/>
    <n v="46941"/>
    <s v="MedE"/>
    <s v="Yes"/>
    <x v="0"/>
    <s v="15-11-23 0:00"/>
    <s v="15-11-23 7:00"/>
    <x v="2"/>
    <s v="Accepted"/>
    <s v="Morning"/>
    <n v="5"/>
    <n v="12"/>
    <s v="Plan A"/>
  </r>
  <r>
    <x v="78"/>
    <n v="48"/>
    <x v="3"/>
    <x v="70"/>
    <x v="1"/>
    <x v="71"/>
    <x v="7"/>
    <x v="0"/>
    <n v="5"/>
    <s v="Dr. Gupta"/>
    <n v="12382"/>
    <s v="MedA"/>
    <s v="Yes"/>
    <x v="1"/>
    <d v="2023-05-08T00:00:00"/>
    <d v="2023-05-08T09:00:00"/>
    <x v="2"/>
    <s v="Accepted"/>
    <s v="Afternoon"/>
    <n v="6"/>
    <n v="8"/>
    <s v="Plan C"/>
  </r>
  <r>
    <x v="79"/>
    <n v="15"/>
    <x v="1"/>
    <x v="71"/>
    <x v="1"/>
    <x v="72"/>
    <x v="12"/>
    <x v="3"/>
    <n v="1"/>
    <s v="Dr. Patel"/>
    <n v="5801"/>
    <s v="MedA"/>
    <s v="No"/>
    <x v="0"/>
    <s v="22-05-24 0:00"/>
    <s v="22-05-24 6:00"/>
    <x v="2"/>
    <s v="Accepted"/>
    <s v="Afternoon"/>
    <n v="10"/>
    <n v="8"/>
    <s v="Plan C"/>
  </r>
  <r>
    <x v="80"/>
    <n v="72"/>
    <x v="3"/>
    <x v="72"/>
    <x v="1"/>
    <x v="73"/>
    <x v="7"/>
    <x v="1"/>
    <n v="2"/>
    <s v="Dr. Rao"/>
    <n v="46002"/>
    <s v="MedD"/>
    <s v="Yes"/>
    <x v="0"/>
    <d v="2024-10-02T00:00:00"/>
    <d v="2024-10-02T12:00:00"/>
    <x v="3"/>
    <s v="Accepted"/>
    <s v="Afternoon"/>
    <n v="6"/>
    <n v="10"/>
    <s v="Plan C"/>
  </r>
  <r>
    <x v="81"/>
    <n v="78"/>
    <x v="0"/>
    <x v="73"/>
    <x v="1"/>
    <x v="60"/>
    <x v="13"/>
    <x v="5"/>
    <n v="3"/>
    <s v="Dr. Sharma"/>
    <n v="24733"/>
    <s v="MedB"/>
    <s v="No"/>
    <x v="0"/>
    <s v="14-04-24 0:00"/>
    <s v="15-04-24 4:00"/>
    <x v="2"/>
    <s v="Accepted"/>
    <s v="Afternoon"/>
    <n v="9"/>
    <n v="12"/>
    <s v="Plan C"/>
  </r>
  <r>
    <x v="82"/>
    <n v="87"/>
    <x v="4"/>
    <x v="74"/>
    <x v="1"/>
    <x v="74"/>
    <x v="13"/>
    <x v="2"/>
    <n v="3"/>
    <s v="Dr. Patel"/>
    <n v="14969"/>
    <s v="MedC"/>
    <s v="Yes"/>
    <x v="0"/>
    <s v="25-05-23 0:00"/>
    <s v="26-05-23 5:00"/>
    <x v="3"/>
    <s v="Accepted"/>
    <s v="Night"/>
    <n v="6"/>
    <n v="8"/>
    <s v="Plan A"/>
  </r>
  <r>
    <x v="83"/>
    <n v="62"/>
    <x v="0"/>
    <x v="75"/>
    <x v="1"/>
    <x v="55"/>
    <x v="7"/>
    <x v="1"/>
    <n v="4"/>
    <s v="Dr. Rao"/>
    <n v="40969"/>
    <s v="MedE"/>
    <s v="No"/>
    <x v="1"/>
    <s v="26-09-23 0:00"/>
    <s v="27-09-23 12:00"/>
    <x v="3"/>
    <s v="Accepted"/>
    <s v="Afternoon"/>
    <n v="5"/>
    <n v="12"/>
    <s v="Plan C"/>
  </r>
  <r>
    <x v="84"/>
    <n v="40"/>
    <x v="5"/>
    <x v="5"/>
    <x v="1"/>
    <x v="75"/>
    <x v="10"/>
    <x v="4"/>
    <n v="2"/>
    <s v="Dr. Sharma"/>
    <n v="21733"/>
    <s v="MedB"/>
    <s v="Yes"/>
    <x v="0"/>
    <s v="18-05-23 0:00"/>
    <s v="19-05-23 12:00"/>
    <x v="4"/>
    <s v="Accepted"/>
    <s v="Morning"/>
    <n v="4"/>
    <n v="10"/>
    <s v="Plan B"/>
  </r>
  <r>
    <x v="85"/>
    <n v="85"/>
    <x v="0"/>
    <x v="76"/>
    <x v="1"/>
    <x v="76"/>
    <x v="14"/>
    <x v="3"/>
    <n v="3"/>
    <s v="Dr. Gupta"/>
    <n v="37449"/>
    <s v="MedE"/>
    <s v="No"/>
    <x v="0"/>
    <d v="2023-05-09T00:00:00"/>
    <d v="2023-06-09T09:00:00"/>
    <x v="0"/>
    <s v="Accepted"/>
    <s v="Night"/>
    <n v="6"/>
    <n v="10"/>
    <s v="Plan C"/>
  </r>
  <r>
    <x v="86"/>
    <n v="80"/>
    <x v="3"/>
    <x v="77"/>
    <x v="1"/>
    <x v="77"/>
    <x v="3"/>
    <x v="1"/>
    <n v="4"/>
    <s v="Dr. Gupta"/>
    <n v="31143"/>
    <s v="MedA"/>
    <s v="Yes"/>
    <x v="1"/>
    <s v="24-09-23 0:00"/>
    <s v="25-09-23 3:00"/>
    <x v="3"/>
    <s v="Accepted"/>
    <s v="Night"/>
    <n v="7"/>
    <n v="8"/>
    <s v="Plan C"/>
  </r>
  <r>
    <x v="87"/>
    <n v="82"/>
    <x v="0"/>
    <x v="78"/>
    <x v="1"/>
    <x v="78"/>
    <x v="14"/>
    <x v="1"/>
    <n v="2"/>
    <s v="Dr. Gupta"/>
    <n v="30705"/>
    <s v="MedD"/>
    <s v="Yes"/>
    <x v="1"/>
    <d v="2024-10-03T00:00:00"/>
    <d v="2024-10-03T07:00:00"/>
    <x v="1"/>
    <s v="Accepted"/>
    <s v="Afternoon"/>
    <n v="5"/>
    <n v="10"/>
    <s v="Plan A"/>
  </r>
  <r>
    <x v="88"/>
    <n v="53"/>
    <x v="0"/>
    <x v="79"/>
    <x v="1"/>
    <x v="79"/>
    <x v="8"/>
    <x v="4"/>
    <n v="3"/>
    <s v="Dr. Gupta"/>
    <n v="33363"/>
    <s v="MedD"/>
    <s v="Yes"/>
    <x v="0"/>
    <d v="2024-10-02T00:00:00"/>
    <d v="2024-10-02T02:00:00"/>
    <x v="2"/>
    <s v="Accepted"/>
    <s v="Morning"/>
    <n v="8"/>
    <n v="10"/>
    <s v="Plan A"/>
  </r>
  <r>
    <x v="89"/>
    <n v="24"/>
    <x v="4"/>
    <x v="39"/>
    <x v="1"/>
    <x v="80"/>
    <x v="12"/>
    <x v="5"/>
    <n v="1"/>
    <s v="Dr. Mehta"/>
    <n v="35720"/>
    <s v="MedC"/>
    <s v="No"/>
    <x v="0"/>
    <d v="2024-03-01T00:00:00"/>
    <d v="2024-03-01T06:00:00"/>
    <x v="1"/>
    <s v="Accepted"/>
    <s v="Morning"/>
    <n v="9"/>
    <n v="10"/>
    <s v="Plan B"/>
  </r>
  <r>
    <x v="90"/>
    <n v="26"/>
    <x v="0"/>
    <x v="60"/>
    <x v="1"/>
    <x v="81"/>
    <x v="4"/>
    <x v="2"/>
    <n v="5"/>
    <s v="Dr. Patel"/>
    <n v="14972"/>
    <s v="MedD"/>
    <s v="Yes"/>
    <x v="0"/>
    <d v="2023-09-08T00:00:00"/>
    <d v="2023-09-08T23:00:00"/>
    <x v="2"/>
    <s v="Accepted"/>
    <s v="Night"/>
    <n v="5"/>
    <n v="12"/>
    <s v="Plan C"/>
  </r>
  <r>
    <x v="91"/>
    <n v="89"/>
    <x v="4"/>
    <x v="80"/>
    <x v="1"/>
    <x v="82"/>
    <x v="5"/>
    <x v="4"/>
    <n v="2"/>
    <s v="Dr. Patel"/>
    <n v="38351"/>
    <s v="MedA"/>
    <s v="Yes"/>
    <x v="0"/>
    <s v="22-05-23 0:00"/>
    <s v="23-05-23 12:00"/>
    <x v="4"/>
    <s v="Accepted"/>
    <s v="Morning"/>
    <n v="4"/>
    <n v="12"/>
    <s v="Plan C"/>
  </r>
  <r>
    <x v="92"/>
    <n v="60"/>
    <x v="2"/>
    <x v="81"/>
    <x v="1"/>
    <x v="83"/>
    <x v="13"/>
    <x v="2"/>
    <n v="4"/>
    <s v="Dr. Mehta"/>
    <n v="41145"/>
    <s v="MedC"/>
    <s v="No"/>
    <x v="0"/>
    <d v="2024-04-06T00:00:00"/>
    <d v="2024-04-06T06:00:00"/>
    <x v="3"/>
    <s v="Accepted"/>
    <s v="Afternoon"/>
    <n v="10"/>
    <n v="8"/>
    <s v="Plan C"/>
  </r>
  <r>
    <x v="93"/>
    <n v="41"/>
    <x v="5"/>
    <x v="82"/>
    <x v="1"/>
    <x v="84"/>
    <x v="3"/>
    <x v="5"/>
    <n v="2"/>
    <s v="Dr. Rao"/>
    <n v="27412"/>
    <s v="MedB"/>
    <s v="Yes"/>
    <x v="1"/>
    <s v="18-05-24 0:00"/>
    <s v="19-05-24 15:00"/>
    <x v="0"/>
    <s v="Rejected"/>
    <s v="Afternoon"/>
    <n v="10"/>
    <n v="8"/>
    <s v="Plan B"/>
  </r>
  <r>
    <x v="94"/>
    <n v="29"/>
    <x v="4"/>
    <x v="83"/>
    <x v="1"/>
    <x v="46"/>
    <x v="3"/>
    <x v="1"/>
    <n v="4"/>
    <s v="Dr. Rao"/>
    <n v="29078"/>
    <s v="MedD"/>
    <s v="No"/>
    <x v="0"/>
    <s v="30-03-23 0:00"/>
    <s v="31-03-23 15:00"/>
    <x v="3"/>
    <s v="Accepted"/>
    <s v="Afternoon"/>
    <n v="5"/>
    <n v="10"/>
    <s v="Plan A"/>
  </r>
  <r>
    <x v="95"/>
    <n v="15"/>
    <x v="3"/>
    <x v="84"/>
    <x v="1"/>
    <x v="43"/>
    <x v="9"/>
    <x v="2"/>
    <n v="2"/>
    <s v="Dr. Gupta"/>
    <n v="27580"/>
    <s v="MedC"/>
    <s v="No"/>
    <x v="1"/>
    <s v="18-02-23 0:00"/>
    <s v="18-02-23 21:00"/>
    <x v="2"/>
    <s v="Accepted"/>
    <s v="Afternoon"/>
    <n v="8"/>
    <n v="10"/>
    <s v="Plan B"/>
  </r>
  <r>
    <x v="96"/>
    <n v="45"/>
    <x v="2"/>
    <x v="85"/>
    <x v="1"/>
    <x v="85"/>
    <x v="5"/>
    <x v="3"/>
    <n v="4"/>
    <s v="Dr. Sharma"/>
    <n v="19855"/>
    <s v="MedA"/>
    <s v="No"/>
    <x v="1"/>
    <s v="20-04-23 0:00"/>
    <s v="21-04-23 1:00"/>
    <x v="0"/>
    <s v="Accepted"/>
    <s v="Afternoon"/>
    <n v="10"/>
    <n v="8"/>
    <s v="Plan C"/>
  </r>
  <r>
    <x v="97"/>
    <n v="65"/>
    <x v="4"/>
    <x v="86"/>
    <x v="1"/>
    <x v="86"/>
    <x v="14"/>
    <x v="3"/>
    <n v="3"/>
    <s v="Dr. Rao"/>
    <n v="41169"/>
    <s v="MedE"/>
    <s v="Yes"/>
    <x v="0"/>
    <d v="2023-03-06T00:00:00"/>
    <d v="2023-03-06T01:00:00"/>
    <x v="3"/>
    <s v="Rejected"/>
    <s v="Night"/>
    <n v="9"/>
    <n v="10"/>
    <s v="Plan A"/>
  </r>
  <r>
    <x v="98"/>
    <n v="89"/>
    <x v="4"/>
    <x v="22"/>
    <x v="1"/>
    <x v="87"/>
    <x v="3"/>
    <x v="4"/>
    <n v="1"/>
    <s v="Dr. Sharma"/>
    <n v="24569"/>
    <s v="MedE"/>
    <s v="Yes"/>
    <x v="0"/>
    <d v="2023-08-06T00:00:00"/>
    <d v="2023-08-06T19:00:00"/>
    <x v="0"/>
    <s v="Rejected"/>
    <s v="Afternoon"/>
    <n v="7"/>
    <n v="8"/>
    <s v="Plan A"/>
  </r>
  <r>
    <x v="99"/>
    <n v="71"/>
    <x v="5"/>
    <x v="8"/>
    <x v="1"/>
    <x v="8"/>
    <x v="2"/>
    <x v="5"/>
    <n v="3"/>
    <s v="Dr. Patel"/>
    <n v="30738"/>
    <s v="MedA"/>
    <s v="Yes"/>
    <x v="0"/>
    <d v="2024-04-03T00:00:00"/>
    <d v="2024-05-03T03:00:00"/>
    <x v="2"/>
    <s v="Accepted"/>
    <s v="Afternoon"/>
    <n v="8"/>
    <n v="12"/>
    <s v="Plan B"/>
  </r>
  <r>
    <x v="100"/>
    <n v="9"/>
    <x v="3"/>
    <x v="87"/>
    <x v="1"/>
    <x v="88"/>
    <x v="0"/>
    <x v="4"/>
    <n v="1"/>
    <s v="Dr. Sharma"/>
    <n v="11772"/>
    <s v="MedA"/>
    <s v="No"/>
    <x v="0"/>
    <d v="2023-05-03T00:00:00"/>
    <d v="2023-06-03T01:00:00"/>
    <x v="4"/>
    <s v="Accepted"/>
    <s v="Night"/>
    <n v="11"/>
    <n v="10"/>
    <s v="Plan A"/>
  </r>
  <r>
    <x v="101"/>
    <n v="88"/>
    <x v="1"/>
    <x v="88"/>
    <x v="1"/>
    <x v="89"/>
    <x v="13"/>
    <x v="4"/>
    <n v="3"/>
    <s v="Dr. Patel"/>
    <n v="29874"/>
    <s v="MedE"/>
    <s v="Yes"/>
    <x v="0"/>
    <s v="29-01-24 0:00"/>
    <s v="29-01-24 6:00"/>
    <x v="4"/>
    <s v="Accepted"/>
    <s v="Night"/>
    <n v="11"/>
    <n v="10"/>
    <s v="Plan A"/>
  </r>
  <r>
    <x v="102"/>
    <n v="1"/>
    <x v="1"/>
    <x v="89"/>
    <x v="1"/>
    <x v="90"/>
    <x v="4"/>
    <x v="0"/>
    <n v="3"/>
    <s v="Dr. Mehta"/>
    <n v="24731"/>
    <s v="MedC"/>
    <s v="Yes"/>
    <x v="1"/>
    <s v="22-01-24 0:00"/>
    <s v="23-01-24 23:00"/>
    <x v="3"/>
    <s v="Accepted"/>
    <s v="Night"/>
    <n v="5"/>
    <n v="10"/>
    <s v="Plan C"/>
  </r>
  <r>
    <x v="103"/>
    <n v="8"/>
    <x v="4"/>
    <x v="90"/>
    <x v="1"/>
    <x v="91"/>
    <x v="3"/>
    <x v="4"/>
    <n v="2"/>
    <s v="Dr. Mehta"/>
    <n v="15131"/>
    <s v="MedE"/>
    <s v="No"/>
    <x v="1"/>
    <s v="19-04-24 0:00"/>
    <s v="20-04-24 12:00"/>
    <x v="1"/>
    <s v="Accepted"/>
    <s v="Morning"/>
    <n v="8"/>
    <n v="12"/>
    <s v="Plan C"/>
  </r>
  <r>
    <x v="104"/>
    <n v="88"/>
    <x v="0"/>
    <x v="91"/>
    <x v="1"/>
    <x v="92"/>
    <x v="4"/>
    <x v="0"/>
    <n v="5"/>
    <s v="Dr. Gupta"/>
    <n v="5788"/>
    <s v="MedA"/>
    <s v="Yes"/>
    <x v="1"/>
    <d v="2023-11-09T00:00:00"/>
    <d v="2023-11-09T16:00:00"/>
    <x v="2"/>
    <s v="Accepted"/>
    <s v="Morning"/>
    <n v="10"/>
    <n v="12"/>
    <s v="Plan A"/>
  </r>
  <r>
    <x v="105"/>
    <n v="63"/>
    <x v="3"/>
    <x v="92"/>
    <x v="1"/>
    <x v="93"/>
    <x v="10"/>
    <x v="3"/>
    <n v="4"/>
    <s v="Dr. Rao"/>
    <n v="21184"/>
    <s v="MedD"/>
    <s v="No"/>
    <x v="0"/>
    <d v="2023-11-01T00:00:00"/>
    <d v="2023-12-01T13:00:00"/>
    <x v="3"/>
    <s v="Accepted"/>
    <s v="Afternoon"/>
    <n v="10"/>
    <n v="10"/>
    <s v="Plan A"/>
  </r>
  <r>
    <x v="106"/>
    <n v="11"/>
    <x v="2"/>
    <x v="93"/>
    <x v="1"/>
    <x v="94"/>
    <x v="14"/>
    <x v="3"/>
    <n v="4"/>
    <s v="Dr. Gupta"/>
    <n v="35897"/>
    <s v="MedB"/>
    <s v="No"/>
    <x v="0"/>
    <s v="27-04-23 0:00"/>
    <s v="28-04-23 10:00"/>
    <x v="3"/>
    <s v="Accepted"/>
    <s v="Afternoon"/>
    <n v="5"/>
    <n v="8"/>
    <s v="Plan B"/>
  </r>
  <r>
    <x v="107"/>
    <n v="81"/>
    <x v="0"/>
    <x v="53"/>
    <x v="1"/>
    <x v="95"/>
    <x v="14"/>
    <x v="4"/>
    <n v="4"/>
    <s v="Dr. Patel"/>
    <n v="7889"/>
    <s v="MedD"/>
    <s v="No"/>
    <x v="0"/>
    <s v="28-09-23 0:00"/>
    <s v="28-09-23 11:00"/>
    <x v="4"/>
    <s v="Accepted"/>
    <s v="Afternoon"/>
    <n v="10"/>
    <n v="12"/>
    <s v="Plan B"/>
  </r>
  <r>
    <x v="108"/>
    <n v="8"/>
    <x v="0"/>
    <x v="23"/>
    <x v="1"/>
    <x v="96"/>
    <x v="7"/>
    <x v="3"/>
    <n v="1"/>
    <s v="Dr. Gupta"/>
    <n v="14569"/>
    <s v="MedD"/>
    <s v="No"/>
    <x v="0"/>
    <d v="2023-11-12T00:00:00"/>
    <d v="2023-12-12T20:00:00"/>
    <x v="0"/>
    <s v="Accepted"/>
    <s v="Morning"/>
    <n v="10"/>
    <n v="10"/>
    <s v="Plan A"/>
  </r>
  <r>
    <x v="109"/>
    <n v="35"/>
    <x v="3"/>
    <x v="94"/>
    <x v="1"/>
    <x v="97"/>
    <x v="12"/>
    <x v="5"/>
    <n v="4"/>
    <s v="Dr. Sharma"/>
    <n v="26657"/>
    <s v="MedA"/>
    <s v="Yes"/>
    <x v="0"/>
    <s v="25-04-23 0:00"/>
    <s v="26-04-23 1:00"/>
    <x v="2"/>
    <s v="Accepted"/>
    <s v="Afternoon"/>
    <n v="7"/>
    <n v="10"/>
    <s v="Plan C"/>
  </r>
  <r>
    <x v="110"/>
    <n v="35"/>
    <x v="4"/>
    <x v="38"/>
    <x v="1"/>
    <x v="98"/>
    <x v="10"/>
    <x v="0"/>
    <n v="4"/>
    <s v="Dr. Patel"/>
    <n v="15141"/>
    <s v="MedE"/>
    <s v="Yes"/>
    <x v="1"/>
    <s v="28-10-23 0:00"/>
    <s v="28-10-23 11:00"/>
    <x v="0"/>
    <s v="Accepted"/>
    <s v="Afternoon"/>
    <n v="7"/>
    <n v="12"/>
    <s v="Plan A"/>
  </r>
  <r>
    <x v="111"/>
    <n v="33"/>
    <x v="4"/>
    <x v="95"/>
    <x v="1"/>
    <x v="99"/>
    <x v="4"/>
    <x v="0"/>
    <n v="2"/>
    <s v="Dr. Mehta"/>
    <n v="24656"/>
    <s v="MedC"/>
    <s v="No"/>
    <x v="1"/>
    <s v="17-03-24 0:00"/>
    <s v="17-03-24 9:00"/>
    <x v="2"/>
    <s v="Accepted"/>
    <s v="Morning"/>
    <n v="4"/>
    <n v="8"/>
    <s v="Plan A"/>
  </r>
  <r>
    <x v="112"/>
    <n v="5"/>
    <x v="4"/>
    <x v="96"/>
    <x v="1"/>
    <x v="100"/>
    <x v="3"/>
    <x v="4"/>
    <n v="3"/>
    <s v="Dr. Rao"/>
    <n v="26618"/>
    <s v="MedD"/>
    <s v="Yes"/>
    <x v="0"/>
    <d v="2023-10-06T00:00:00"/>
    <d v="2023-10-06T18:00:00"/>
    <x v="1"/>
    <s v="Accepted"/>
    <s v="Night"/>
    <n v="7"/>
    <n v="10"/>
    <s v="Plan C"/>
  </r>
  <r>
    <x v="113"/>
    <n v="41"/>
    <x v="4"/>
    <x v="47"/>
    <x v="1"/>
    <x v="50"/>
    <x v="5"/>
    <x v="3"/>
    <n v="4"/>
    <s v="Dr. Patel"/>
    <n v="16934"/>
    <s v="MedE"/>
    <s v="Yes"/>
    <x v="0"/>
    <d v="2024-07-04T00:00:00"/>
    <d v="2024-07-04T20:00:00"/>
    <x v="4"/>
    <s v="Accepted"/>
    <s v="Morning"/>
    <n v="6"/>
    <n v="8"/>
    <s v="Plan C"/>
  </r>
  <r>
    <x v="114"/>
    <n v="28"/>
    <x v="1"/>
    <x v="97"/>
    <x v="1"/>
    <x v="101"/>
    <x v="4"/>
    <x v="2"/>
    <n v="5"/>
    <s v="Dr. Patel"/>
    <n v="47537"/>
    <s v="MedC"/>
    <s v="No"/>
    <x v="0"/>
    <d v="2023-03-01T00:00:00"/>
    <d v="2023-03-01T18:00:00"/>
    <x v="1"/>
    <s v="Accepted"/>
    <s v="Afternoon"/>
    <n v="8"/>
    <n v="8"/>
    <s v="Plan B"/>
  </r>
  <r>
    <x v="115"/>
    <n v="7"/>
    <x v="4"/>
    <x v="77"/>
    <x v="1"/>
    <x v="77"/>
    <x v="3"/>
    <x v="0"/>
    <n v="4"/>
    <s v="Dr. Sharma"/>
    <n v="28286"/>
    <s v="MedD"/>
    <s v="Yes"/>
    <x v="1"/>
    <s v="26-09-23 0:00"/>
    <s v="27-09-23 8:00"/>
    <x v="3"/>
    <s v="Accepted"/>
    <s v="Morning"/>
    <n v="8"/>
    <n v="12"/>
    <s v="Plan B"/>
  </r>
  <r>
    <x v="116"/>
    <n v="73"/>
    <x v="1"/>
    <x v="98"/>
    <x v="1"/>
    <x v="13"/>
    <x v="11"/>
    <x v="4"/>
    <n v="1"/>
    <s v="Dr. Rao"/>
    <n v="12612"/>
    <s v="MedC"/>
    <s v="No"/>
    <x v="0"/>
    <s v="25-05-24 0:00"/>
    <s v="25-05-24 10:00"/>
    <x v="4"/>
    <s v="Accepted"/>
    <s v="Night"/>
    <n v="5"/>
    <n v="10"/>
    <s v="Plan B"/>
  </r>
  <r>
    <x v="117"/>
    <n v="72"/>
    <x v="1"/>
    <x v="99"/>
    <x v="1"/>
    <x v="102"/>
    <x v="1"/>
    <x v="4"/>
    <n v="1"/>
    <s v="Dr. Mehta"/>
    <n v="37069"/>
    <s v="MedE"/>
    <s v="No"/>
    <x v="0"/>
    <s v="27-06-23 0:00"/>
    <s v="27-06-23 5:00"/>
    <x v="3"/>
    <s v="Accepted"/>
    <s v="Night"/>
    <n v="7"/>
    <n v="10"/>
    <s v="Plan B"/>
  </r>
  <r>
    <x v="118"/>
    <n v="12"/>
    <x v="4"/>
    <x v="100"/>
    <x v="1"/>
    <x v="103"/>
    <x v="9"/>
    <x v="5"/>
    <n v="1"/>
    <s v="Dr. Patel"/>
    <n v="21205"/>
    <s v="MedB"/>
    <s v="No"/>
    <x v="1"/>
    <d v="2024-02-06T00:00:00"/>
    <d v="2024-02-06T11:00:00"/>
    <x v="1"/>
    <s v="Accepted"/>
    <s v="Night"/>
    <n v="4"/>
    <n v="8"/>
    <s v="Plan C"/>
  </r>
  <r>
    <x v="119"/>
    <n v="34"/>
    <x v="5"/>
    <x v="101"/>
    <x v="1"/>
    <x v="10"/>
    <x v="2"/>
    <x v="1"/>
    <n v="4"/>
    <s v="Dr. Patel"/>
    <n v="32331"/>
    <s v="MedE"/>
    <s v="No"/>
    <x v="0"/>
    <s v="17-04-23 0:00"/>
    <s v="18-04-23 4:00"/>
    <x v="2"/>
    <s v="Accepted"/>
    <s v="Night"/>
    <n v="10"/>
    <n v="12"/>
    <s v="Plan A"/>
  </r>
  <r>
    <x v="120"/>
    <n v="33"/>
    <x v="2"/>
    <x v="102"/>
    <x v="1"/>
    <x v="104"/>
    <x v="11"/>
    <x v="1"/>
    <n v="2"/>
    <s v="Dr. Sharma"/>
    <n v="18934"/>
    <s v="MedA"/>
    <s v="No"/>
    <x v="0"/>
    <s v="29-10-23 0:00"/>
    <s v="29-10-23 18:00"/>
    <x v="3"/>
    <s v="Accepted"/>
    <s v="Night"/>
    <n v="4"/>
    <n v="12"/>
    <s v="Plan B"/>
  </r>
  <r>
    <x v="121"/>
    <n v="48"/>
    <x v="0"/>
    <x v="100"/>
    <x v="1"/>
    <x v="72"/>
    <x v="2"/>
    <x v="0"/>
    <n v="5"/>
    <s v="Dr. Gupta"/>
    <n v="15095"/>
    <s v="MedC"/>
    <s v="No"/>
    <x v="0"/>
    <d v="2024-01-06T00:00:00"/>
    <d v="2024-02-06T03:00:00"/>
    <x v="0"/>
    <s v="Accepted"/>
    <s v="Night"/>
    <n v="4"/>
    <n v="12"/>
    <s v="Plan B"/>
  </r>
  <r>
    <x v="122"/>
    <n v="23"/>
    <x v="1"/>
    <x v="16"/>
    <x v="1"/>
    <x v="105"/>
    <x v="6"/>
    <x v="5"/>
    <n v="4"/>
    <s v="Dr. Mehta"/>
    <n v="30958"/>
    <s v="MedB"/>
    <s v="Yes"/>
    <x v="1"/>
    <s v="23-07-23 0:00"/>
    <s v="23-07-23 20:00"/>
    <x v="2"/>
    <s v="Accepted"/>
    <s v="Afternoon"/>
    <n v="9"/>
    <n v="8"/>
    <s v="Plan C"/>
  </r>
  <r>
    <x v="123"/>
    <n v="62"/>
    <x v="3"/>
    <x v="86"/>
    <x v="1"/>
    <x v="100"/>
    <x v="6"/>
    <x v="5"/>
    <n v="2"/>
    <s v="Dr. Rao"/>
    <n v="42008"/>
    <s v="MedC"/>
    <s v="Yes"/>
    <x v="0"/>
    <d v="2023-04-06T00:00:00"/>
    <d v="2023-05-06T07:00:00"/>
    <x v="2"/>
    <s v="Accepted"/>
    <s v="Afternoon"/>
    <n v="10"/>
    <n v="8"/>
    <s v="Plan C"/>
  </r>
  <r>
    <x v="124"/>
    <n v="88"/>
    <x v="3"/>
    <x v="103"/>
    <x v="1"/>
    <x v="37"/>
    <x v="14"/>
    <x v="5"/>
    <n v="2"/>
    <s v="Dr. Patel"/>
    <n v="23706"/>
    <s v="MedC"/>
    <s v="No"/>
    <x v="0"/>
    <s v="17-01-24 0:00"/>
    <s v="17-01-24 5:00"/>
    <x v="1"/>
    <s v="Accepted"/>
    <s v="Morning"/>
    <n v="6"/>
    <n v="10"/>
    <s v="Plan A"/>
  </r>
  <r>
    <x v="125"/>
    <n v="37"/>
    <x v="2"/>
    <x v="104"/>
    <x v="1"/>
    <x v="106"/>
    <x v="10"/>
    <x v="0"/>
    <n v="4"/>
    <s v="Dr. Patel"/>
    <n v="48516"/>
    <s v="MedD"/>
    <s v="No"/>
    <x v="0"/>
    <d v="2023-10-06T00:00:00"/>
    <d v="2023-11-06T00:00:00"/>
    <x v="1"/>
    <s v="Accepted"/>
    <s v="Afternoon"/>
    <n v="7"/>
    <n v="12"/>
    <s v="Plan A"/>
  </r>
  <r>
    <x v="126"/>
    <n v="44"/>
    <x v="3"/>
    <x v="105"/>
    <x v="1"/>
    <x v="107"/>
    <x v="9"/>
    <x v="1"/>
    <n v="4"/>
    <s v="Dr. Mehta"/>
    <n v="43066"/>
    <s v="MedA"/>
    <s v="Yes"/>
    <x v="0"/>
    <s v="28-12-22 0:00"/>
    <s v="28-12-22 17:00"/>
    <x v="4"/>
    <s v="Accepted"/>
    <s v="Night"/>
    <n v="10"/>
    <n v="8"/>
    <s v="Plan C"/>
  </r>
  <r>
    <x v="127"/>
    <n v="86"/>
    <x v="5"/>
    <x v="106"/>
    <x v="1"/>
    <x v="108"/>
    <x v="12"/>
    <x v="5"/>
    <n v="2"/>
    <s v="Dr. Gupta"/>
    <n v="36472"/>
    <s v="MedC"/>
    <s v="Yes"/>
    <x v="0"/>
    <s v="26-11-23 0:00"/>
    <s v="26-11-23 16:00"/>
    <x v="4"/>
    <s v="Rejected"/>
    <s v="Afternoon"/>
    <n v="4"/>
    <n v="12"/>
    <s v="Plan B"/>
  </r>
  <r>
    <x v="128"/>
    <n v="35"/>
    <x v="3"/>
    <x v="107"/>
    <x v="1"/>
    <x v="109"/>
    <x v="2"/>
    <x v="3"/>
    <n v="2"/>
    <s v="Dr. Patel"/>
    <n v="39629"/>
    <s v="MedE"/>
    <s v="Yes"/>
    <x v="0"/>
    <s v="14-05-24 0:00"/>
    <s v="15-05-24 23:00"/>
    <x v="0"/>
    <s v="Accepted"/>
    <s v="Morning"/>
    <n v="10"/>
    <n v="8"/>
    <s v="Plan B"/>
  </r>
  <r>
    <x v="129"/>
    <n v="65"/>
    <x v="0"/>
    <x v="108"/>
    <x v="1"/>
    <x v="110"/>
    <x v="6"/>
    <x v="4"/>
    <n v="2"/>
    <s v="Dr. Mehta"/>
    <n v="28004"/>
    <s v="MedE"/>
    <s v="Yes"/>
    <x v="0"/>
    <s v="15-01-23 0:00"/>
    <s v="16-01-23 17:00"/>
    <x v="2"/>
    <s v="Accepted"/>
    <s v="Night"/>
    <n v="6"/>
    <n v="10"/>
    <s v="Plan B"/>
  </r>
  <r>
    <x v="130"/>
    <n v="47"/>
    <x v="0"/>
    <x v="94"/>
    <x v="1"/>
    <x v="111"/>
    <x v="9"/>
    <x v="4"/>
    <n v="4"/>
    <s v="Dr. Sharma"/>
    <n v="25431"/>
    <s v="MedD"/>
    <s v="No"/>
    <x v="0"/>
    <s v="23-04-23 0:00"/>
    <s v="24-04-23 8:00"/>
    <x v="0"/>
    <s v="Accepted"/>
    <s v="Afternoon"/>
    <n v="8"/>
    <n v="12"/>
    <s v="Plan A"/>
  </r>
  <r>
    <x v="131"/>
    <n v="78"/>
    <x v="1"/>
    <x v="109"/>
    <x v="1"/>
    <x v="112"/>
    <x v="7"/>
    <x v="2"/>
    <n v="2"/>
    <s v="Dr. Gupta"/>
    <n v="45088"/>
    <s v="MedA"/>
    <s v="No"/>
    <x v="1"/>
    <d v="2024-03-01T00:00:00"/>
    <d v="2024-04-01T15:00:00"/>
    <x v="0"/>
    <s v="Rejected"/>
    <s v="Afternoon"/>
    <n v="5"/>
    <n v="8"/>
    <s v="Plan B"/>
  </r>
  <r>
    <x v="132"/>
    <n v="3"/>
    <x v="4"/>
    <x v="110"/>
    <x v="1"/>
    <x v="113"/>
    <x v="12"/>
    <x v="2"/>
    <n v="1"/>
    <s v="Dr. Rao"/>
    <n v="49135"/>
    <s v="MedA"/>
    <s v="Yes"/>
    <x v="0"/>
    <d v="2023-07-11T00:00:00"/>
    <d v="2023-08-11T16:00:00"/>
    <x v="1"/>
    <s v="Accepted"/>
    <s v="Morning"/>
    <n v="7"/>
    <n v="12"/>
    <s v="Plan B"/>
  </r>
  <r>
    <x v="133"/>
    <n v="1"/>
    <x v="5"/>
    <x v="111"/>
    <x v="1"/>
    <x v="114"/>
    <x v="4"/>
    <x v="0"/>
    <n v="4"/>
    <s v="Dr. Patel"/>
    <n v="43015"/>
    <s v="MedE"/>
    <s v="No"/>
    <x v="1"/>
    <d v="2023-03-09T00:00:00"/>
    <d v="2023-03-09T13:00:00"/>
    <x v="0"/>
    <s v="Accepted"/>
    <s v="Night"/>
    <n v="7"/>
    <n v="8"/>
    <s v="Plan C"/>
  </r>
  <r>
    <x v="134"/>
    <n v="5"/>
    <x v="1"/>
    <x v="112"/>
    <x v="1"/>
    <x v="115"/>
    <x v="11"/>
    <x v="0"/>
    <n v="1"/>
    <s v="Dr. Mehta"/>
    <n v="39502"/>
    <s v="MedB"/>
    <s v="Yes"/>
    <x v="0"/>
    <s v="25-02-23 0:00"/>
    <s v="26-02-23 6:00"/>
    <x v="0"/>
    <s v="Accepted"/>
    <s v="Morning"/>
    <n v="9"/>
    <n v="8"/>
    <s v="Plan B"/>
  </r>
  <r>
    <x v="135"/>
    <n v="14"/>
    <x v="5"/>
    <x v="113"/>
    <x v="1"/>
    <x v="116"/>
    <x v="14"/>
    <x v="4"/>
    <n v="3"/>
    <s v="Dr. Sharma"/>
    <n v="36385"/>
    <s v="MedD"/>
    <s v="No"/>
    <x v="0"/>
    <s v="30-08-23 0:00"/>
    <s v="30-08-23 7:00"/>
    <x v="3"/>
    <s v="Accepted"/>
    <s v="Night"/>
    <n v="8"/>
    <n v="8"/>
    <s v="Plan C"/>
  </r>
  <r>
    <x v="136"/>
    <n v="27"/>
    <x v="4"/>
    <x v="37"/>
    <x v="1"/>
    <x v="117"/>
    <x v="8"/>
    <x v="3"/>
    <n v="4"/>
    <s v="Dr. Rao"/>
    <n v="9663"/>
    <s v="MedD"/>
    <s v="Yes"/>
    <x v="0"/>
    <s v="21-03-23 0:00"/>
    <s v="21-03-23 9:00"/>
    <x v="4"/>
    <s v="Accepted"/>
    <s v="Night"/>
    <n v="7"/>
    <n v="12"/>
    <s v="Plan B"/>
  </r>
  <r>
    <x v="137"/>
    <n v="9"/>
    <x v="3"/>
    <x v="114"/>
    <x v="1"/>
    <x v="118"/>
    <x v="13"/>
    <x v="1"/>
    <n v="3"/>
    <s v="Dr. Mehta"/>
    <n v="43677"/>
    <s v="MedE"/>
    <s v="No"/>
    <x v="0"/>
    <s v="25-03-23 0:00"/>
    <s v="25-03-23 20:00"/>
    <x v="4"/>
    <s v="Accepted"/>
    <s v="Afternoon"/>
    <n v="9"/>
    <n v="8"/>
    <s v="Plan A"/>
  </r>
  <r>
    <x v="138"/>
    <n v="79"/>
    <x v="3"/>
    <x v="115"/>
    <x v="1"/>
    <x v="84"/>
    <x v="0"/>
    <x v="1"/>
    <n v="2"/>
    <s v="Dr. Mehta"/>
    <n v="17818"/>
    <s v="MedE"/>
    <s v="Yes"/>
    <x v="0"/>
    <d v="2024-08-05T00:00:00"/>
    <d v="2024-08-05T01:00:00"/>
    <x v="2"/>
    <s v="Accepted"/>
    <s v="Morning"/>
    <n v="9"/>
    <n v="10"/>
    <s v="Plan B"/>
  </r>
  <r>
    <x v="139"/>
    <n v="15"/>
    <x v="4"/>
    <x v="116"/>
    <x v="1"/>
    <x v="119"/>
    <x v="9"/>
    <x v="0"/>
    <n v="2"/>
    <s v="Dr. Rao"/>
    <n v="27686"/>
    <s v="MedB"/>
    <s v="Yes"/>
    <x v="1"/>
    <d v="2023-11-03T00:00:00"/>
    <d v="2023-12-03T02:00:00"/>
    <x v="4"/>
    <s v="Accepted"/>
    <s v="Morning"/>
    <n v="9"/>
    <n v="12"/>
    <s v="Plan B"/>
  </r>
  <r>
    <x v="140"/>
    <n v="42"/>
    <x v="1"/>
    <x v="117"/>
    <x v="1"/>
    <x v="120"/>
    <x v="5"/>
    <x v="3"/>
    <n v="5"/>
    <s v="Dr. Sharma"/>
    <n v="28977"/>
    <s v="MedB"/>
    <s v="Yes"/>
    <x v="0"/>
    <d v="2023-08-05T00:00:00"/>
    <d v="2023-08-05T22:00:00"/>
    <x v="2"/>
    <s v="Accepted"/>
    <s v="Morning"/>
    <n v="11"/>
    <n v="10"/>
    <s v="Plan C"/>
  </r>
  <r>
    <x v="141"/>
    <n v="77"/>
    <x v="4"/>
    <x v="118"/>
    <x v="1"/>
    <x v="121"/>
    <x v="6"/>
    <x v="0"/>
    <n v="2"/>
    <s v="Dr. Sharma"/>
    <n v="45931"/>
    <s v="MedA"/>
    <s v="Yes"/>
    <x v="0"/>
    <d v="2023-07-05T00:00:00"/>
    <d v="2023-08-05T16:00:00"/>
    <x v="3"/>
    <s v="Accepted"/>
    <s v="Night"/>
    <n v="7"/>
    <n v="10"/>
    <s v="Plan C"/>
  </r>
  <r>
    <x v="142"/>
    <n v="51"/>
    <x v="2"/>
    <x v="119"/>
    <x v="1"/>
    <x v="122"/>
    <x v="0"/>
    <x v="1"/>
    <n v="3"/>
    <s v="Dr. Gupta"/>
    <n v="23454"/>
    <s v="MedD"/>
    <s v="Yes"/>
    <x v="1"/>
    <s v="27-04-24 0:00"/>
    <s v="28-04-24 1:00"/>
    <x v="4"/>
    <s v="Accepted"/>
    <s v="Morning"/>
    <n v="7"/>
    <n v="12"/>
    <s v="Plan C"/>
  </r>
  <r>
    <x v="143"/>
    <n v="63"/>
    <x v="0"/>
    <x v="120"/>
    <x v="1"/>
    <x v="123"/>
    <x v="4"/>
    <x v="0"/>
    <n v="2"/>
    <s v="Dr. Patel"/>
    <n v="18358"/>
    <s v="MedD"/>
    <s v="Yes"/>
    <x v="1"/>
    <s v="14-06-23 0:00"/>
    <s v="14-06-23 22:00"/>
    <x v="3"/>
    <s v="Accepted"/>
    <s v="Night"/>
    <n v="7"/>
    <n v="8"/>
    <s v="Plan B"/>
  </r>
  <r>
    <x v="144"/>
    <n v="52"/>
    <x v="1"/>
    <x v="75"/>
    <x v="1"/>
    <x v="77"/>
    <x v="4"/>
    <x v="5"/>
    <n v="4"/>
    <s v="Dr. Rao"/>
    <n v="11668"/>
    <s v="MedE"/>
    <s v="Yes"/>
    <x v="0"/>
    <s v="25-09-23 0:00"/>
    <s v="26-09-23 5:00"/>
    <x v="4"/>
    <s v="Accepted"/>
    <s v="Morning"/>
    <n v="6"/>
    <n v="10"/>
    <s v="Plan B"/>
  </r>
  <r>
    <x v="145"/>
    <n v="4"/>
    <x v="5"/>
    <x v="121"/>
    <x v="1"/>
    <x v="124"/>
    <x v="6"/>
    <x v="0"/>
    <n v="2"/>
    <s v="Dr. Rao"/>
    <n v="45769"/>
    <s v="MedA"/>
    <s v="No"/>
    <x v="0"/>
    <s v="22-06-24 0:00"/>
    <s v="22-06-24 22:00"/>
    <x v="4"/>
    <s v="Accepted"/>
    <s v="Morning"/>
    <n v="9"/>
    <n v="12"/>
    <s v="Plan A"/>
  </r>
  <r>
    <x v="146"/>
    <n v="23"/>
    <x v="2"/>
    <x v="122"/>
    <x v="1"/>
    <x v="125"/>
    <x v="13"/>
    <x v="4"/>
    <n v="5"/>
    <s v="Dr. Rao"/>
    <n v="14921"/>
    <s v="MedD"/>
    <s v="No"/>
    <x v="0"/>
    <d v="2024-05-03T00:00:00"/>
    <d v="2024-06-03T04:00:00"/>
    <x v="3"/>
    <s v="Accepted"/>
    <s v="Afternoon"/>
    <n v="6"/>
    <n v="8"/>
    <s v="Plan B"/>
  </r>
  <r>
    <x v="147"/>
    <n v="15"/>
    <x v="1"/>
    <x v="68"/>
    <x v="1"/>
    <x v="126"/>
    <x v="1"/>
    <x v="0"/>
    <n v="2"/>
    <s v="Dr. Sharma"/>
    <n v="39959"/>
    <s v="MedA"/>
    <s v="No"/>
    <x v="0"/>
    <d v="2023-05-08T00:00:00"/>
    <d v="2023-06-08T18:00:00"/>
    <x v="0"/>
    <s v="Accepted"/>
    <s v="Morning"/>
    <n v="5"/>
    <n v="12"/>
    <s v="Plan A"/>
  </r>
  <r>
    <x v="148"/>
    <n v="43"/>
    <x v="4"/>
    <x v="123"/>
    <x v="1"/>
    <x v="127"/>
    <x v="1"/>
    <x v="4"/>
    <n v="3"/>
    <s v="Dr. Patel"/>
    <n v="37328"/>
    <s v="MedA"/>
    <s v="No"/>
    <x v="1"/>
    <s v="25-07-23 0:00"/>
    <s v="26-07-23 15:00"/>
    <x v="0"/>
    <s v="Accepted"/>
    <s v="Afternoon"/>
    <n v="7"/>
    <n v="12"/>
    <s v="Plan C"/>
  </r>
  <r>
    <x v="149"/>
    <n v="29"/>
    <x v="4"/>
    <x v="124"/>
    <x v="1"/>
    <x v="128"/>
    <x v="0"/>
    <x v="3"/>
    <n v="3"/>
    <s v="Dr. Gupta"/>
    <n v="13859"/>
    <s v="MedE"/>
    <s v="Yes"/>
    <x v="0"/>
    <s v="16-11-23 0:00"/>
    <s v="16-11-23 9:00"/>
    <x v="0"/>
    <s v="Accepted"/>
    <s v="Afternoon"/>
    <n v="11"/>
    <n v="12"/>
    <s v="Plan C"/>
  </r>
  <r>
    <x v="150"/>
    <n v="36"/>
    <x v="4"/>
    <x v="79"/>
    <x v="1"/>
    <x v="129"/>
    <x v="2"/>
    <x v="1"/>
    <n v="2"/>
    <s v="Dr. Mehta"/>
    <n v="28970"/>
    <s v="MedA"/>
    <s v="Yes"/>
    <x v="0"/>
    <s v="13-02-24 0:00"/>
    <s v="13-02-24 20:00"/>
    <x v="0"/>
    <s v="Accepted"/>
    <s v="Night"/>
    <n v="10"/>
    <n v="8"/>
    <s v="Plan C"/>
  </r>
  <r>
    <x v="151"/>
    <n v="13"/>
    <x v="4"/>
    <x v="103"/>
    <x v="1"/>
    <x v="48"/>
    <x v="6"/>
    <x v="2"/>
    <n v="3"/>
    <s v="Dr. Mehta"/>
    <n v="13872"/>
    <s v="MedB"/>
    <s v="Yes"/>
    <x v="0"/>
    <s v="13-01-24 0:00"/>
    <s v="13-01-24 21:00"/>
    <x v="4"/>
    <s v="Accepted"/>
    <s v="Morning"/>
    <n v="8"/>
    <n v="10"/>
    <s v="Plan A"/>
  </r>
  <r>
    <x v="152"/>
    <n v="32"/>
    <x v="5"/>
    <x v="125"/>
    <x v="1"/>
    <x v="130"/>
    <x v="11"/>
    <x v="2"/>
    <n v="3"/>
    <s v="Dr. Rao"/>
    <n v="24230"/>
    <s v="MedB"/>
    <s v="No"/>
    <x v="0"/>
    <s v="20-03-24 0:00"/>
    <s v="21-03-24 15:00"/>
    <x v="1"/>
    <s v="Accepted"/>
    <s v="Morning"/>
    <n v="11"/>
    <n v="10"/>
    <s v="Plan B"/>
  </r>
  <r>
    <x v="153"/>
    <n v="71"/>
    <x v="2"/>
    <x v="126"/>
    <x v="1"/>
    <x v="131"/>
    <x v="8"/>
    <x v="1"/>
    <n v="5"/>
    <s v="Dr. Patel"/>
    <n v="31708"/>
    <s v="MedC"/>
    <s v="No"/>
    <x v="0"/>
    <d v="2024-11-06T00:00:00"/>
    <d v="2024-12-06T21:00:00"/>
    <x v="3"/>
    <s v="Rejected"/>
    <s v="Morning"/>
    <n v="4"/>
    <n v="12"/>
    <s v="Plan C"/>
  </r>
  <r>
    <x v="154"/>
    <n v="59"/>
    <x v="3"/>
    <x v="127"/>
    <x v="1"/>
    <x v="132"/>
    <x v="6"/>
    <x v="2"/>
    <n v="4"/>
    <s v="Dr. Sharma"/>
    <n v="23847"/>
    <s v="MedE"/>
    <s v="Yes"/>
    <x v="0"/>
    <d v="2024-02-04T00:00:00"/>
    <d v="2024-02-04T13:00:00"/>
    <x v="1"/>
    <s v="Accepted"/>
    <s v="Afternoon"/>
    <n v="5"/>
    <n v="12"/>
    <s v="Plan B"/>
  </r>
  <r>
    <x v="155"/>
    <n v="86"/>
    <x v="0"/>
    <x v="128"/>
    <x v="1"/>
    <x v="0"/>
    <x v="2"/>
    <x v="0"/>
    <n v="5"/>
    <s v="Dr. Patel"/>
    <n v="32105"/>
    <s v="MedC"/>
    <s v="Yes"/>
    <x v="0"/>
    <d v="2023-03-05T00:00:00"/>
    <d v="2023-04-05T07:00:00"/>
    <x v="1"/>
    <s v="Accepted"/>
    <s v="Morning"/>
    <n v="10"/>
    <n v="8"/>
    <s v="Plan B"/>
  </r>
  <r>
    <x v="156"/>
    <n v="28"/>
    <x v="5"/>
    <x v="129"/>
    <x v="1"/>
    <x v="133"/>
    <x v="8"/>
    <x v="3"/>
    <n v="1"/>
    <s v="Dr. Patel"/>
    <n v="9922"/>
    <s v="MedB"/>
    <s v="Yes"/>
    <x v="1"/>
    <d v="2023-07-09T00:00:00"/>
    <d v="2023-07-09T21:00:00"/>
    <x v="2"/>
    <s v="Accepted"/>
    <s v="Night"/>
    <n v="4"/>
    <n v="12"/>
    <s v="Plan C"/>
  </r>
  <r>
    <x v="157"/>
    <n v="66"/>
    <x v="5"/>
    <x v="130"/>
    <x v="1"/>
    <x v="11"/>
    <x v="2"/>
    <x v="3"/>
    <n v="5"/>
    <s v="Dr. Sharma"/>
    <n v="9392"/>
    <s v="MedC"/>
    <s v="No"/>
    <x v="0"/>
    <s v="16-08-23 0:00"/>
    <s v="16-08-23 12:00"/>
    <x v="0"/>
    <s v="Accepted"/>
    <s v="Night"/>
    <n v="4"/>
    <n v="12"/>
    <s v="Plan A"/>
  </r>
  <r>
    <x v="158"/>
    <n v="42"/>
    <x v="3"/>
    <x v="87"/>
    <x v="1"/>
    <x v="115"/>
    <x v="10"/>
    <x v="1"/>
    <n v="2"/>
    <s v="Dr. Rao"/>
    <n v="18541"/>
    <s v="MedE"/>
    <s v="Yes"/>
    <x v="0"/>
    <d v="2023-03-03T00:00:00"/>
    <d v="2023-04-03T02:00:00"/>
    <x v="4"/>
    <s v="Accepted"/>
    <s v="Morning"/>
    <n v="7"/>
    <n v="12"/>
    <s v="Plan B"/>
  </r>
  <r>
    <x v="159"/>
    <n v="45"/>
    <x v="3"/>
    <x v="131"/>
    <x v="1"/>
    <x v="134"/>
    <x v="12"/>
    <x v="2"/>
    <n v="4"/>
    <s v="Dr. Patel"/>
    <n v="24551"/>
    <s v="MedE"/>
    <s v="Yes"/>
    <x v="0"/>
    <d v="2023-08-12T00:00:00"/>
    <d v="2023-08-12T21:00:00"/>
    <x v="0"/>
    <s v="Accepted"/>
    <s v="Afternoon"/>
    <n v="8"/>
    <n v="10"/>
    <s v="Plan C"/>
  </r>
  <r>
    <x v="160"/>
    <n v="62"/>
    <x v="0"/>
    <x v="132"/>
    <x v="1"/>
    <x v="135"/>
    <x v="3"/>
    <x v="0"/>
    <n v="2"/>
    <s v="Dr. Mehta"/>
    <n v="24381"/>
    <s v="MedA"/>
    <s v="Yes"/>
    <x v="1"/>
    <s v="22-01-23 0:00"/>
    <s v="22-01-23 19:00"/>
    <x v="0"/>
    <s v="Accepted"/>
    <s v="Night"/>
    <n v="4"/>
    <n v="12"/>
    <s v="Plan B"/>
  </r>
  <r>
    <x v="161"/>
    <n v="57"/>
    <x v="0"/>
    <x v="133"/>
    <x v="1"/>
    <x v="17"/>
    <x v="2"/>
    <x v="3"/>
    <n v="1"/>
    <s v="Dr. Sharma"/>
    <n v="40995"/>
    <s v="MedD"/>
    <s v="No"/>
    <x v="0"/>
    <s v="21-08-23 0:00"/>
    <s v="23-08-23 0:00"/>
    <x v="1"/>
    <s v="Accepted"/>
    <s v="Night"/>
    <n v="9"/>
    <n v="10"/>
    <s v="Plan B"/>
  </r>
  <r>
    <x v="162"/>
    <n v="6"/>
    <x v="3"/>
    <x v="18"/>
    <x v="1"/>
    <x v="136"/>
    <x v="3"/>
    <x v="3"/>
    <n v="4"/>
    <s v="Dr. Gupta"/>
    <n v="27948"/>
    <s v="MedA"/>
    <s v="No"/>
    <x v="1"/>
    <d v="2023-09-08T00:00:00"/>
    <d v="2023-10-08T21:00:00"/>
    <x v="2"/>
    <s v="Accepted"/>
    <s v="Afternoon"/>
    <n v="10"/>
    <n v="8"/>
    <s v="Plan B"/>
  </r>
  <r>
    <x v="163"/>
    <n v="28"/>
    <x v="4"/>
    <x v="134"/>
    <x v="1"/>
    <x v="137"/>
    <x v="5"/>
    <x v="5"/>
    <n v="3"/>
    <s v="Dr. Rao"/>
    <n v="31728"/>
    <s v="MedE"/>
    <s v="Yes"/>
    <x v="0"/>
    <d v="2023-04-01T00:00:00"/>
    <d v="2023-05-01T17:00:00"/>
    <x v="0"/>
    <s v="Accepted"/>
    <s v="Night"/>
    <n v="11"/>
    <n v="8"/>
    <s v="Plan B"/>
  </r>
  <r>
    <x v="164"/>
    <n v="28"/>
    <x v="5"/>
    <x v="135"/>
    <x v="1"/>
    <x v="138"/>
    <x v="12"/>
    <x v="5"/>
    <n v="5"/>
    <s v="Dr. Sharma"/>
    <n v="7024"/>
    <s v="MedB"/>
    <s v="No"/>
    <x v="0"/>
    <d v="2023-12-03T00:00:00"/>
    <s v="13-03-23 8:00"/>
    <x v="3"/>
    <s v="Accepted"/>
    <s v="Afternoon"/>
    <n v="11"/>
    <n v="10"/>
    <s v="Plan B"/>
  </r>
  <r>
    <x v="165"/>
    <n v="44"/>
    <x v="1"/>
    <x v="136"/>
    <x v="1"/>
    <x v="115"/>
    <x v="0"/>
    <x v="3"/>
    <n v="2"/>
    <s v="Dr. Gupta"/>
    <n v="21713"/>
    <s v="MedB"/>
    <s v="Yes"/>
    <x v="0"/>
    <s v="25-02-23 0:00"/>
    <s v="26-02-23 13:00"/>
    <x v="3"/>
    <s v="Accepted"/>
    <s v="Night"/>
    <n v="4"/>
    <n v="10"/>
    <s v="Plan A"/>
  </r>
  <r>
    <x v="166"/>
    <n v="84"/>
    <x v="0"/>
    <x v="63"/>
    <x v="1"/>
    <x v="139"/>
    <x v="12"/>
    <x v="1"/>
    <n v="1"/>
    <s v="Dr. Gupta"/>
    <n v="7486"/>
    <s v="MedA"/>
    <s v="No"/>
    <x v="1"/>
    <s v="21-08-23 0:00"/>
    <s v="21-08-23 16:00"/>
    <x v="0"/>
    <s v="Accepted"/>
    <s v="Afternoon"/>
    <n v="5"/>
    <n v="10"/>
    <s v="Plan A"/>
  </r>
  <r>
    <x v="167"/>
    <n v="30"/>
    <x v="0"/>
    <x v="137"/>
    <x v="1"/>
    <x v="140"/>
    <x v="9"/>
    <x v="4"/>
    <n v="3"/>
    <s v="Dr. Patel"/>
    <n v="6155"/>
    <s v="MedE"/>
    <s v="No"/>
    <x v="0"/>
    <d v="2023-08-03T00:00:00"/>
    <d v="2023-08-03T21:00:00"/>
    <x v="1"/>
    <s v="Accepted"/>
    <s v="Night"/>
    <n v="8"/>
    <n v="10"/>
    <s v="Plan C"/>
  </r>
  <r>
    <x v="168"/>
    <n v="62"/>
    <x v="3"/>
    <x v="9"/>
    <x v="1"/>
    <x v="141"/>
    <x v="11"/>
    <x v="4"/>
    <n v="5"/>
    <s v="Dr. Patel"/>
    <n v="15082"/>
    <s v="MedB"/>
    <s v="Yes"/>
    <x v="0"/>
    <d v="2023-01-02T00:00:00"/>
    <d v="2023-02-02T01:00:00"/>
    <x v="1"/>
    <s v="Accepted"/>
    <s v="Morning"/>
    <n v="8"/>
    <n v="12"/>
    <s v="Plan A"/>
  </r>
  <r>
    <x v="169"/>
    <n v="75"/>
    <x v="2"/>
    <x v="138"/>
    <x v="1"/>
    <x v="142"/>
    <x v="10"/>
    <x v="0"/>
    <n v="3"/>
    <s v="Dr. Patel"/>
    <n v="42245"/>
    <s v="MedE"/>
    <s v="Yes"/>
    <x v="0"/>
    <s v="30-11-23 0:00"/>
    <s v="30-11-23 18:00"/>
    <x v="4"/>
    <s v="Accepted"/>
    <s v="Night"/>
    <n v="11"/>
    <n v="10"/>
    <s v="Plan A"/>
  </r>
  <r>
    <x v="170"/>
    <n v="89"/>
    <x v="1"/>
    <x v="135"/>
    <x v="1"/>
    <x v="119"/>
    <x v="1"/>
    <x v="3"/>
    <n v="5"/>
    <s v="Dr. Sharma"/>
    <n v="23569"/>
    <s v="MedB"/>
    <s v="No"/>
    <x v="0"/>
    <d v="2023-11-03T00:00:00"/>
    <d v="2023-12-03T02:00:00"/>
    <x v="2"/>
    <s v="Accepted"/>
    <s v="Night"/>
    <n v="4"/>
    <n v="10"/>
    <s v="Plan A"/>
  </r>
  <r>
    <x v="171"/>
    <n v="62"/>
    <x v="1"/>
    <x v="139"/>
    <x v="1"/>
    <x v="143"/>
    <x v="12"/>
    <x v="3"/>
    <n v="4"/>
    <s v="Dr. Sharma"/>
    <n v="12086"/>
    <s v="MedE"/>
    <s v="Yes"/>
    <x v="0"/>
    <d v="2024-08-06T00:00:00"/>
    <d v="2024-09-06T00:00:00"/>
    <x v="1"/>
    <s v="Accepted"/>
    <s v="Morning"/>
    <n v="8"/>
    <n v="10"/>
    <s v="Plan B"/>
  </r>
  <r>
    <x v="172"/>
    <n v="1"/>
    <x v="0"/>
    <x v="140"/>
    <x v="1"/>
    <x v="144"/>
    <x v="9"/>
    <x v="3"/>
    <n v="3"/>
    <s v="Dr. Rao"/>
    <n v="7317"/>
    <s v="MedC"/>
    <s v="No"/>
    <x v="0"/>
    <s v="29-08-23 0:00"/>
    <s v="29-08-23 8:00"/>
    <x v="4"/>
    <s v="Rejected"/>
    <s v="Morning"/>
    <n v="5"/>
    <n v="12"/>
    <s v="Plan B"/>
  </r>
  <r>
    <x v="173"/>
    <n v="27"/>
    <x v="4"/>
    <x v="141"/>
    <x v="1"/>
    <x v="145"/>
    <x v="5"/>
    <x v="1"/>
    <n v="3"/>
    <s v="Dr. Patel"/>
    <n v="41389"/>
    <s v="MedE"/>
    <s v="No"/>
    <x v="1"/>
    <s v="13-10-23 0:00"/>
    <s v="14-10-23 13:00"/>
    <x v="3"/>
    <s v="Rejected"/>
    <s v="Morning"/>
    <n v="11"/>
    <n v="12"/>
    <s v="Plan C"/>
  </r>
  <r>
    <x v="174"/>
    <n v="62"/>
    <x v="2"/>
    <x v="115"/>
    <x v="1"/>
    <x v="146"/>
    <x v="6"/>
    <x v="5"/>
    <n v="3"/>
    <s v="Dr. Gupta"/>
    <n v="9491"/>
    <s v="MedE"/>
    <s v="No"/>
    <x v="1"/>
    <d v="2024-07-05T00:00:00"/>
    <d v="2024-07-05T13:00:00"/>
    <x v="3"/>
    <s v="Rejected"/>
    <s v="Morning"/>
    <n v="10"/>
    <n v="12"/>
    <s v="Plan C"/>
  </r>
  <r>
    <x v="175"/>
    <n v="77"/>
    <x v="1"/>
    <x v="142"/>
    <x v="1"/>
    <x v="136"/>
    <x v="9"/>
    <x v="3"/>
    <n v="4"/>
    <s v="Dr. Mehta"/>
    <n v="20916"/>
    <s v="MedA"/>
    <s v="Yes"/>
    <x v="0"/>
    <d v="2023-08-08T00:00:00"/>
    <d v="2023-09-08T14:00:00"/>
    <x v="3"/>
    <s v="Accepted"/>
    <s v="Afternoon"/>
    <n v="5"/>
    <n v="8"/>
    <s v="Plan C"/>
  </r>
  <r>
    <x v="176"/>
    <n v="3"/>
    <x v="0"/>
    <x v="143"/>
    <x v="1"/>
    <x v="147"/>
    <x v="12"/>
    <x v="3"/>
    <n v="1"/>
    <s v="Dr. Rao"/>
    <n v="20248"/>
    <s v="MedC"/>
    <s v="Yes"/>
    <x v="0"/>
    <s v="15-05-23 0:00"/>
    <s v="16-05-23 11:00"/>
    <x v="0"/>
    <s v="Accepted"/>
    <s v="Afternoon"/>
    <n v="5"/>
    <n v="12"/>
    <s v="Plan B"/>
  </r>
  <r>
    <x v="177"/>
    <n v="70"/>
    <x v="1"/>
    <x v="144"/>
    <x v="1"/>
    <x v="148"/>
    <x v="1"/>
    <x v="2"/>
    <n v="5"/>
    <s v="Dr. Sharma"/>
    <n v="7511"/>
    <s v="MedD"/>
    <s v="No"/>
    <x v="0"/>
    <s v="26-04-24 0:00"/>
    <s v="26-04-24 12:00"/>
    <x v="2"/>
    <s v="Accepted"/>
    <s v="Night"/>
    <n v="9"/>
    <n v="10"/>
    <s v="Plan A"/>
  </r>
  <r>
    <x v="178"/>
    <n v="72"/>
    <x v="2"/>
    <x v="145"/>
    <x v="1"/>
    <x v="149"/>
    <x v="2"/>
    <x v="1"/>
    <n v="3"/>
    <s v="Dr. Rao"/>
    <n v="29226"/>
    <s v="MedA"/>
    <s v="Yes"/>
    <x v="1"/>
    <d v="2023-03-09T00:00:00"/>
    <d v="2023-04-09T20:00:00"/>
    <x v="4"/>
    <s v="Accepted"/>
    <s v="Night"/>
    <n v="7"/>
    <n v="12"/>
    <s v="Plan A"/>
  </r>
  <r>
    <x v="179"/>
    <n v="27"/>
    <x v="2"/>
    <x v="144"/>
    <x v="1"/>
    <x v="122"/>
    <x v="14"/>
    <x v="0"/>
    <n v="4"/>
    <s v="Dr. Rao"/>
    <n v="30025"/>
    <s v="MedD"/>
    <s v="No"/>
    <x v="1"/>
    <s v="26-04-24 0:00"/>
    <s v="27-04-24 12:00"/>
    <x v="2"/>
    <s v="Accepted"/>
    <s v="Night"/>
    <n v="4"/>
    <n v="12"/>
    <s v="Plan B"/>
  </r>
  <r>
    <x v="180"/>
    <n v="9"/>
    <x v="5"/>
    <x v="146"/>
    <x v="1"/>
    <x v="150"/>
    <x v="11"/>
    <x v="3"/>
    <n v="1"/>
    <s v="Dr. Rao"/>
    <n v="47314"/>
    <s v="MedB"/>
    <s v="No"/>
    <x v="0"/>
    <s v="18-02-24 0:00"/>
    <s v="18-02-24 2:00"/>
    <x v="0"/>
    <s v="Accepted"/>
    <s v="Afternoon"/>
    <n v="10"/>
    <n v="10"/>
    <s v="Plan C"/>
  </r>
  <r>
    <x v="181"/>
    <n v="62"/>
    <x v="3"/>
    <x v="147"/>
    <x v="1"/>
    <x v="151"/>
    <x v="2"/>
    <x v="2"/>
    <n v="5"/>
    <s v="Dr. Rao"/>
    <n v="12848"/>
    <s v="MedD"/>
    <s v="Yes"/>
    <x v="1"/>
    <s v="13-07-23 0:00"/>
    <s v="14-07-23 23:00"/>
    <x v="4"/>
    <s v="Rejected"/>
    <s v="Night"/>
    <n v="11"/>
    <n v="12"/>
    <s v="Plan C"/>
  </r>
  <r>
    <x v="182"/>
    <n v="37"/>
    <x v="3"/>
    <x v="148"/>
    <x v="1"/>
    <x v="10"/>
    <x v="13"/>
    <x v="4"/>
    <n v="4"/>
    <s v="Dr. Mehta"/>
    <n v="19274"/>
    <s v="MedE"/>
    <s v="No"/>
    <x v="0"/>
    <d v="2023-05-04T00:00:00"/>
    <d v="2023-06-04T06:00:00"/>
    <x v="4"/>
    <s v="Accepted"/>
    <s v="Night"/>
    <n v="8"/>
    <n v="8"/>
    <s v="Plan C"/>
  </r>
  <r>
    <x v="183"/>
    <n v="51"/>
    <x v="0"/>
    <x v="29"/>
    <x v="1"/>
    <x v="10"/>
    <x v="0"/>
    <x v="0"/>
    <n v="5"/>
    <s v="Dr. Patel"/>
    <n v="35958"/>
    <s v="MedD"/>
    <s v="Yes"/>
    <x v="1"/>
    <d v="2023-06-04T00:00:00"/>
    <d v="2023-07-04T22:00:00"/>
    <x v="1"/>
    <s v="Rejected"/>
    <s v="Afternoon"/>
    <n v="5"/>
    <n v="12"/>
    <s v="Plan B"/>
  </r>
  <r>
    <x v="184"/>
    <n v="44"/>
    <x v="2"/>
    <x v="149"/>
    <x v="1"/>
    <x v="152"/>
    <x v="0"/>
    <x v="3"/>
    <n v="3"/>
    <s v="Dr. Gupta"/>
    <n v="40233"/>
    <s v="MedA"/>
    <s v="Yes"/>
    <x v="0"/>
    <s v="16-03-24 0:00"/>
    <s v="16-03-24 14:00"/>
    <x v="2"/>
    <s v="Accepted"/>
    <s v="Night"/>
    <n v="11"/>
    <n v="8"/>
    <s v="Plan C"/>
  </r>
  <r>
    <x v="185"/>
    <n v="24"/>
    <x v="5"/>
    <x v="150"/>
    <x v="1"/>
    <x v="51"/>
    <x v="8"/>
    <x v="3"/>
    <n v="1"/>
    <s v="Dr. Rao"/>
    <n v="21304"/>
    <s v="MedA"/>
    <s v="No"/>
    <x v="0"/>
    <s v="27-12-23 0:00"/>
    <s v="28-12-23 5:00"/>
    <x v="2"/>
    <s v="Accepted"/>
    <s v="Afternoon"/>
    <n v="4"/>
    <n v="8"/>
    <s v="Plan C"/>
  </r>
  <r>
    <x v="186"/>
    <n v="79"/>
    <x v="5"/>
    <x v="122"/>
    <x v="1"/>
    <x v="99"/>
    <x v="14"/>
    <x v="2"/>
    <n v="4"/>
    <s v="Dr. Rao"/>
    <n v="16294"/>
    <s v="MedD"/>
    <s v="No"/>
    <x v="1"/>
    <d v="2024-04-03T00:00:00"/>
    <d v="2024-04-03T19:00:00"/>
    <x v="1"/>
    <s v="Accepted"/>
    <s v="Afternoon"/>
    <n v="10"/>
    <n v="8"/>
    <s v="Plan B"/>
  </r>
  <r>
    <x v="187"/>
    <n v="59"/>
    <x v="1"/>
    <x v="151"/>
    <x v="1"/>
    <x v="153"/>
    <x v="9"/>
    <x v="1"/>
    <n v="1"/>
    <s v="Dr. Rao"/>
    <n v="31425"/>
    <s v="MedA"/>
    <s v="Yes"/>
    <x v="0"/>
    <s v="23-02-24 0:00"/>
    <s v="24-02-24 21:00"/>
    <x v="3"/>
    <s v="Accepted"/>
    <s v="Morning"/>
    <n v="10"/>
    <n v="10"/>
    <s v="Plan A"/>
  </r>
  <r>
    <x v="188"/>
    <n v="32"/>
    <x v="1"/>
    <x v="152"/>
    <x v="1"/>
    <x v="154"/>
    <x v="11"/>
    <x v="3"/>
    <n v="3"/>
    <s v="Dr. Patel"/>
    <n v="8175"/>
    <s v="MedA"/>
    <s v="No"/>
    <x v="1"/>
    <s v="18-04-24 0:00"/>
    <s v="18-04-24 5:00"/>
    <x v="0"/>
    <s v="Accepted"/>
    <s v="Morning"/>
    <n v="4"/>
    <n v="12"/>
    <s v="Plan B"/>
  </r>
  <r>
    <x v="189"/>
    <n v="88"/>
    <x v="5"/>
    <x v="153"/>
    <x v="1"/>
    <x v="155"/>
    <x v="13"/>
    <x v="4"/>
    <n v="1"/>
    <s v="Dr. Sharma"/>
    <n v="45617"/>
    <s v="MedD"/>
    <s v="Yes"/>
    <x v="0"/>
    <s v="23-02-23 0:00"/>
    <s v="24-02-23 3:00"/>
    <x v="2"/>
    <s v="Accepted"/>
    <s v="Afternoon"/>
    <n v="7"/>
    <n v="8"/>
    <s v="Plan B"/>
  </r>
  <r>
    <x v="190"/>
    <n v="52"/>
    <x v="1"/>
    <x v="154"/>
    <x v="1"/>
    <x v="156"/>
    <x v="7"/>
    <x v="3"/>
    <n v="1"/>
    <s v="Dr. Sharma"/>
    <n v="32775"/>
    <s v="MedC"/>
    <s v="Yes"/>
    <x v="0"/>
    <d v="2023-08-04T00:00:00"/>
    <d v="2023-09-04T20:00:00"/>
    <x v="1"/>
    <s v="Accepted"/>
    <s v="Afternoon"/>
    <n v="9"/>
    <n v="8"/>
    <s v="Plan B"/>
  </r>
  <r>
    <x v="191"/>
    <n v="62"/>
    <x v="2"/>
    <x v="155"/>
    <x v="1"/>
    <x v="155"/>
    <x v="1"/>
    <x v="4"/>
    <n v="2"/>
    <s v="Dr. Mehta"/>
    <n v="14425"/>
    <s v="MedC"/>
    <s v="Yes"/>
    <x v="0"/>
    <d v="2023-03-03T00:00:00"/>
    <d v="2023-04-03T08:00:00"/>
    <x v="4"/>
    <s v="Accepted"/>
    <s v="Morning"/>
    <n v="8"/>
    <n v="12"/>
    <s v="Plan B"/>
  </r>
  <r>
    <x v="192"/>
    <n v="58"/>
    <x v="4"/>
    <x v="156"/>
    <x v="1"/>
    <x v="157"/>
    <x v="6"/>
    <x v="0"/>
    <n v="1"/>
    <s v="Dr. Sharma"/>
    <n v="31013"/>
    <s v="MedB"/>
    <s v="No"/>
    <x v="0"/>
    <s v="15-02-24 0:00"/>
    <s v="15-02-24 9:00"/>
    <x v="1"/>
    <s v="Accepted"/>
    <s v="Night"/>
    <n v="9"/>
    <n v="10"/>
    <s v="Plan A"/>
  </r>
  <r>
    <x v="193"/>
    <n v="52"/>
    <x v="2"/>
    <x v="157"/>
    <x v="1"/>
    <x v="158"/>
    <x v="8"/>
    <x v="0"/>
    <n v="5"/>
    <s v="Dr. Rao"/>
    <n v="32928"/>
    <s v="MedA"/>
    <s v="Yes"/>
    <x v="0"/>
    <d v="2023-10-12T00:00:00"/>
    <d v="2023-11-12T17:00:00"/>
    <x v="3"/>
    <s v="Accepted"/>
    <s v="Night"/>
    <n v="10"/>
    <n v="10"/>
    <s v="Plan C"/>
  </r>
  <r>
    <x v="194"/>
    <n v="12"/>
    <x v="5"/>
    <x v="158"/>
    <x v="1"/>
    <x v="159"/>
    <x v="7"/>
    <x v="5"/>
    <n v="4"/>
    <s v="Dr. Rao"/>
    <n v="49990"/>
    <s v="MedD"/>
    <s v="Yes"/>
    <x v="1"/>
    <s v="18-04-23 0:00"/>
    <s v="18-04-23 20:00"/>
    <x v="0"/>
    <s v="Accepted"/>
    <s v="Night"/>
    <n v="8"/>
    <n v="8"/>
    <s v="Plan B"/>
  </r>
  <r>
    <x v="195"/>
    <n v="39"/>
    <x v="5"/>
    <x v="159"/>
    <x v="1"/>
    <x v="58"/>
    <x v="1"/>
    <x v="5"/>
    <n v="2"/>
    <s v="Dr. Rao"/>
    <n v="46212"/>
    <s v="MedA"/>
    <s v="Yes"/>
    <x v="1"/>
    <d v="2023-12-09T00:00:00"/>
    <d v="2023-12-09T16:00:00"/>
    <x v="3"/>
    <s v="Accepted"/>
    <s v="Afternoon"/>
    <n v="10"/>
    <n v="10"/>
    <s v="Plan A"/>
  </r>
  <r>
    <x v="196"/>
    <n v="2"/>
    <x v="2"/>
    <x v="40"/>
    <x v="1"/>
    <x v="41"/>
    <x v="10"/>
    <x v="4"/>
    <n v="4"/>
    <s v="Dr. Mehta"/>
    <n v="13210"/>
    <s v="MedE"/>
    <s v="No"/>
    <x v="0"/>
    <s v="14-07-23 0:00"/>
    <s v="14-07-23 17:00"/>
    <x v="4"/>
    <s v="Accepted"/>
    <s v="Morning"/>
    <n v="5"/>
    <n v="12"/>
    <s v="Plan C"/>
  </r>
  <r>
    <x v="197"/>
    <n v="3"/>
    <x v="1"/>
    <x v="147"/>
    <x v="1"/>
    <x v="160"/>
    <x v="13"/>
    <x v="1"/>
    <n v="4"/>
    <s v="Dr. Rao"/>
    <n v="7759"/>
    <s v="MedA"/>
    <s v="Yes"/>
    <x v="0"/>
    <s v="13-07-23 0:00"/>
    <s v="14-07-23 19:00"/>
    <x v="4"/>
    <s v="Accepted"/>
    <s v="Night"/>
    <n v="5"/>
    <n v="10"/>
    <s v="Plan C"/>
  </r>
  <r>
    <x v="198"/>
    <n v="56"/>
    <x v="1"/>
    <x v="19"/>
    <x v="1"/>
    <x v="161"/>
    <x v="6"/>
    <x v="3"/>
    <n v="3"/>
    <s v="Dr. Sharma"/>
    <n v="21091"/>
    <s v="MedA"/>
    <s v="Yes"/>
    <x v="0"/>
    <d v="2024-01-04T00:00:00"/>
    <d v="2024-01-04T10:00:00"/>
    <x v="4"/>
    <s v="Accepted"/>
    <s v="Morning"/>
    <n v="4"/>
    <n v="12"/>
    <s v="Plan C"/>
  </r>
  <r>
    <x v="199"/>
    <n v="81"/>
    <x v="3"/>
    <x v="160"/>
    <x v="1"/>
    <x v="162"/>
    <x v="1"/>
    <x v="3"/>
    <n v="3"/>
    <s v="Dr. Patel"/>
    <n v="5002"/>
    <s v="MedC"/>
    <s v="Yes"/>
    <x v="0"/>
    <s v="24-05-23 0:00"/>
    <s v="25-05-23 22:00"/>
    <x v="4"/>
    <s v="Accepted"/>
    <s v="Morning"/>
    <n v="8"/>
    <n v="8"/>
    <s v="Plan B"/>
  </r>
  <r>
    <x v="200"/>
    <n v="59"/>
    <x v="5"/>
    <x v="8"/>
    <x v="1"/>
    <x v="163"/>
    <x v="1"/>
    <x v="5"/>
    <n v="2"/>
    <s v="Dr. Patel"/>
    <n v="45958"/>
    <s v="MedD"/>
    <s v="Yes"/>
    <x v="0"/>
    <d v="2024-06-03T00:00:00"/>
    <d v="2024-07-03T04:00:00"/>
    <x v="1"/>
    <s v="Accepted"/>
    <s v="Afternoon"/>
    <n v="8"/>
    <n v="12"/>
    <s v="Plan B"/>
  </r>
  <r>
    <x v="201"/>
    <n v="2"/>
    <x v="0"/>
    <x v="161"/>
    <x v="1"/>
    <x v="164"/>
    <x v="11"/>
    <x v="4"/>
    <n v="3"/>
    <s v="Dr. Gupta"/>
    <n v="35160"/>
    <s v="MedA"/>
    <s v="No"/>
    <x v="0"/>
    <d v="2023-04-07T00:00:00"/>
    <d v="2023-05-07T01:00:00"/>
    <x v="4"/>
    <s v="Accepted"/>
    <s v="Night"/>
    <n v="10"/>
    <n v="8"/>
    <s v="Plan C"/>
  </r>
  <r>
    <x v="202"/>
    <n v="2"/>
    <x v="3"/>
    <x v="141"/>
    <x v="1"/>
    <x v="24"/>
    <x v="2"/>
    <x v="3"/>
    <n v="3"/>
    <s v="Dr. Sharma"/>
    <n v="25707"/>
    <s v="MedC"/>
    <s v="Yes"/>
    <x v="0"/>
    <d v="2023-12-10T00:00:00"/>
    <d v="2023-12-10T05:00:00"/>
    <x v="4"/>
    <s v="Accepted"/>
    <s v="Morning"/>
    <n v="9"/>
    <n v="12"/>
    <s v="Plan C"/>
  </r>
  <r>
    <x v="203"/>
    <n v="54"/>
    <x v="1"/>
    <x v="57"/>
    <x v="1"/>
    <x v="165"/>
    <x v="10"/>
    <x v="3"/>
    <n v="3"/>
    <s v="Dr. Rao"/>
    <n v="20248"/>
    <s v="MedB"/>
    <s v="No"/>
    <x v="0"/>
    <s v="17-04-24 0:00"/>
    <s v="18-04-24 5:00"/>
    <x v="1"/>
    <s v="Accepted"/>
    <s v="Afternoon"/>
    <n v="5"/>
    <n v="12"/>
    <s v="Plan C"/>
  </r>
  <r>
    <x v="204"/>
    <n v="87"/>
    <x v="2"/>
    <x v="162"/>
    <x v="1"/>
    <x v="166"/>
    <x v="1"/>
    <x v="1"/>
    <n v="4"/>
    <s v="Dr. Patel"/>
    <n v="10773"/>
    <s v="MedC"/>
    <s v="Yes"/>
    <x v="0"/>
    <s v="13-09-23 0:00"/>
    <s v="14-09-23 15:00"/>
    <x v="4"/>
    <s v="Accepted"/>
    <s v="Afternoon"/>
    <n v="6"/>
    <n v="10"/>
    <s v="Plan C"/>
  </r>
  <r>
    <x v="205"/>
    <n v="1"/>
    <x v="1"/>
    <x v="163"/>
    <x v="1"/>
    <x v="167"/>
    <x v="10"/>
    <x v="2"/>
    <n v="2"/>
    <s v="Dr. Sharma"/>
    <n v="17786"/>
    <s v="MedC"/>
    <s v="No"/>
    <x v="1"/>
    <s v="19-03-23 0:00"/>
    <s v="20-03-23 7:00"/>
    <x v="3"/>
    <s v="Rejected"/>
    <s v="Afternoon"/>
    <n v="4"/>
    <n v="12"/>
    <s v="Plan C"/>
  </r>
  <r>
    <x v="206"/>
    <n v="19"/>
    <x v="2"/>
    <x v="164"/>
    <x v="1"/>
    <x v="168"/>
    <x v="0"/>
    <x v="5"/>
    <n v="4"/>
    <s v="Dr. Patel"/>
    <n v="20037"/>
    <s v="MedC"/>
    <s v="Yes"/>
    <x v="1"/>
    <s v="27-03-24 0:00"/>
    <s v="28-03-24 14:00"/>
    <x v="3"/>
    <s v="Accepted"/>
    <s v="Night"/>
    <n v="11"/>
    <n v="8"/>
    <s v="Plan C"/>
  </r>
  <r>
    <x v="207"/>
    <n v="2"/>
    <x v="3"/>
    <x v="154"/>
    <x v="1"/>
    <x v="169"/>
    <x v="5"/>
    <x v="5"/>
    <n v="5"/>
    <s v="Dr. Rao"/>
    <n v="6885"/>
    <s v="MedA"/>
    <s v="Yes"/>
    <x v="1"/>
    <d v="2023-08-04T00:00:00"/>
    <d v="2023-09-04T02:00:00"/>
    <x v="2"/>
    <s v="Accepted"/>
    <s v="Night"/>
    <n v="8"/>
    <n v="12"/>
    <s v="Plan A"/>
  </r>
  <r>
    <x v="208"/>
    <n v="53"/>
    <x v="5"/>
    <x v="165"/>
    <x v="1"/>
    <x v="43"/>
    <x v="10"/>
    <x v="2"/>
    <n v="4"/>
    <s v="Dr. Patel"/>
    <n v="44828"/>
    <s v="MedA"/>
    <s v="Yes"/>
    <x v="1"/>
    <s v="17-02-23 0:00"/>
    <s v="18-02-23 11:00"/>
    <x v="3"/>
    <s v="Accepted"/>
    <s v="Afternoon"/>
    <n v="7"/>
    <n v="8"/>
    <s v="Plan C"/>
  </r>
  <r>
    <x v="209"/>
    <n v="44"/>
    <x v="1"/>
    <x v="166"/>
    <x v="1"/>
    <x v="170"/>
    <x v="3"/>
    <x v="3"/>
    <n v="5"/>
    <s v="Dr. Gupta"/>
    <n v="21331"/>
    <s v="MedB"/>
    <s v="No"/>
    <x v="0"/>
    <s v="13-01-23 0:00"/>
    <s v="14-01-23 9:00"/>
    <x v="0"/>
    <s v="Accepted"/>
    <s v="Night"/>
    <n v="7"/>
    <n v="8"/>
    <s v="Plan B"/>
  </r>
  <r>
    <x v="210"/>
    <n v="32"/>
    <x v="2"/>
    <x v="11"/>
    <x v="1"/>
    <x v="28"/>
    <x v="0"/>
    <x v="1"/>
    <n v="1"/>
    <s v="Dr. Gupta"/>
    <n v="45612"/>
    <s v="MedE"/>
    <s v="No"/>
    <x v="0"/>
    <d v="2023-05-04T00:00:00"/>
    <d v="2023-06-04T21:00:00"/>
    <x v="0"/>
    <s v="Rejected"/>
    <s v="Night"/>
    <n v="6"/>
    <n v="12"/>
    <s v="Plan B"/>
  </r>
  <r>
    <x v="211"/>
    <n v="70"/>
    <x v="5"/>
    <x v="167"/>
    <x v="1"/>
    <x v="171"/>
    <x v="8"/>
    <x v="1"/>
    <n v="1"/>
    <s v="Dr. Patel"/>
    <n v="27495"/>
    <s v="MedE"/>
    <s v="Yes"/>
    <x v="0"/>
    <s v="30-08-23 0:00"/>
    <s v="31-08-23 3:00"/>
    <x v="0"/>
    <s v="Accepted"/>
    <s v="Morning"/>
    <n v="5"/>
    <n v="10"/>
    <s v="Plan B"/>
  </r>
  <r>
    <x v="212"/>
    <n v="32"/>
    <x v="0"/>
    <x v="168"/>
    <x v="1"/>
    <x v="59"/>
    <x v="6"/>
    <x v="5"/>
    <n v="5"/>
    <s v="Dr. Sharma"/>
    <n v="18450"/>
    <s v="MedE"/>
    <s v="No"/>
    <x v="0"/>
    <s v="18-06-23 0:00"/>
    <s v="19-06-23 11:00"/>
    <x v="1"/>
    <s v="Accepted"/>
    <s v="Afternoon"/>
    <n v="5"/>
    <n v="12"/>
    <s v="Plan C"/>
  </r>
  <r>
    <x v="213"/>
    <n v="68"/>
    <x v="2"/>
    <x v="146"/>
    <x v="1"/>
    <x v="172"/>
    <x v="2"/>
    <x v="1"/>
    <n v="5"/>
    <s v="Dr. Sharma"/>
    <n v="14491"/>
    <s v="MedB"/>
    <s v="Yes"/>
    <x v="0"/>
    <s v="17-02-24 0:00"/>
    <s v="17-02-24 3:00"/>
    <x v="3"/>
    <s v="Accepted"/>
    <s v="Afternoon"/>
    <n v="5"/>
    <n v="12"/>
    <s v="Plan B"/>
  </r>
  <r>
    <x v="214"/>
    <n v="55"/>
    <x v="3"/>
    <x v="115"/>
    <x v="1"/>
    <x v="173"/>
    <x v="2"/>
    <x v="0"/>
    <n v="4"/>
    <s v="Dr. Sharma"/>
    <n v="14268"/>
    <s v="MedE"/>
    <s v="Yes"/>
    <x v="1"/>
    <d v="2024-07-05T00:00:00"/>
    <d v="2024-08-05T00:00:00"/>
    <x v="0"/>
    <s v="Accepted"/>
    <s v="Night"/>
    <n v="9"/>
    <n v="10"/>
    <s v="Plan A"/>
  </r>
  <r>
    <x v="215"/>
    <n v="75"/>
    <x v="0"/>
    <x v="169"/>
    <x v="1"/>
    <x v="174"/>
    <x v="13"/>
    <x v="2"/>
    <n v="5"/>
    <s v="Dr. Patel"/>
    <n v="32757"/>
    <s v="MedE"/>
    <s v="Yes"/>
    <x v="1"/>
    <d v="2024-05-05T00:00:00"/>
    <d v="2024-06-05T21:00:00"/>
    <x v="2"/>
    <s v="Accepted"/>
    <s v="Afternoon"/>
    <n v="10"/>
    <n v="8"/>
    <s v="Plan C"/>
  </r>
  <r>
    <x v="216"/>
    <n v="56"/>
    <x v="0"/>
    <x v="170"/>
    <x v="1"/>
    <x v="175"/>
    <x v="2"/>
    <x v="3"/>
    <n v="2"/>
    <s v="Dr. Sharma"/>
    <n v="46907"/>
    <s v="MedC"/>
    <s v="No"/>
    <x v="1"/>
    <d v="2023-06-08T00:00:00"/>
    <d v="2023-07-08T11:00:00"/>
    <x v="1"/>
    <s v="Accepted"/>
    <s v="Afternoon"/>
    <n v="7"/>
    <n v="12"/>
    <s v="Plan B"/>
  </r>
  <r>
    <x v="217"/>
    <n v="17"/>
    <x v="4"/>
    <x v="65"/>
    <x v="1"/>
    <x v="176"/>
    <x v="2"/>
    <x v="0"/>
    <n v="1"/>
    <s v="Dr. Rao"/>
    <n v="11791"/>
    <s v="MedA"/>
    <s v="No"/>
    <x v="0"/>
    <s v="14-02-24 0:00"/>
    <s v="15-02-24 15:00"/>
    <x v="2"/>
    <s v="Accepted"/>
    <s v="Afternoon"/>
    <n v="5"/>
    <n v="10"/>
    <s v="Plan A"/>
  </r>
  <r>
    <x v="218"/>
    <n v="38"/>
    <x v="1"/>
    <x v="136"/>
    <x v="1"/>
    <x v="177"/>
    <x v="1"/>
    <x v="2"/>
    <n v="1"/>
    <s v="Dr. Gupta"/>
    <n v="44939"/>
    <s v="MedA"/>
    <s v="Yes"/>
    <x v="1"/>
    <s v="27-02-23 0:00"/>
    <s v="28-02-23 17:00"/>
    <x v="3"/>
    <s v="Accepted"/>
    <s v="Night"/>
    <n v="7"/>
    <n v="10"/>
    <s v="Plan A"/>
  </r>
  <r>
    <x v="219"/>
    <n v="24"/>
    <x v="2"/>
    <x v="171"/>
    <x v="1"/>
    <x v="123"/>
    <x v="2"/>
    <x v="4"/>
    <n v="5"/>
    <s v="Dr. Rao"/>
    <n v="33314"/>
    <s v="MedC"/>
    <s v="Yes"/>
    <x v="1"/>
    <s v="14-06-23 0:00"/>
    <s v="14-06-23 6:00"/>
    <x v="4"/>
    <s v="Accepted"/>
    <s v="Night"/>
    <n v="6"/>
    <n v="8"/>
    <s v="Plan B"/>
  </r>
  <r>
    <x v="220"/>
    <n v="69"/>
    <x v="0"/>
    <x v="58"/>
    <x v="1"/>
    <x v="178"/>
    <x v="11"/>
    <x v="5"/>
    <n v="3"/>
    <s v="Dr. Sharma"/>
    <n v="33583"/>
    <s v="MedC"/>
    <s v="Yes"/>
    <x v="0"/>
    <s v="21-01-24 0:00"/>
    <s v="21-01-24 7:00"/>
    <x v="2"/>
    <s v="Accepted"/>
    <s v="Night"/>
    <n v="4"/>
    <n v="10"/>
    <s v="Plan A"/>
  </r>
  <r>
    <x v="221"/>
    <n v="70"/>
    <x v="4"/>
    <x v="172"/>
    <x v="1"/>
    <x v="179"/>
    <x v="11"/>
    <x v="1"/>
    <n v="3"/>
    <s v="Dr. Rao"/>
    <n v="26550"/>
    <s v="MedC"/>
    <s v="Yes"/>
    <x v="0"/>
    <s v="31-12-22 0:00"/>
    <s v="31-12-22 16:00"/>
    <x v="4"/>
    <s v="Accepted"/>
    <s v="Morning"/>
    <n v="10"/>
    <n v="8"/>
    <s v="Plan B"/>
  </r>
  <r>
    <x v="222"/>
    <n v="86"/>
    <x v="3"/>
    <x v="173"/>
    <x v="1"/>
    <x v="180"/>
    <x v="10"/>
    <x v="4"/>
    <n v="5"/>
    <s v="Dr. Sharma"/>
    <n v="5093"/>
    <s v="MedA"/>
    <s v="Yes"/>
    <x v="1"/>
    <d v="2024-02-02T00:00:00"/>
    <d v="2024-03-02T19:00:00"/>
    <x v="1"/>
    <s v="Accepted"/>
    <s v="Afternoon"/>
    <n v="9"/>
    <n v="12"/>
    <s v="Plan A"/>
  </r>
  <r>
    <x v="223"/>
    <n v="11"/>
    <x v="5"/>
    <x v="75"/>
    <x v="1"/>
    <x v="181"/>
    <x v="14"/>
    <x v="1"/>
    <n v="2"/>
    <s v="Dr. Patel"/>
    <n v="40755"/>
    <s v="MedE"/>
    <s v="Yes"/>
    <x v="0"/>
    <s v="26-09-23 0:00"/>
    <s v="27-09-23 19:00"/>
    <x v="2"/>
    <s v="Accepted"/>
    <s v="Morning"/>
    <n v="8"/>
    <n v="10"/>
    <s v="Plan C"/>
  </r>
  <r>
    <x v="224"/>
    <n v="16"/>
    <x v="2"/>
    <x v="174"/>
    <x v="1"/>
    <x v="182"/>
    <x v="3"/>
    <x v="0"/>
    <n v="3"/>
    <s v="Dr. Rao"/>
    <n v="14967"/>
    <s v="MedC"/>
    <s v="Yes"/>
    <x v="0"/>
    <d v="2024-10-04T00:00:00"/>
    <d v="2024-10-04T23:00:00"/>
    <x v="2"/>
    <s v="Accepted"/>
    <s v="Night"/>
    <n v="6"/>
    <n v="12"/>
    <s v="Plan C"/>
  </r>
  <r>
    <x v="225"/>
    <n v="73"/>
    <x v="0"/>
    <x v="175"/>
    <x v="1"/>
    <x v="183"/>
    <x v="9"/>
    <x v="3"/>
    <n v="5"/>
    <s v="Dr. Patel"/>
    <n v="21218"/>
    <s v="MedB"/>
    <s v="Yes"/>
    <x v="0"/>
    <s v="20-10-23 0:00"/>
    <s v="20-10-23 11:00"/>
    <x v="1"/>
    <s v="Accepted"/>
    <s v="Morning"/>
    <n v="10"/>
    <n v="10"/>
    <s v="Plan C"/>
  </r>
  <r>
    <x v="226"/>
    <n v="59"/>
    <x v="1"/>
    <x v="122"/>
    <x v="1"/>
    <x v="8"/>
    <x v="4"/>
    <x v="3"/>
    <n v="2"/>
    <s v="Dr. Patel"/>
    <n v="48220"/>
    <s v="MedC"/>
    <s v="Yes"/>
    <x v="0"/>
    <d v="2024-06-03T00:00:00"/>
    <d v="2024-07-03T18:00:00"/>
    <x v="1"/>
    <s v="Accepted"/>
    <s v="Afternoon"/>
    <n v="7"/>
    <n v="10"/>
    <s v="Plan C"/>
  </r>
  <r>
    <x v="227"/>
    <n v="70"/>
    <x v="4"/>
    <x v="176"/>
    <x v="1"/>
    <x v="84"/>
    <x v="12"/>
    <x v="3"/>
    <n v="2"/>
    <s v="Dr. Mehta"/>
    <n v="13627"/>
    <s v="MedD"/>
    <s v="Yes"/>
    <x v="1"/>
    <d v="2024-09-05T00:00:00"/>
    <d v="2024-10-05T16:00:00"/>
    <x v="0"/>
    <s v="Accepted"/>
    <s v="Afternoon"/>
    <n v="6"/>
    <n v="12"/>
    <s v="Plan C"/>
  </r>
  <r>
    <x v="228"/>
    <n v="80"/>
    <x v="0"/>
    <x v="177"/>
    <x v="1"/>
    <x v="184"/>
    <x v="9"/>
    <x v="1"/>
    <n v="4"/>
    <s v="Dr. Sharma"/>
    <n v="9947"/>
    <s v="MedC"/>
    <s v="Yes"/>
    <x v="1"/>
    <d v="2023-05-06T00:00:00"/>
    <d v="2023-05-06T03:00:00"/>
    <x v="3"/>
    <s v="Accepted"/>
    <s v="Night"/>
    <n v="8"/>
    <n v="10"/>
    <s v="Plan B"/>
  </r>
  <r>
    <x v="229"/>
    <n v="3"/>
    <x v="1"/>
    <x v="147"/>
    <x v="1"/>
    <x v="185"/>
    <x v="9"/>
    <x v="4"/>
    <n v="2"/>
    <s v="Dr. Gupta"/>
    <n v="44419"/>
    <s v="MedA"/>
    <s v="No"/>
    <x v="0"/>
    <s v="13-07-23 0:00"/>
    <s v="14-07-23 13:00"/>
    <x v="2"/>
    <s v="Rejected"/>
    <s v="Night"/>
    <n v="10"/>
    <n v="12"/>
    <s v="Plan C"/>
  </r>
  <r>
    <x v="230"/>
    <n v="20"/>
    <x v="0"/>
    <x v="178"/>
    <x v="1"/>
    <x v="186"/>
    <x v="10"/>
    <x v="3"/>
    <n v="3"/>
    <s v="Dr. Sharma"/>
    <n v="28178"/>
    <s v="MedC"/>
    <s v="Yes"/>
    <x v="0"/>
    <s v="30-10-23 0:00"/>
    <s v="31-10-23 18:00"/>
    <x v="2"/>
    <s v="Accepted"/>
    <s v="Morning"/>
    <n v="9"/>
    <n v="12"/>
    <s v="Plan C"/>
  </r>
  <r>
    <x v="231"/>
    <n v="59"/>
    <x v="2"/>
    <x v="179"/>
    <x v="1"/>
    <x v="187"/>
    <x v="0"/>
    <x v="4"/>
    <n v="3"/>
    <s v="Dr. Gupta"/>
    <n v="33876"/>
    <s v="MedD"/>
    <s v="Yes"/>
    <x v="0"/>
    <d v="2023-07-08T00:00:00"/>
    <d v="2023-08-08T20:00:00"/>
    <x v="1"/>
    <s v="Accepted"/>
    <s v="Night"/>
    <n v="11"/>
    <n v="8"/>
    <s v="Plan C"/>
  </r>
  <r>
    <x v="232"/>
    <n v="36"/>
    <x v="2"/>
    <x v="112"/>
    <x v="1"/>
    <x v="64"/>
    <x v="2"/>
    <x v="1"/>
    <n v="5"/>
    <s v="Dr. Sharma"/>
    <n v="27908"/>
    <s v="MedB"/>
    <s v="Yes"/>
    <x v="0"/>
    <s v="27-02-23 0:00"/>
    <s v="28-02-23 18:00"/>
    <x v="1"/>
    <s v="Accepted"/>
    <s v="Morning"/>
    <n v="4"/>
    <n v="12"/>
    <s v="Plan C"/>
  </r>
  <r>
    <x v="233"/>
    <n v="19"/>
    <x v="2"/>
    <x v="155"/>
    <x v="1"/>
    <x v="155"/>
    <x v="1"/>
    <x v="0"/>
    <n v="5"/>
    <s v="Dr. Patel"/>
    <n v="40912"/>
    <s v="MedE"/>
    <s v="Yes"/>
    <x v="0"/>
    <d v="2023-04-03T00:00:00"/>
    <d v="2023-05-03T02:00:00"/>
    <x v="3"/>
    <s v="Accepted"/>
    <s v="Afternoon"/>
    <n v="8"/>
    <n v="8"/>
    <s v="Plan A"/>
  </r>
  <r>
    <x v="234"/>
    <n v="67"/>
    <x v="3"/>
    <x v="180"/>
    <x v="1"/>
    <x v="188"/>
    <x v="10"/>
    <x v="4"/>
    <n v="2"/>
    <s v="Dr. Rao"/>
    <n v="24971"/>
    <s v="MedC"/>
    <s v="Yes"/>
    <x v="0"/>
    <s v="18-11-23 0:00"/>
    <s v="18-11-23 22:00"/>
    <x v="1"/>
    <s v="Accepted"/>
    <s v="Afternoon"/>
    <n v="10"/>
    <n v="12"/>
    <s v="Plan C"/>
  </r>
  <r>
    <x v="235"/>
    <n v="19"/>
    <x v="3"/>
    <x v="181"/>
    <x v="1"/>
    <x v="189"/>
    <x v="13"/>
    <x v="0"/>
    <n v="1"/>
    <s v="Dr. Rao"/>
    <n v="37584"/>
    <s v="MedD"/>
    <s v="Yes"/>
    <x v="0"/>
    <s v="26-02-23 0:00"/>
    <s v="27-02-23 4:00"/>
    <x v="4"/>
    <s v="Rejected"/>
    <s v="Afternoon"/>
    <n v="9"/>
    <n v="10"/>
    <s v="Plan C"/>
  </r>
  <r>
    <x v="236"/>
    <n v="20"/>
    <x v="4"/>
    <x v="165"/>
    <x v="1"/>
    <x v="190"/>
    <x v="0"/>
    <x v="1"/>
    <n v="4"/>
    <s v="Dr. Mehta"/>
    <n v="13959"/>
    <s v="MedD"/>
    <s v="Yes"/>
    <x v="0"/>
    <s v="18-02-23 0:00"/>
    <s v="18-02-23 7:00"/>
    <x v="4"/>
    <s v="Rejected"/>
    <s v="Afternoon"/>
    <n v="7"/>
    <n v="12"/>
    <s v="Plan B"/>
  </r>
  <r>
    <x v="237"/>
    <n v="71"/>
    <x v="2"/>
    <x v="182"/>
    <x v="1"/>
    <x v="191"/>
    <x v="14"/>
    <x v="1"/>
    <n v="1"/>
    <s v="Dr. Gupta"/>
    <n v="33261"/>
    <s v="MedB"/>
    <s v="No"/>
    <x v="1"/>
    <s v="29-04-24 0:00"/>
    <s v="29-04-24 1:00"/>
    <x v="4"/>
    <s v="Accepted"/>
    <s v="Afternoon"/>
    <n v="8"/>
    <n v="10"/>
    <s v="Plan A"/>
  </r>
  <r>
    <x v="238"/>
    <n v="52"/>
    <x v="1"/>
    <x v="183"/>
    <x v="1"/>
    <x v="72"/>
    <x v="1"/>
    <x v="5"/>
    <n v="2"/>
    <s v="Dr. Gupta"/>
    <n v="46065"/>
    <s v="MedA"/>
    <s v="Yes"/>
    <x v="0"/>
    <s v="24-05-24 0:00"/>
    <s v="24-05-24 7:00"/>
    <x v="4"/>
    <s v="Rejected"/>
    <s v="Morning"/>
    <n v="11"/>
    <n v="8"/>
    <s v="Plan B"/>
  </r>
  <r>
    <x v="239"/>
    <n v="33"/>
    <x v="0"/>
    <x v="96"/>
    <x v="1"/>
    <x v="192"/>
    <x v="13"/>
    <x v="1"/>
    <n v="2"/>
    <s v="Dr. Gupta"/>
    <n v="44462"/>
    <s v="MedC"/>
    <s v="Yes"/>
    <x v="1"/>
    <d v="2023-06-06T00:00:00"/>
    <d v="2023-06-06T17:00:00"/>
    <x v="3"/>
    <s v="Accepted"/>
    <s v="Afternoon"/>
    <n v="6"/>
    <n v="10"/>
    <s v="Plan C"/>
  </r>
  <r>
    <x v="240"/>
    <n v="40"/>
    <x v="5"/>
    <x v="181"/>
    <x v="1"/>
    <x v="42"/>
    <x v="8"/>
    <x v="1"/>
    <n v="1"/>
    <s v="Dr. Patel"/>
    <n v="20835"/>
    <s v="MedD"/>
    <s v="No"/>
    <x v="1"/>
    <s v="25-02-23 0:00"/>
    <s v="25-02-23 15:00"/>
    <x v="2"/>
    <s v="Accepted"/>
    <s v="Morning"/>
    <n v="5"/>
    <n v="12"/>
    <s v="Plan B"/>
  </r>
  <r>
    <x v="241"/>
    <n v="39"/>
    <x v="1"/>
    <x v="184"/>
    <x v="1"/>
    <x v="193"/>
    <x v="11"/>
    <x v="2"/>
    <n v="4"/>
    <s v="Dr. Gupta"/>
    <n v="24257"/>
    <s v="MedB"/>
    <s v="Yes"/>
    <x v="0"/>
    <d v="2024-02-06T00:00:00"/>
    <d v="2024-03-06T09:00:00"/>
    <x v="4"/>
    <s v="Accepted"/>
    <s v="Afternoon"/>
    <n v="6"/>
    <n v="10"/>
    <s v="Plan B"/>
  </r>
  <r>
    <x v="242"/>
    <n v="82"/>
    <x v="3"/>
    <x v="185"/>
    <x v="1"/>
    <x v="167"/>
    <x v="4"/>
    <x v="3"/>
    <n v="1"/>
    <s v="Dr. Rao"/>
    <n v="8346"/>
    <s v="MedE"/>
    <s v="No"/>
    <x v="1"/>
    <s v="20-03-23 0:00"/>
    <s v="22-03-23 0:00"/>
    <x v="1"/>
    <s v="Accepted"/>
    <s v="Morning"/>
    <n v="7"/>
    <n v="8"/>
    <s v="Plan C"/>
  </r>
  <r>
    <x v="243"/>
    <n v="1"/>
    <x v="3"/>
    <x v="186"/>
    <x v="1"/>
    <x v="194"/>
    <x v="5"/>
    <x v="5"/>
    <n v="5"/>
    <s v="Dr. Patel"/>
    <n v="35807"/>
    <s v="MedD"/>
    <s v="Yes"/>
    <x v="1"/>
    <d v="2023-10-07T00:00:00"/>
    <d v="2023-11-07T10:00:00"/>
    <x v="4"/>
    <s v="Accepted"/>
    <s v="Morning"/>
    <n v="10"/>
    <n v="10"/>
    <s v="Plan A"/>
  </r>
  <r>
    <x v="244"/>
    <n v="11"/>
    <x v="1"/>
    <x v="116"/>
    <x v="1"/>
    <x v="195"/>
    <x v="12"/>
    <x v="5"/>
    <n v="3"/>
    <s v="Dr. Sharma"/>
    <n v="35418"/>
    <s v="MedB"/>
    <s v="No"/>
    <x v="1"/>
    <d v="2023-12-03T00:00:00"/>
    <s v="13-03-23 12:00"/>
    <x v="3"/>
    <s v="Accepted"/>
    <s v="Morning"/>
    <n v="11"/>
    <n v="10"/>
    <s v="Plan A"/>
  </r>
  <r>
    <x v="245"/>
    <n v="57"/>
    <x v="3"/>
    <x v="137"/>
    <x v="1"/>
    <x v="196"/>
    <x v="5"/>
    <x v="5"/>
    <n v="5"/>
    <s v="Dr. Gupta"/>
    <n v="16340"/>
    <s v="MedA"/>
    <s v="Yes"/>
    <x v="0"/>
    <d v="2023-08-03T00:00:00"/>
    <d v="2023-09-03T14:00:00"/>
    <x v="1"/>
    <s v="Accepted"/>
    <s v="Night"/>
    <n v="4"/>
    <n v="12"/>
    <s v="Plan B"/>
  </r>
  <r>
    <x v="246"/>
    <n v="89"/>
    <x v="2"/>
    <x v="187"/>
    <x v="1"/>
    <x v="114"/>
    <x v="10"/>
    <x v="2"/>
    <n v="3"/>
    <s v="Dr. Gupta"/>
    <n v="38012"/>
    <s v="MedA"/>
    <s v="Yes"/>
    <x v="0"/>
    <s v="28-08-23 0:00"/>
    <s v="29-08-23 21:00"/>
    <x v="4"/>
    <s v="Accepted"/>
    <s v="Morning"/>
    <n v="8"/>
    <n v="12"/>
    <s v="Plan C"/>
  </r>
  <r>
    <x v="247"/>
    <n v="50"/>
    <x v="4"/>
    <x v="188"/>
    <x v="1"/>
    <x v="197"/>
    <x v="2"/>
    <x v="0"/>
    <n v="2"/>
    <s v="Dr. Sharma"/>
    <n v="40393"/>
    <s v="MedD"/>
    <s v="No"/>
    <x v="0"/>
    <s v="16-02-24 0:00"/>
    <s v="17-02-24 13:00"/>
    <x v="2"/>
    <s v="Accepted"/>
    <s v="Morning"/>
    <n v="10"/>
    <n v="10"/>
    <s v="Plan B"/>
  </r>
  <r>
    <x v="248"/>
    <n v="23"/>
    <x v="0"/>
    <x v="189"/>
    <x v="1"/>
    <x v="198"/>
    <x v="12"/>
    <x v="1"/>
    <n v="4"/>
    <s v="Dr. Gupta"/>
    <n v="41617"/>
    <s v="MedD"/>
    <s v="Yes"/>
    <x v="1"/>
    <s v="28-04-23 0:00"/>
    <s v="28-04-23 15:00"/>
    <x v="1"/>
    <s v="Accepted"/>
    <s v="Afternoon"/>
    <n v="4"/>
    <n v="8"/>
    <s v="Plan B"/>
  </r>
  <r>
    <x v="249"/>
    <n v="31"/>
    <x v="4"/>
    <x v="76"/>
    <x v="1"/>
    <x v="58"/>
    <x v="9"/>
    <x v="3"/>
    <n v="1"/>
    <s v="Dr. Sharma"/>
    <n v="14597"/>
    <s v="MedC"/>
    <s v="Yes"/>
    <x v="0"/>
    <d v="2023-08-09T00:00:00"/>
    <d v="2023-09-09T05:00:00"/>
    <x v="1"/>
    <s v="Accepted"/>
    <s v="Morning"/>
    <n v="7"/>
    <n v="10"/>
    <s v="Plan B"/>
  </r>
  <r>
    <x v="250"/>
    <n v="42"/>
    <x v="0"/>
    <x v="190"/>
    <x v="1"/>
    <x v="141"/>
    <x v="7"/>
    <x v="4"/>
    <n v="4"/>
    <s v="Dr. Patel"/>
    <n v="30557"/>
    <s v="MedB"/>
    <s v="No"/>
    <x v="0"/>
    <d v="2023-07-02T00:00:00"/>
    <d v="2023-08-02T00:00:00"/>
    <x v="2"/>
    <s v="Accepted"/>
    <s v="Morning"/>
    <n v="8"/>
    <n v="8"/>
    <s v="Plan C"/>
  </r>
  <r>
    <x v="251"/>
    <n v="7"/>
    <x v="0"/>
    <x v="191"/>
    <x v="1"/>
    <x v="199"/>
    <x v="3"/>
    <x v="0"/>
    <n v="1"/>
    <s v="Dr. Rao"/>
    <n v="12737"/>
    <s v="MedD"/>
    <s v="Yes"/>
    <x v="0"/>
    <s v="23-03-23 0:00"/>
    <s v="24-03-23 2:00"/>
    <x v="1"/>
    <s v="Accepted"/>
    <s v="Night"/>
    <n v="9"/>
    <n v="8"/>
    <s v="Plan C"/>
  </r>
  <r>
    <x v="252"/>
    <n v="16"/>
    <x v="4"/>
    <x v="17"/>
    <x v="1"/>
    <x v="16"/>
    <x v="0"/>
    <x v="1"/>
    <n v="5"/>
    <s v="Dr. Sharma"/>
    <n v="49768"/>
    <s v="MedC"/>
    <s v="Yes"/>
    <x v="0"/>
    <d v="2024-05-03T00:00:00"/>
    <d v="2024-06-03T06:00:00"/>
    <x v="4"/>
    <s v="Accepted"/>
    <s v="Afternoon"/>
    <n v="9"/>
    <n v="8"/>
    <s v="Plan A"/>
  </r>
  <r>
    <x v="253"/>
    <n v="60"/>
    <x v="1"/>
    <x v="192"/>
    <x v="1"/>
    <x v="200"/>
    <x v="6"/>
    <x v="2"/>
    <n v="5"/>
    <s v="Dr. Mehta"/>
    <n v="46101"/>
    <s v="MedC"/>
    <s v="No"/>
    <x v="1"/>
    <s v="16-06-24 0:00"/>
    <s v="17-06-24 20:00"/>
    <x v="1"/>
    <s v="Accepted"/>
    <s v="Night"/>
    <n v="10"/>
    <n v="10"/>
    <s v="Plan C"/>
  </r>
  <r>
    <x v="254"/>
    <n v="2"/>
    <x v="0"/>
    <x v="64"/>
    <x v="1"/>
    <x v="188"/>
    <x v="7"/>
    <x v="1"/>
    <n v="1"/>
    <s v="Dr. Sharma"/>
    <n v="22276"/>
    <s v="MedD"/>
    <s v="Yes"/>
    <x v="0"/>
    <s v="20-11-23 0:00"/>
    <s v="21-11-23 14:00"/>
    <x v="4"/>
    <s v="Accepted"/>
    <s v="Night"/>
    <n v="6"/>
    <n v="8"/>
    <s v="Plan B"/>
  </r>
  <r>
    <x v="255"/>
    <n v="1"/>
    <x v="4"/>
    <x v="193"/>
    <x v="1"/>
    <x v="201"/>
    <x v="13"/>
    <x v="1"/>
    <n v="4"/>
    <s v="Dr. Gupta"/>
    <n v="12310"/>
    <s v="MedA"/>
    <s v="No"/>
    <x v="0"/>
    <s v="21-09-23 0:00"/>
    <s v="22-09-23 21:00"/>
    <x v="2"/>
    <s v="Accepted"/>
    <s v="Night"/>
    <n v="10"/>
    <n v="10"/>
    <s v="Plan B"/>
  </r>
  <r>
    <x v="256"/>
    <n v="48"/>
    <x v="0"/>
    <x v="194"/>
    <x v="1"/>
    <x v="105"/>
    <x v="2"/>
    <x v="2"/>
    <n v="1"/>
    <s v="Dr. Patel"/>
    <n v="40167"/>
    <s v="MedB"/>
    <s v="No"/>
    <x v="0"/>
    <s v="25-07-23 0:00"/>
    <s v="26-07-23 9:00"/>
    <x v="0"/>
    <s v="Rejected"/>
    <s v="Morning"/>
    <n v="6"/>
    <n v="8"/>
    <s v="Plan A"/>
  </r>
  <r>
    <x v="257"/>
    <n v="12"/>
    <x v="5"/>
    <x v="180"/>
    <x v="1"/>
    <x v="188"/>
    <x v="10"/>
    <x v="5"/>
    <n v="2"/>
    <s v="Dr. Patel"/>
    <n v="42408"/>
    <s v="MedB"/>
    <s v="Yes"/>
    <x v="0"/>
    <s v="17-11-23 0:00"/>
    <s v="17-11-23 10:00"/>
    <x v="2"/>
    <s v="Accepted"/>
    <s v="Night"/>
    <n v="11"/>
    <n v="8"/>
    <s v="Plan C"/>
  </r>
  <r>
    <x v="258"/>
    <n v="69"/>
    <x v="1"/>
    <x v="195"/>
    <x v="1"/>
    <x v="92"/>
    <x v="13"/>
    <x v="5"/>
    <n v="5"/>
    <s v="Dr. Sharma"/>
    <n v="24344"/>
    <s v="MedA"/>
    <s v="Yes"/>
    <x v="0"/>
    <s v="31-08-23 0:00"/>
    <s v="31-08-23 23:00"/>
    <x v="4"/>
    <s v="Rejected"/>
    <s v="Night"/>
    <n v="7"/>
    <n v="10"/>
    <s v="Plan B"/>
  </r>
  <r>
    <x v="259"/>
    <n v="37"/>
    <x v="2"/>
    <x v="75"/>
    <x v="1"/>
    <x v="202"/>
    <x v="9"/>
    <x v="3"/>
    <n v="2"/>
    <s v="Dr. Rao"/>
    <n v="15391"/>
    <s v="MedD"/>
    <s v="Yes"/>
    <x v="0"/>
    <s v="25-09-23 0:00"/>
    <s v="25-09-23 2:00"/>
    <x v="3"/>
    <s v="Accepted"/>
    <s v="Afternoon"/>
    <n v="9"/>
    <n v="12"/>
    <s v="Plan A"/>
  </r>
  <r>
    <x v="260"/>
    <n v="32"/>
    <x v="0"/>
    <x v="72"/>
    <x v="1"/>
    <x v="203"/>
    <x v="10"/>
    <x v="3"/>
    <n v="5"/>
    <s v="Dr. Mehta"/>
    <n v="15892"/>
    <s v="MedB"/>
    <s v="Yes"/>
    <x v="0"/>
    <d v="2024-08-02T00:00:00"/>
    <d v="2024-09-02T07:00:00"/>
    <x v="2"/>
    <s v="Accepted"/>
    <s v="Afternoon"/>
    <n v="11"/>
    <n v="12"/>
    <s v="Plan A"/>
  </r>
  <r>
    <x v="261"/>
    <n v="9"/>
    <x v="5"/>
    <x v="196"/>
    <x v="1"/>
    <x v="204"/>
    <x v="2"/>
    <x v="5"/>
    <n v="5"/>
    <s v="Dr. Patel"/>
    <n v="16197"/>
    <s v="MedD"/>
    <s v="No"/>
    <x v="0"/>
    <s v="15-05-23 0:00"/>
    <s v="15-05-23 7:00"/>
    <x v="3"/>
    <s v="Accepted"/>
    <s v="Afternoon"/>
    <n v="8"/>
    <n v="10"/>
    <s v="Plan B"/>
  </r>
  <r>
    <x v="262"/>
    <n v="19"/>
    <x v="2"/>
    <x v="197"/>
    <x v="1"/>
    <x v="205"/>
    <x v="14"/>
    <x v="0"/>
    <n v="3"/>
    <s v="Dr. Gupta"/>
    <n v="18050"/>
    <s v="MedD"/>
    <s v="Yes"/>
    <x v="0"/>
    <d v="2023-01-11T00:00:00"/>
    <d v="2023-01-11T19:00:00"/>
    <x v="3"/>
    <s v="Accepted"/>
    <s v="Afternoon"/>
    <n v="9"/>
    <n v="10"/>
    <s v="Plan B"/>
  </r>
  <r>
    <x v="263"/>
    <n v="48"/>
    <x v="2"/>
    <x v="198"/>
    <x v="1"/>
    <x v="206"/>
    <x v="5"/>
    <x v="4"/>
    <n v="2"/>
    <s v="Dr. Gupta"/>
    <n v="41142"/>
    <s v="MedC"/>
    <s v="Yes"/>
    <x v="1"/>
    <d v="2024-09-04T00:00:00"/>
    <d v="2024-10-04T03:00:00"/>
    <x v="4"/>
    <s v="Accepted"/>
    <s v="Night"/>
    <n v="6"/>
    <n v="12"/>
    <s v="Plan C"/>
  </r>
  <r>
    <x v="264"/>
    <n v="80"/>
    <x v="0"/>
    <x v="64"/>
    <x v="1"/>
    <x v="66"/>
    <x v="12"/>
    <x v="1"/>
    <n v="2"/>
    <s v="Dr. Rao"/>
    <n v="46615"/>
    <s v="MedA"/>
    <s v="No"/>
    <x v="0"/>
    <s v="17-11-23 0:00"/>
    <s v="17-11-23 6:00"/>
    <x v="4"/>
    <s v="Accepted"/>
    <s v="Afternoon"/>
    <n v="10"/>
    <n v="12"/>
    <s v="Plan A"/>
  </r>
  <r>
    <x v="265"/>
    <n v="3"/>
    <x v="4"/>
    <x v="199"/>
    <x v="1"/>
    <x v="140"/>
    <x v="7"/>
    <x v="4"/>
    <n v="3"/>
    <s v="Dr. Patel"/>
    <n v="48728"/>
    <s v="MedD"/>
    <s v="No"/>
    <x v="0"/>
    <d v="2023-12-03T00:00:00"/>
    <d v="2023-12-03T08:00:00"/>
    <x v="0"/>
    <s v="Accepted"/>
    <s v="Morning"/>
    <n v="7"/>
    <n v="12"/>
    <s v="Plan B"/>
  </r>
  <r>
    <x v="266"/>
    <n v="20"/>
    <x v="0"/>
    <x v="200"/>
    <x v="1"/>
    <x v="207"/>
    <x v="14"/>
    <x v="1"/>
    <n v="4"/>
    <s v="Dr. Sharma"/>
    <n v="18535"/>
    <s v="MedE"/>
    <s v="Yes"/>
    <x v="0"/>
    <d v="2023-08-01T00:00:00"/>
    <d v="2023-09-01T23:00:00"/>
    <x v="1"/>
    <s v="Accepted"/>
    <s v="Night"/>
    <n v="9"/>
    <n v="10"/>
    <s v="Plan A"/>
  </r>
  <r>
    <x v="267"/>
    <n v="24"/>
    <x v="5"/>
    <x v="73"/>
    <x v="1"/>
    <x v="35"/>
    <x v="1"/>
    <x v="5"/>
    <n v="2"/>
    <s v="Dr. Gupta"/>
    <n v="46002"/>
    <s v="MedA"/>
    <s v="Yes"/>
    <x v="1"/>
    <d v="2024-10-04T00:00:00"/>
    <d v="2024-10-04T10:00:00"/>
    <x v="2"/>
    <s v="Accepted"/>
    <s v="Afternoon"/>
    <n v="11"/>
    <n v="8"/>
    <s v="Plan C"/>
  </r>
  <r>
    <x v="268"/>
    <n v="54"/>
    <x v="2"/>
    <x v="201"/>
    <x v="1"/>
    <x v="208"/>
    <x v="13"/>
    <x v="3"/>
    <n v="1"/>
    <s v="Dr. Rao"/>
    <n v="48271"/>
    <s v="MedB"/>
    <s v="No"/>
    <x v="0"/>
    <d v="2023-08-04T00:00:00"/>
    <d v="2023-08-04T23:00:00"/>
    <x v="4"/>
    <s v="Accepted"/>
    <s v="Night"/>
    <n v="7"/>
    <n v="10"/>
    <s v="Plan B"/>
  </r>
  <r>
    <x v="269"/>
    <n v="33"/>
    <x v="0"/>
    <x v="202"/>
    <x v="1"/>
    <x v="56"/>
    <x v="9"/>
    <x v="0"/>
    <n v="3"/>
    <s v="Dr. Patel"/>
    <n v="10122"/>
    <s v="MedC"/>
    <s v="No"/>
    <x v="0"/>
    <s v="13-03-23 0:00"/>
    <s v="13-03-23 20:00"/>
    <x v="2"/>
    <s v="Accepted"/>
    <s v="Afternoon"/>
    <n v="11"/>
    <n v="12"/>
    <s v="Plan C"/>
  </r>
  <r>
    <x v="270"/>
    <n v="24"/>
    <x v="4"/>
    <x v="170"/>
    <x v="1"/>
    <x v="209"/>
    <x v="14"/>
    <x v="3"/>
    <n v="2"/>
    <s v="Dr. Patel"/>
    <n v="14852"/>
    <s v="MedB"/>
    <s v="Yes"/>
    <x v="0"/>
    <d v="2023-07-08T00:00:00"/>
    <d v="2023-07-08T22:00:00"/>
    <x v="3"/>
    <s v="Accepted"/>
    <s v="Night"/>
    <n v="9"/>
    <n v="8"/>
    <s v="Plan A"/>
  </r>
  <r>
    <x v="271"/>
    <n v="75"/>
    <x v="0"/>
    <x v="203"/>
    <x v="1"/>
    <x v="193"/>
    <x v="13"/>
    <x v="4"/>
    <n v="4"/>
    <s v="Dr. Patel"/>
    <n v="10387"/>
    <s v="MedB"/>
    <s v="Yes"/>
    <x v="0"/>
    <d v="2024-01-06T00:00:00"/>
    <d v="2024-02-06T06:00:00"/>
    <x v="1"/>
    <s v="Accepted"/>
    <s v="Afternoon"/>
    <n v="10"/>
    <n v="10"/>
    <s v="Plan C"/>
  </r>
  <r>
    <x v="272"/>
    <n v="72"/>
    <x v="1"/>
    <x v="75"/>
    <x v="1"/>
    <x v="201"/>
    <x v="12"/>
    <x v="3"/>
    <n v="2"/>
    <s v="Dr. Patel"/>
    <n v="36759"/>
    <s v="MedA"/>
    <s v="Yes"/>
    <x v="0"/>
    <s v="29-09-23 0:00"/>
    <s v="29-09-23 14:00"/>
    <x v="0"/>
    <s v="Accepted"/>
    <s v="Morning"/>
    <n v="4"/>
    <n v="12"/>
    <s v="Plan C"/>
  </r>
  <r>
    <x v="273"/>
    <n v="36"/>
    <x v="4"/>
    <x v="143"/>
    <x v="1"/>
    <x v="147"/>
    <x v="12"/>
    <x v="5"/>
    <n v="5"/>
    <s v="Dr. Patel"/>
    <n v="45399"/>
    <s v="MedB"/>
    <s v="Yes"/>
    <x v="1"/>
    <s v="13-05-23 0:00"/>
    <s v="14-05-23 10:00"/>
    <x v="2"/>
    <s v="Accepted"/>
    <s v="Afternoon"/>
    <n v="10"/>
    <n v="10"/>
    <s v="Plan A"/>
  </r>
  <r>
    <x v="274"/>
    <n v="38"/>
    <x v="5"/>
    <x v="204"/>
    <x v="1"/>
    <x v="210"/>
    <x v="0"/>
    <x v="0"/>
    <n v="1"/>
    <s v="Dr. Gupta"/>
    <n v="44994"/>
    <s v="MedD"/>
    <s v="Yes"/>
    <x v="0"/>
    <s v="22-12-23 0:00"/>
    <s v="23-12-23 7:00"/>
    <x v="1"/>
    <s v="Accepted"/>
    <s v="Night"/>
    <n v="9"/>
    <n v="8"/>
    <s v="Plan C"/>
  </r>
  <r>
    <x v="275"/>
    <n v="84"/>
    <x v="2"/>
    <x v="116"/>
    <x v="1"/>
    <x v="69"/>
    <x v="0"/>
    <x v="4"/>
    <n v="3"/>
    <s v="Dr. Rao"/>
    <n v="42876"/>
    <s v="MedB"/>
    <s v="No"/>
    <x v="1"/>
    <d v="2023-10-03T00:00:00"/>
    <d v="2023-10-03T23:00:00"/>
    <x v="0"/>
    <s v="Accepted"/>
    <s v="Night"/>
    <n v="6"/>
    <n v="12"/>
    <s v="Plan A"/>
  </r>
  <r>
    <x v="276"/>
    <n v="89"/>
    <x v="0"/>
    <x v="3"/>
    <x v="1"/>
    <x v="116"/>
    <x v="9"/>
    <x v="0"/>
    <n v="5"/>
    <s v="Dr. Patel"/>
    <n v="39878"/>
    <s v="MedC"/>
    <s v="No"/>
    <x v="1"/>
    <d v="2023-04-09T00:00:00"/>
    <d v="2023-05-09T07:00:00"/>
    <x v="2"/>
    <s v="Accepted"/>
    <s v="Morning"/>
    <n v="10"/>
    <n v="10"/>
    <s v="Plan B"/>
  </r>
  <r>
    <x v="277"/>
    <n v="25"/>
    <x v="4"/>
    <x v="205"/>
    <x v="1"/>
    <x v="211"/>
    <x v="4"/>
    <x v="1"/>
    <n v="4"/>
    <s v="Dr. Mehta"/>
    <n v="38725"/>
    <s v="MedC"/>
    <s v="No"/>
    <x v="0"/>
    <d v="2024-12-01T00:00:00"/>
    <d v="2024-12-01T07:00:00"/>
    <x v="1"/>
    <s v="Accepted"/>
    <s v="Night"/>
    <n v="8"/>
    <n v="8"/>
    <s v="Plan A"/>
  </r>
  <r>
    <x v="278"/>
    <n v="18"/>
    <x v="1"/>
    <x v="206"/>
    <x v="1"/>
    <x v="183"/>
    <x v="12"/>
    <x v="3"/>
    <n v="5"/>
    <s v="Dr. Mehta"/>
    <n v="12146"/>
    <s v="MedE"/>
    <s v="Yes"/>
    <x v="0"/>
    <s v="18-10-23 0:00"/>
    <s v="19-10-23 5:00"/>
    <x v="4"/>
    <s v="Accepted"/>
    <s v="Morning"/>
    <n v="6"/>
    <n v="8"/>
    <s v="Plan A"/>
  </r>
  <r>
    <x v="279"/>
    <n v="82"/>
    <x v="4"/>
    <x v="96"/>
    <x v="1"/>
    <x v="212"/>
    <x v="8"/>
    <x v="0"/>
    <n v="5"/>
    <s v="Dr. Rao"/>
    <n v="5560"/>
    <s v="MedC"/>
    <s v="No"/>
    <x v="0"/>
    <d v="2023-10-06T00:00:00"/>
    <d v="2023-11-06T23:00:00"/>
    <x v="2"/>
    <s v="Accepted"/>
    <s v="Night"/>
    <n v="6"/>
    <n v="10"/>
    <s v="Plan B"/>
  </r>
  <r>
    <x v="280"/>
    <n v="66"/>
    <x v="3"/>
    <x v="125"/>
    <x v="1"/>
    <x v="213"/>
    <x v="0"/>
    <x v="2"/>
    <n v="4"/>
    <s v="Dr. Sharma"/>
    <n v="6312"/>
    <s v="MedB"/>
    <s v="No"/>
    <x v="0"/>
    <s v="20-03-24 0:00"/>
    <s v="21-03-24 21:00"/>
    <x v="1"/>
    <s v="Accepted"/>
    <s v="Night"/>
    <n v="6"/>
    <n v="8"/>
    <s v="Plan A"/>
  </r>
  <r>
    <x v="281"/>
    <n v="54"/>
    <x v="1"/>
    <x v="207"/>
    <x v="1"/>
    <x v="214"/>
    <x v="13"/>
    <x v="3"/>
    <n v="5"/>
    <s v="Dr. Sharma"/>
    <n v="23205"/>
    <s v="MedC"/>
    <s v="Yes"/>
    <x v="0"/>
    <d v="2023-02-11T00:00:00"/>
    <d v="2023-03-11T05:00:00"/>
    <x v="0"/>
    <s v="Accepted"/>
    <s v="Morning"/>
    <n v="7"/>
    <n v="12"/>
    <s v="Plan B"/>
  </r>
  <r>
    <x v="282"/>
    <n v="35"/>
    <x v="5"/>
    <x v="208"/>
    <x v="1"/>
    <x v="215"/>
    <x v="11"/>
    <x v="1"/>
    <n v="3"/>
    <s v="Dr. Sharma"/>
    <n v="16595"/>
    <s v="MedA"/>
    <s v="Yes"/>
    <x v="0"/>
    <d v="2023-06-01T00:00:00"/>
    <d v="2023-06-01T21:00:00"/>
    <x v="1"/>
    <s v="Accepted"/>
    <s v="Night"/>
    <n v="5"/>
    <n v="8"/>
    <s v="Plan B"/>
  </r>
  <r>
    <x v="283"/>
    <n v="80"/>
    <x v="2"/>
    <x v="209"/>
    <x v="1"/>
    <x v="216"/>
    <x v="5"/>
    <x v="0"/>
    <n v="2"/>
    <s v="Dr. Mehta"/>
    <n v="27030"/>
    <s v="MedC"/>
    <s v="Yes"/>
    <x v="1"/>
    <s v="30-10-23 0:00"/>
    <s v="30-10-23 5:00"/>
    <x v="4"/>
    <s v="Accepted"/>
    <s v="Night"/>
    <n v="5"/>
    <n v="10"/>
    <s v="Plan A"/>
  </r>
  <r>
    <x v="284"/>
    <n v="61"/>
    <x v="5"/>
    <x v="210"/>
    <x v="1"/>
    <x v="217"/>
    <x v="4"/>
    <x v="4"/>
    <n v="5"/>
    <s v="Dr. Sharma"/>
    <n v="26329"/>
    <s v="MedD"/>
    <s v="No"/>
    <x v="0"/>
    <s v="17-04-23 0:00"/>
    <s v="17-04-23 20:00"/>
    <x v="2"/>
    <s v="Accepted"/>
    <s v="Morning"/>
    <n v="4"/>
    <n v="12"/>
    <s v="Plan C"/>
  </r>
  <r>
    <x v="285"/>
    <n v="41"/>
    <x v="0"/>
    <x v="211"/>
    <x v="1"/>
    <x v="218"/>
    <x v="3"/>
    <x v="1"/>
    <n v="3"/>
    <s v="Dr. Gupta"/>
    <n v="43142"/>
    <s v="MedA"/>
    <s v="Yes"/>
    <x v="0"/>
    <s v="18-05-23 0:00"/>
    <s v="18-05-23 3:00"/>
    <x v="2"/>
    <s v="Accepted"/>
    <s v="Afternoon"/>
    <n v="11"/>
    <n v="8"/>
    <s v="Plan C"/>
  </r>
  <r>
    <x v="286"/>
    <n v="33"/>
    <x v="4"/>
    <x v="32"/>
    <x v="1"/>
    <x v="55"/>
    <x v="5"/>
    <x v="2"/>
    <n v="2"/>
    <s v="Dr. Patel"/>
    <n v="7651"/>
    <s v="MedE"/>
    <s v="No"/>
    <x v="0"/>
    <s v="28-09-23 0:00"/>
    <s v="29-09-23 22:00"/>
    <x v="2"/>
    <s v="Accepted"/>
    <s v="Morning"/>
    <n v="11"/>
    <n v="8"/>
    <s v="Plan B"/>
  </r>
  <r>
    <x v="287"/>
    <n v="68"/>
    <x v="3"/>
    <x v="212"/>
    <x v="1"/>
    <x v="94"/>
    <x v="11"/>
    <x v="0"/>
    <n v="2"/>
    <s v="Dr. Mehta"/>
    <n v="15006"/>
    <s v="MedD"/>
    <s v="Yes"/>
    <x v="1"/>
    <s v="28-04-23 0:00"/>
    <s v="28-04-23 8:00"/>
    <x v="4"/>
    <s v="Accepted"/>
    <s v="Night"/>
    <n v="6"/>
    <n v="12"/>
    <s v="Plan C"/>
  </r>
  <r>
    <x v="288"/>
    <n v="33"/>
    <x v="1"/>
    <x v="213"/>
    <x v="1"/>
    <x v="219"/>
    <x v="14"/>
    <x v="5"/>
    <n v="5"/>
    <s v="Dr. Rao"/>
    <n v="47701"/>
    <s v="MedB"/>
    <s v="No"/>
    <x v="0"/>
    <s v="15-04-23 0:00"/>
    <s v="15-04-23 2:00"/>
    <x v="0"/>
    <s v="Accepted"/>
    <s v="Afternoon"/>
    <n v="5"/>
    <n v="12"/>
    <s v="Plan C"/>
  </r>
  <r>
    <x v="289"/>
    <n v="14"/>
    <x v="1"/>
    <x v="24"/>
    <x v="1"/>
    <x v="100"/>
    <x v="5"/>
    <x v="3"/>
    <n v="3"/>
    <s v="Dr. Rao"/>
    <n v="40645"/>
    <s v="MedB"/>
    <s v="Yes"/>
    <x v="1"/>
    <d v="2023-07-06T00:00:00"/>
    <d v="2023-07-06T22:00:00"/>
    <x v="2"/>
    <s v="Accepted"/>
    <s v="Afternoon"/>
    <n v="4"/>
    <n v="8"/>
    <s v="Plan A"/>
  </r>
  <r>
    <x v="290"/>
    <n v="21"/>
    <x v="4"/>
    <x v="214"/>
    <x v="1"/>
    <x v="19"/>
    <x v="8"/>
    <x v="4"/>
    <n v="5"/>
    <s v="Dr. Patel"/>
    <n v="26966"/>
    <s v="MedB"/>
    <s v="No"/>
    <x v="1"/>
    <d v="2023-03-10T00:00:00"/>
    <d v="2023-04-10T18:00:00"/>
    <x v="0"/>
    <s v="Accepted"/>
    <s v="Afternoon"/>
    <n v="7"/>
    <n v="12"/>
    <s v="Plan B"/>
  </r>
  <r>
    <x v="291"/>
    <n v="48"/>
    <x v="3"/>
    <x v="215"/>
    <x v="1"/>
    <x v="220"/>
    <x v="10"/>
    <x v="5"/>
    <n v="4"/>
    <s v="Dr. Mehta"/>
    <n v="32846"/>
    <s v="MedD"/>
    <s v="Yes"/>
    <x v="0"/>
    <d v="2023-12-10T00:00:00"/>
    <d v="2023-12-10T07:00:00"/>
    <x v="1"/>
    <s v="Rejected"/>
    <s v="Morning"/>
    <n v="6"/>
    <n v="10"/>
    <s v="Plan B"/>
  </r>
  <r>
    <x v="292"/>
    <n v="20"/>
    <x v="4"/>
    <x v="216"/>
    <x v="1"/>
    <x v="71"/>
    <x v="10"/>
    <x v="0"/>
    <n v="2"/>
    <s v="Dr. Sharma"/>
    <n v="26774"/>
    <s v="MedD"/>
    <s v="No"/>
    <x v="0"/>
    <d v="2023-01-08T00:00:00"/>
    <d v="2023-02-08T20:00:00"/>
    <x v="0"/>
    <s v="Accepted"/>
    <s v="Afternoon"/>
    <n v="8"/>
    <n v="8"/>
    <s v="Plan A"/>
  </r>
  <r>
    <x v="293"/>
    <n v="8"/>
    <x v="0"/>
    <x v="217"/>
    <x v="1"/>
    <x v="96"/>
    <x v="4"/>
    <x v="0"/>
    <n v="5"/>
    <s v="Dr. Sharma"/>
    <n v="9083"/>
    <s v="MedD"/>
    <s v="Yes"/>
    <x v="0"/>
    <s v="17-12-23 0:00"/>
    <s v="17-12-23 11:00"/>
    <x v="0"/>
    <s v="Accepted"/>
    <s v="Afternoon"/>
    <n v="7"/>
    <n v="10"/>
    <s v="Plan C"/>
  </r>
  <r>
    <x v="294"/>
    <n v="7"/>
    <x v="5"/>
    <x v="218"/>
    <x v="1"/>
    <x v="105"/>
    <x v="3"/>
    <x v="1"/>
    <n v="2"/>
    <s v="Dr. Gupta"/>
    <n v="38513"/>
    <s v="MedA"/>
    <s v="Yes"/>
    <x v="0"/>
    <s v="24-07-23 0:00"/>
    <s v="26-07-23 0:00"/>
    <x v="2"/>
    <s v="Accepted"/>
    <s v="Afternoon"/>
    <n v="4"/>
    <n v="8"/>
    <s v="Plan B"/>
  </r>
  <r>
    <x v="295"/>
    <n v="67"/>
    <x v="1"/>
    <x v="32"/>
    <x v="1"/>
    <x v="181"/>
    <x v="13"/>
    <x v="0"/>
    <n v="3"/>
    <s v="Dr. Gupta"/>
    <n v="13749"/>
    <s v="MedA"/>
    <s v="Yes"/>
    <x v="0"/>
    <s v="24-09-23 0:00"/>
    <s v="24-09-23 16:00"/>
    <x v="3"/>
    <s v="Accepted"/>
    <s v="Night"/>
    <n v="7"/>
    <n v="10"/>
    <s v="Plan C"/>
  </r>
  <r>
    <x v="296"/>
    <n v="17"/>
    <x v="0"/>
    <x v="14"/>
    <x v="1"/>
    <x v="221"/>
    <x v="3"/>
    <x v="4"/>
    <n v="1"/>
    <s v="Dr. Sharma"/>
    <n v="35783"/>
    <s v="MedB"/>
    <s v="Yes"/>
    <x v="0"/>
    <s v="31-05-24 0:00"/>
    <d v="2024-01-06T10:00:00"/>
    <x v="3"/>
    <s v="Accepted"/>
    <s v="Morning"/>
    <n v="8"/>
    <n v="10"/>
    <s v="Plan B"/>
  </r>
  <r>
    <x v="297"/>
    <n v="33"/>
    <x v="5"/>
    <x v="107"/>
    <x v="1"/>
    <x v="222"/>
    <x v="12"/>
    <x v="5"/>
    <n v="5"/>
    <s v="Dr. Rao"/>
    <n v="22325"/>
    <s v="MedC"/>
    <s v="Yes"/>
    <x v="0"/>
    <s v="13-05-24 0:00"/>
    <s v="13-05-24 12:00"/>
    <x v="4"/>
    <s v="Accepted"/>
    <s v="Morning"/>
    <n v="11"/>
    <n v="12"/>
    <s v="Plan B"/>
  </r>
  <r>
    <x v="298"/>
    <n v="48"/>
    <x v="0"/>
    <x v="91"/>
    <x v="1"/>
    <x v="133"/>
    <x v="0"/>
    <x v="4"/>
    <n v="5"/>
    <s v="Dr. Rao"/>
    <n v="23680"/>
    <s v="MedB"/>
    <s v="Yes"/>
    <x v="1"/>
    <d v="2023-11-09T00:00:00"/>
    <d v="2023-12-09T12:00:00"/>
    <x v="4"/>
    <s v="Accepted"/>
    <s v="Night"/>
    <n v="7"/>
    <n v="8"/>
    <s v="Plan B"/>
  </r>
  <r>
    <x v="299"/>
    <n v="76"/>
    <x v="3"/>
    <x v="219"/>
    <x v="1"/>
    <x v="223"/>
    <x v="1"/>
    <x v="2"/>
    <n v="2"/>
    <s v="Dr. Gupta"/>
    <n v="22323"/>
    <s v="MedE"/>
    <s v="No"/>
    <x v="0"/>
    <s v="20-02-23 0:00"/>
    <s v="20-02-23 11:00"/>
    <x v="3"/>
    <s v="Accepted"/>
    <s v="Afternoon"/>
    <n v="4"/>
    <n v="12"/>
    <s v="Plan B"/>
  </r>
  <r>
    <x v="300"/>
    <n v="59"/>
    <x v="1"/>
    <x v="27"/>
    <x v="1"/>
    <x v="46"/>
    <x v="2"/>
    <x v="2"/>
    <n v="3"/>
    <s v="Dr. Patel"/>
    <n v="27684"/>
    <s v="MedA"/>
    <s v="Yes"/>
    <x v="0"/>
    <d v="2023-04-04T00:00:00"/>
    <d v="2023-04-04T22:00:00"/>
    <x v="1"/>
    <s v="Accepted"/>
    <s v="Night"/>
    <n v="11"/>
    <n v="12"/>
    <s v="Plan C"/>
  </r>
  <r>
    <x v="301"/>
    <n v="86"/>
    <x v="4"/>
    <x v="122"/>
    <x v="1"/>
    <x v="224"/>
    <x v="3"/>
    <x v="3"/>
    <n v="4"/>
    <s v="Dr. Sharma"/>
    <n v="39493"/>
    <s v="MedD"/>
    <s v="No"/>
    <x v="0"/>
    <d v="2024-06-03T00:00:00"/>
    <d v="2024-07-03T12:00:00"/>
    <x v="2"/>
    <s v="Accepted"/>
    <s v="Night"/>
    <n v="11"/>
    <n v="8"/>
    <s v="Plan C"/>
  </r>
  <r>
    <x v="302"/>
    <n v="22"/>
    <x v="4"/>
    <x v="220"/>
    <x v="1"/>
    <x v="225"/>
    <x v="11"/>
    <x v="3"/>
    <n v="3"/>
    <s v="Dr. Gupta"/>
    <n v="17213"/>
    <s v="MedA"/>
    <s v="Yes"/>
    <x v="0"/>
    <d v="2023-07-10T00:00:00"/>
    <d v="2023-08-10T04:00:00"/>
    <x v="2"/>
    <s v="Accepted"/>
    <s v="Afternoon"/>
    <n v="11"/>
    <n v="10"/>
    <s v="Plan C"/>
  </r>
  <r>
    <x v="303"/>
    <n v="30"/>
    <x v="5"/>
    <x v="221"/>
    <x v="1"/>
    <x v="34"/>
    <x v="0"/>
    <x v="2"/>
    <n v="5"/>
    <s v="Dr. Gupta"/>
    <n v="36831"/>
    <s v="MedD"/>
    <s v="Yes"/>
    <x v="0"/>
    <d v="2023-10-02T00:00:00"/>
    <d v="2023-11-02T06:00:00"/>
    <x v="1"/>
    <s v="Accepted"/>
    <s v="Afternoon"/>
    <n v="8"/>
    <n v="8"/>
    <s v="Plan C"/>
  </r>
  <r>
    <x v="304"/>
    <n v="38"/>
    <x v="2"/>
    <x v="97"/>
    <x v="1"/>
    <x v="101"/>
    <x v="4"/>
    <x v="0"/>
    <n v="4"/>
    <s v="Dr. Sharma"/>
    <n v="47296"/>
    <s v="MedE"/>
    <s v="No"/>
    <x v="0"/>
    <d v="2023-02-01T00:00:00"/>
    <d v="2023-02-01T15:00:00"/>
    <x v="1"/>
    <s v="Accepted"/>
    <s v="Morning"/>
    <n v="8"/>
    <n v="8"/>
    <s v="Plan A"/>
  </r>
  <r>
    <x v="305"/>
    <n v="51"/>
    <x v="3"/>
    <x v="222"/>
    <x v="1"/>
    <x v="226"/>
    <x v="2"/>
    <x v="4"/>
    <n v="3"/>
    <s v="Dr. Sharma"/>
    <n v="32713"/>
    <s v="MedE"/>
    <s v="Yes"/>
    <x v="0"/>
    <d v="2023-04-12T00:00:00"/>
    <d v="2023-05-12T02:00:00"/>
    <x v="3"/>
    <s v="Accepted"/>
    <s v="Afternoon"/>
    <n v="11"/>
    <n v="8"/>
    <s v="Plan B"/>
  </r>
  <r>
    <x v="306"/>
    <n v="54"/>
    <x v="5"/>
    <x v="223"/>
    <x v="1"/>
    <x v="147"/>
    <x v="11"/>
    <x v="2"/>
    <n v="1"/>
    <s v="Dr. Rao"/>
    <n v="46621"/>
    <s v="MedA"/>
    <s v="No"/>
    <x v="1"/>
    <d v="2023-12-05T00:00:00"/>
    <s v="13-05-23 17:00"/>
    <x v="4"/>
    <s v="Accepted"/>
    <s v="Night"/>
    <n v="7"/>
    <n v="12"/>
    <s v="Plan B"/>
  </r>
  <r>
    <x v="307"/>
    <n v="8"/>
    <x v="2"/>
    <x v="224"/>
    <x v="1"/>
    <x v="62"/>
    <x v="9"/>
    <x v="3"/>
    <n v="2"/>
    <s v="Dr. Patel"/>
    <n v="12187"/>
    <s v="MedD"/>
    <s v="Yes"/>
    <x v="0"/>
    <s v="22-09-23 0:00"/>
    <s v="22-09-23 12:00"/>
    <x v="1"/>
    <s v="Accepted"/>
    <s v="Night"/>
    <n v="8"/>
    <n v="8"/>
    <s v="Plan B"/>
  </r>
  <r>
    <x v="308"/>
    <n v="27"/>
    <x v="0"/>
    <x v="104"/>
    <x v="1"/>
    <x v="86"/>
    <x v="7"/>
    <x v="2"/>
    <n v="3"/>
    <s v="Dr. Patel"/>
    <n v="37800"/>
    <s v="MedE"/>
    <s v="Yes"/>
    <x v="0"/>
    <d v="2023-11-06T00:00:00"/>
    <d v="2023-11-06T12:00:00"/>
    <x v="4"/>
    <s v="Accepted"/>
    <s v="Afternoon"/>
    <n v="10"/>
    <n v="8"/>
    <s v="Plan A"/>
  </r>
  <r>
    <x v="309"/>
    <n v="27"/>
    <x v="3"/>
    <x v="225"/>
    <x v="1"/>
    <x v="213"/>
    <x v="1"/>
    <x v="0"/>
    <n v="3"/>
    <s v="Dr. Sharma"/>
    <n v="37583"/>
    <s v="MedB"/>
    <s v="No"/>
    <x v="0"/>
    <s v="24-03-24 0:00"/>
    <s v="25-03-24 17:00"/>
    <x v="0"/>
    <s v="Accepted"/>
    <s v="Morning"/>
    <n v="7"/>
    <n v="8"/>
    <s v="Plan C"/>
  </r>
  <r>
    <x v="310"/>
    <n v="21"/>
    <x v="0"/>
    <x v="226"/>
    <x v="1"/>
    <x v="22"/>
    <x v="1"/>
    <x v="2"/>
    <n v="1"/>
    <s v="Dr. Mehta"/>
    <n v="19408"/>
    <s v="MedB"/>
    <s v="No"/>
    <x v="1"/>
    <d v="2024-10-03T00:00:00"/>
    <d v="2024-11-03T19:00:00"/>
    <x v="2"/>
    <s v="Accepted"/>
    <s v="Night"/>
    <n v="6"/>
    <n v="10"/>
    <s v="Plan B"/>
  </r>
  <r>
    <x v="311"/>
    <n v="30"/>
    <x v="1"/>
    <x v="200"/>
    <x v="1"/>
    <x v="93"/>
    <x v="6"/>
    <x v="4"/>
    <n v="5"/>
    <s v="Dr. Gupta"/>
    <n v="27369"/>
    <s v="MedD"/>
    <s v="Yes"/>
    <x v="0"/>
    <d v="2023-05-01T00:00:00"/>
    <d v="2023-06-01T04:00:00"/>
    <x v="3"/>
    <s v="Accepted"/>
    <s v="Afternoon"/>
    <n v="8"/>
    <n v="10"/>
    <s v="Plan C"/>
  </r>
  <r>
    <x v="312"/>
    <n v="28"/>
    <x v="3"/>
    <x v="94"/>
    <x v="1"/>
    <x v="227"/>
    <x v="10"/>
    <x v="5"/>
    <n v="2"/>
    <s v="Dr. Gupta"/>
    <n v="8414"/>
    <s v="MedA"/>
    <s v="Yes"/>
    <x v="0"/>
    <s v="21-04-23 0:00"/>
    <s v="22-04-23 2:00"/>
    <x v="2"/>
    <s v="Accepted"/>
    <s v="Morning"/>
    <n v="7"/>
    <n v="10"/>
    <s v="Plan C"/>
  </r>
  <r>
    <x v="313"/>
    <n v="64"/>
    <x v="2"/>
    <x v="163"/>
    <x v="1"/>
    <x v="195"/>
    <x v="3"/>
    <x v="0"/>
    <n v="3"/>
    <s v="Dr. Sharma"/>
    <n v="24510"/>
    <s v="MedE"/>
    <s v="No"/>
    <x v="0"/>
    <s v="17-03-23 0:00"/>
    <s v="17-03-23 2:00"/>
    <x v="3"/>
    <s v="Accepted"/>
    <s v="Morning"/>
    <n v="6"/>
    <n v="10"/>
    <s v="Plan A"/>
  </r>
  <r>
    <x v="314"/>
    <n v="69"/>
    <x v="1"/>
    <x v="227"/>
    <x v="1"/>
    <x v="228"/>
    <x v="10"/>
    <x v="3"/>
    <n v="4"/>
    <s v="Dr. Mehta"/>
    <n v="17120"/>
    <s v="MedA"/>
    <s v="Yes"/>
    <x v="0"/>
    <s v="30-05-23 0:00"/>
    <d v="2023-01-06T00:00:00"/>
    <x v="0"/>
    <s v="Accepted"/>
    <s v="Night"/>
    <n v="8"/>
    <n v="12"/>
    <s v="Plan A"/>
  </r>
  <r>
    <x v="315"/>
    <n v="61"/>
    <x v="4"/>
    <x v="228"/>
    <x v="1"/>
    <x v="229"/>
    <x v="5"/>
    <x v="4"/>
    <n v="3"/>
    <s v="Dr. Rao"/>
    <n v="39311"/>
    <s v="MedB"/>
    <s v="No"/>
    <x v="0"/>
    <d v="2023-06-02T00:00:00"/>
    <d v="2023-07-02T16:00:00"/>
    <x v="2"/>
    <s v="Accepted"/>
    <s v="Night"/>
    <n v="6"/>
    <n v="12"/>
    <s v="Plan C"/>
  </r>
  <r>
    <x v="316"/>
    <n v="48"/>
    <x v="2"/>
    <x v="205"/>
    <x v="1"/>
    <x v="48"/>
    <x v="11"/>
    <x v="2"/>
    <n v="2"/>
    <s v="Dr. Sharma"/>
    <n v="38039"/>
    <s v="MedE"/>
    <s v="Yes"/>
    <x v="0"/>
    <d v="2024-12-01T00:00:00"/>
    <d v="2024-12-01T13:00:00"/>
    <x v="0"/>
    <s v="Accepted"/>
    <s v="Morning"/>
    <n v="9"/>
    <n v="8"/>
    <s v="Plan B"/>
  </r>
  <r>
    <x v="317"/>
    <n v="19"/>
    <x v="5"/>
    <x v="229"/>
    <x v="1"/>
    <x v="230"/>
    <x v="10"/>
    <x v="2"/>
    <n v="3"/>
    <s v="Dr. Sharma"/>
    <n v="10295"/>
    <s v="MedA"/>
    <s v="Yes"/>
    <x v="0"/>
    <s v="30-05-23 0:00"/>
    <s v="31-05-23 5:00"/>
    <x v="3"/>
    <s v="Accepted"/>
    <s v="Morning"/>
    <n v="8"/>
    <n v="12"/>
    <s v="Plan B"/>
  </r>
  <r>
    <x v="318"/>
    <n v="4"/>
    <x v="4"/>
    <x v="230"/>
    <x v="1"/>
    <x v="231"/>
    <x v="14"/>
    <x v="5"/>
    <n v="1"/>
    <s v="Dr. Gupta"/>
    <n v="25460"/>
    <s v="MedC"/>
    <s v="No"/>
    <x v="0"/>
    <d v="2024-11-03T00:00:00"/>
    <d v="2024-12-03T14:00:00"/>
    <x v="1"/>
    <s v="Accepted"/>
    <s v="Morning"/>
    <n v="9"/>
    <n v="10"/>
    <s v="Plan A"/>
  </r>
  <r>
    <x v="319"/>
    <n v="35"/>
    <x v="4"/>
    <x v="231"/>
    <x v="1"/>
    <x v="218"/>
    <x v="12"/>
    <x v="3"/>
    <n v="3"/>
    <s v="Dr. Sharma"/>
    <n v="19963"/>
    <s v="MedD"/>
    <s v="Yes"/>
    <x v="1"/>
    <d v="2023-11-05T00:00:00"/>
    <d v="2023-12-05T04:00:00"/>
    <x v="2"/>
    <s v="Rejected"/>
    <s v="Afternoon"/>
    <n v="4"/>
    <n v="8"/>
    <s v="Plan A"/>
  </r>
  <r>
    <x v="320"/>
    <n v="64"/>
    <x v="5"/>
    <x v="232"/>
    <x v="1"/>
    <x v="232"/>
    <x v="12"/>
    <x v="3"/>
    <n v="3"/>
    <s v="Dr. Sharma"/>
    <n v="16580"/>
    <s v="MedD"/>
    <s v="Yes"/>
    <x v="0"/>
    <d v="2023-09-02T00:00:00"/>
    <d v="2023-10-02T01:00:00"/>
    <x v="0"/>
    <s v="Accepted"/>
    <s v="Night"/>
    <n v="4"/>
    <n v="8"/>
    <s v="Plan A"/>
  </r>
  <r>
    <x v="321"/>
    <n v="49"/>
    <x v="3"/>
    <x v="233"/>
    <x v="1"/>
    <x v="104"/>
    <x v="2"/>
    <x v="1"/>
    <n v="4"/>
    <s v="Dr. Sharma"/>
    <n v="27286"/>
    <s v="MedC"/>
    <s v="No"/>
    <x v="0"/>
    <d v="2023-08-11T00:00:00"/>
    <d v="2023-08-11T01:00:00"/>
    <x v="2"/>
    <s v="Rejected"/>
    <s v="Morning"/>
    <n v="7"/>
    <n v="10"/>
    <s v="Plan A"/>
  </r>
  <r>
    <x v="322"/>
    <n v="17"/>
    <x v="4"/>
    <x v="48"/>
    <x v="1"/>
    <x v="233"/>
    <x v="8"/>
    <x v="3"/>
    <n v="1"/>
    <s v="Dr. Gupta"/>
    <n v="32328"/>
    <s v="MedB"/>
    <s v="Yes"/>
    <x v="0"/>
    <d v="2024-07-01T00:00:00"/>
    <d v="2024-08-01T22:00:00"/>
    <x v="2"/>
    <s v="Accepted"/>
    <s v="Night"/>
    <n v="5"/>
    <n v="10"/>
    <s v="Plan A"/>
  </r>
  <r>
    <x v="323"/>
    <n v="44"/>
    <x v="2"/>
    <x v="190"/>
    <x v="1"/>
    <x v="229"/>
    <x v="4"/>
    <x v="5"/>
    <n v="1"/>
    <s v="Dr. Rao"/>
    <n v="24093"/>
    <s v="MedE"/>
    <s v="Yes"/>
    <x v="1"/>
    <d v="2023-05-02T00:00:00"/>
    <d v="2023-05-02T14:00:00"/>
    <x v="2"/>
    <s v="Accepted"/>
    <s v="Night"/>
    <n v="9"/>
    <n v="10"/>
    <s v="Plan A"/>
  </r>
  <r>
    <x v="324"/>
    <n v="30"/>
    <x v="1"/>
    <x v="234"/>
    <x v="1"/>
    <x v="234"/>
    <x v="3"/>
    <x v="1"/>
    <n v="3"/>
    <s v="Dr. Rao"/>
    <n v="26605"/>
    <s v="MedD"/>
    <s v="Yes"/>
    <x v="0"/>
    <s v="28-12-23 0:00"/>
    <s v="28-12-23 14:00"/>
    <x v="4"/>
    <s v="Rejected"/>
    <s v="Night"/>
    <n v="9"/>
    <n v="12"/>
    <s v="Plan A"/>
  </r>
  <r>
    <x v="325"/>
    <n v="46"/>
    <x v="4"/>
    <x v="216"/>
    <x v="1"/>
    <x v="235"/>
    <x v="3"/>
    <x v="1"/>
    <n v="4"/>
    <s v="Dr. Sharma"/>
    <n v="49813"/>
    <s v="MedC"/>
    <s v="Yes"/>
    <x v="1"/>
    <s v="30-07-23 0:00"/>
    <s v="30-07-23 18:00"/>
    <x v="0"/>
    <s v="Accepted"/>
    <s v="Morning"/>
    <n v="4"/>
    <n v="8"/>
    <s v="Plan B"/>
  </r>
  <r>
    <x v="326"/>
    <n v="6"/>
    <x v="2"/>
    <x v="162"/>
    <x v="1"/>
    <x v="133"/>
    <x v="14"/>
    <x v="2"/>
    <n v="3"/>
    <s v="Dr. Gupta"/>
    <n v="47705"/>
    <s v="MedC"/>
    <s v="Yes"/>
    <x v="1"/>
    <s v="13-09-23 0:00"/>
    <s v="14-09-23 22:00"/>
    <x v="0"/>
    <s v="Accepted"/>
    <s v="Afternoon"/>
    <n v="9"/>
    <n v="10"/>
    <s v="Plan A"/>
  </r>
  <r>
    <x v="327"/>
    <n v="37"/>
    <x v="0"/>
    <x v="235"/>
    <x v="1"/>
    <x v="159"/>
    <x v="12"/>
    <x v="2"/>
    <n v="3"/>
    <s v="Dr. Rao"/>
    <n v="11722"/>
    <s v="MedB"/>
    <s v="Yes"/>
    <x v="0"/>
    <d v="2023-12-04T00:00:00"/>
    <d v="2023-12-04T05:00:00"/>
    <x v="2"/>
    <s v="Accepted"/>
    <s v="Morning"/>
    <n v="5"/>
    <n v="8"/>
    <s v="Plan A"/>
  </r>
  <r>
    <x v="328"/>
    <n v="24"/>
    <x v="2"/>
    <x v="150"/>
    <x v="1"/>
    <x v="236"/>
    <x v="4"/>
    <x v="3"/>
    <n v="2"/>
    <s v="Dr. Rao"/>
    <n v="45969"/>
    <s v="MedB"/>
    <s v="Yes"/>
    <x v="0"/>
    <s v="26-12-23 0:00"/>
    <s v="27-12-23 13:00"/>
    <x v="1"/>
    <s v="Accepted"/>
    <s v="Night"/>
    <n v="11"/>
    <n v="8"/>
    <s v="Plan B"/>
  </r>
  <r>
    <x v="329"/>
    <n v="46"/>
    <x v="1"/>
    <x v="146"/>
    <x v="1"/>
    <x v="237"/>
    <x v="0"/>
    <x v="1"/>
    <n v="2"/>
    <s v="Dr. Rao"/>
    <n v="41912"/>
    <s v="MedA"/>
    <s v="Yes"/>
    <x v="0"/>
    <s v="19-02-24 0:00"/>
    <s v="19-02-24 7:00"/>
    <x v="2"/>
    <s v="Accepted"/>
    <s v="Morning"/>
    <n v="6"/>
    <n v="12"/>
    <s v="Plan B"/>
  </r>
  <r>
    <x v="330"/>
    <n v="53"/>
    <x v="2"/>
    <x v="177"/>
    <x v="1"/>
    <x v="74"/>
    <x v="2"/>
    <x v="2"/>
    <n v="4"/>
    <s v="Dr. Gupta"/>
    <n v="43374"/>
    <s v="MedD"/>
    <s v="No"/>
    <x v="0"/>
    <d v="2023-03-06T00:00:00"/>
    <d v="2023-04-06T11:00:00"/>
    <x v="4"/>
    <s v="Accepted"/>
    <s v="Morning"/>
    <n v="6"/>
    <n v="8"/>
    <s v="Plan C"/>
  </r>
  <r>
    <x v="331"/>
    <n v="60"/>
    <x v="5"/>
    <x v="167"/>
    <x v="1"/>
    <x v="238"/>
    <x v="5"/>
    <x v="5"/>
    <n v="5"/>
    <s v="Dr. Gupta"/>
    <n v="11766"/>
    <s v="MedA"/>
    <s v="Yes"/>
    <x v="1"/>
    <s v="27-08-23 0:00"/>
    <s v="27-08-23 12:00"/>
    <x v="3"/>
    <s v="Accepted"/>
    <s v="Night"/>
    <n v="5"/>
    <n v="10"/>
    <s v="Plan A"/>
  </r>
  <r>
    <x v="332"/>
    <n v="63"/>
    <x v="1"/>
    <x v="49"/>
    <x v="1"/>
    <x v="25"/>
    <x v="6"/>
    <x v="2"/>
    <n v="2"/>
    <s v="Dr. Sharma"/>
    <n v="20928"/>
    <s v="MedC"/>
    <s v="Yes"/>
    <x v="0"/>
    <d v="2023-12-06T00:00:00"/>
    <s v="13-06-23 0:00"/>
    <x v="4"/>
    <s v="Accepted"/>
    <s v="Night"/>
    <n v="9"/>
    <n v="10"/>
    <s v="Plan A"/>
  </r>
  <r>
    <x v="333"/>
    <n v="85"/>
    <x v="3"/>
    <x v="236"/>
    <x v="1"/>
    <x v="239"/>
    <x v="0"/>
    <x v="0"/>
    <n v="5"/>
    <s v="Dr. Patel"/>
    <n v="26274"/>
    <s v="MedE"/>
    <s v="No"/>
    <x v="0"/>
    <s v="30-06-23 0:00"/>
    <s v="30-06-23 21:00"/>
    <x v="1"/>
    <s v="Accepted"/>
    <s v="Morning"/>
    <n v="9"/>
    <n v="8"/>
    <s v="Plan A"/>
  </r>
  <r>
    <x v="334"/>
    <n v="32"/>
    <x v="0"/>
    <x v="237"/>
    <x v="1"/>
    <x v="153"/>
    <x v="1"/>
    <x v="0"/>
    <n v="1"/>
    <s v="Dr. Rao"/>
    <n v="39416"/>
    <s v="MedE"/>
    <s v="Yes"/>
    <x v="1"/>
    <s v="22-02-24 0:00"/>
    <s v="22-02-24 13:00"/>
    <x v="2"/>
    <s v="Accepted"/>
    <s v="Morning"/>
    <n v="9"/>
    <n v="8"/>
    <s v="Plan A"/>
  </r>
  <r>
    <x v="335"/>
    <n v="87"/>
    <x v="5"/>
    <x v="1"/>
    <x v="1"/>
    <x v="240"/>
    <x v="6"/>
    <x v="2"/>
    <n v="2"/>
    <s v="Dr. Patel"/>
    <n v="25612"/>
    <s v="MedB"/>
    <s v="No"/>
    <x v="0"/>
    <s v="26-01-23 0:00"/>
    <s v="27-01-23 6:00"/>
    <x v="0"/>
    <s v="Accepted"/>
    <s v="Morning"/>
    <n v="10"/>
    <n v="12"/>
    <s v="Plan C"/>
  </r>
  <r>
    <x v="336"/>
    <n v="33"/>
    <x v="3"/>
    <x v="238"/>
    <x v="1"/>
    <x v="241"/>
    <x v="12"/>
    <x v="1"/>
    <n v="2"/>
    <s v="Dr. Gupta"/>
    <n v="39898"/>
    <s v="MedE"/>
    <s v="Yes"/>
    <x v="0"/>
    <s v="29-06-23 0:00"/>
    <s v="29-06-23 8:00"/>
    <x v="2"/>
    <s v="Accepted"/>
    <s v="Morning"/>
    <n v="7"/>
    <n v="10"/>
    <s v="Plan B"/>
  </r>
  <r>
    <x v="337"/>
    <n v="67"/>
    <x v="2"/>
    <x v="239"/>
    <x v="1"/>
    <x v="242"/>
    <x v="6"/>
    <x v="1"/>
    <n v="4"/>
    <s v="Dr. Gupta"/>
    <n v="34047"/>
    <s v="MedE"/>
    <s v="No"/>
    <x v="0"/>
    <d v="2023-04-12T00:00:00"/>
    <d v="2023-04-12T17:00:00"/>
    <x v="1"/>
    <s v="Accepted"/>
    <s v="Afternoon"/>
    <n v="8"/>
    <n v="10"/>
    <s v="Plan B"/>
  </r>
  <r>
    <x v="338"/>
    <n v="18"/>
    <x v="1"/>
    <x v="240"/>
    <x v="1"/>
    <x v="150"/>
    <x v="1"/>
    <x v="4"/>
    <n v="5"/>
    <s v="Dr. Gupta"/>
    <n v="48356"/>
    <s v="MedE"/>
    <s v="No"/>
    <x v="0"/>
    <s v="25-02-24 0:00"/>
    <s v="26-02-24 19:00"/>
    <x v="0"/>
    <s v="Accepted"/>
    <s v="Morning"/>
    <n v="5"/>
    <n v="8"/>
    <s v="Plan A"/>
  </r>
  <r>
    <x v="339"/>
    <n v="25"/>
    <x v="0"/>
    <x v="159"/>
    <x v="1"/>
    <x v="116"/>
    <x v="5"/>
    <x v="0"/>
    <n v="2"/>
    <s v="Dr. Patel"/>
    <n v="42134"/>
    <s v="MedC"/>
    <s v="Yes"/>
    <x v="0"/>
    <d v="2023-08-09T00:00:00"/>
    <d v="2023-09-09T08:00:00"/>
    <x v="4"/>
    <s v="Accepted"/>
    <s v="Afternoon"/>
    <n v="5"/>
    <n v="8"/>
    <s v="Plan A"/>
  </r>
  <r>
    <x v="340"/>
    <n v="54"/>
    <x v="5"/>
    <x v="53"/>
    <x v="1"/>
    <x v="62"/>
    <x v="7"/>
    <x v="5"/>
    <n v="2"/>
    <s v="Dr. Gupta"/>
    <n v="6506"/>
    <s v="MedE"/>
    <s v="Yes"/>
    <x v="0"/>
    <s v="26-09-23 0:00"/>
    <s v="27-09-23 10:00"/>
    <x v="3"/>
    <s v="Accepted"/>
    <s v="Night"/>
    <n v="10"/>
    <n v="8"/>
    <s v="Plan A"/>
  </r>
  <r>
    <x v="341"/>
    <n v="58"/>
    <x v="3"/>
    <x v="22"/>
    <x v="1"/>
    <x v="212"/>
    <x v="14"/>
    <x v="1"/>
    <n v="4"/>
    <s v="Dr. Sharma"/>
    <n v="20222"/>
    <s v="MedE"/>
    <s v="Yes"/>
    <x v="0"/>
    <d v="2023-08-06T00:00:00"/>
    <d v="2023-09-06T17:00:00"/>
    <x v="3"/>
    <s v="Accepted"/>
    <s v="Afternoon"/>
    <n v="5"/>
    <n v="10"/>
    <s v="Plan C"/>
  </r>
  <r>
    <x v="342"/>
    <n v="67"/>
    <x v="3"/>
    <x v="241"/>
    <x v="1"/>
    <x v="243"/>
    <x v="9"/>
    <x v="3"/>
    <n v="4"/>
    <s v="Dr. Gupta"/>
    <n v="17363"/>
    <s v="MedE"/>
    <s v="Yes"/>
    <x v="1"/>
    <s v="17-04-23 0:00"/>
    <s v="17-04-23 21:00"/>
    <x v="2"/>
    <s v="Accepted"/>
    <s v="Night"/>
    <n v="11"/>
    <n v="8"/>
    <s v="Plan C"/>
  </r>
  <r>
    <x v="343"/>
    <n v="46"/>
    <x v="0"/>
    <x v="242"/>
    <x v="1"/>
    <x v="53"/>
    <x v="2"/>
    <x v="0"/>
    <n v="5"/>
    <s v="Dr. Mehta"/>
    <n v="24613"/>
    <s v="MedA"/>
    <s v="Yes"/>
    <x v="0"/>
    <s v="24-01-24 0:00"/>
    <s v="25-01-24 15:00"/>
    <x v="4"/>
    <s v="Rejected"/>
    <s v="Afternoon"/>
    <n v="11"/>
    <n v="12"/>
    <s v="Plan B"/>
  </r>
  <r>
    <x v="344"/>
    <n v="24"/>
    <x v="2"/>
    <x v="243"/>
    <x v="1"/>
    <x v="65"/>
    <x v="10"/>
    <x v="5"/>
    <n v="1"/>
    <s v="Dr. Patel"/>
    <n v="49563"/>
    <s v="MedC"/>
    <s v="No"/>
    <x v="0"/>
    <d v="2023-08-02T00:00:00"/>
    <d v="2023-09-02T01:00:00"/>
    <x v="1"/>
    <s v="Accepted"/>
    <s v="Night"/>
    <n v="5"/>
    <n v="12"/>
    <s v="Plan A"/>
  </r>
  <r>
    <x v="345"/>
    <n v="32"/>
    <x v="0"/>
    <x v="244"/>
    <x v="1"/>
    <x v="244"/>
    <x v="1"/>
    <x v="5"/>
    <n v="1"/>
    <s v="Dr. Mehta"/>
    <n v="35628"/>
    <s v="MedB"/>
    <s v="Yes"/>
    <x v="0"/>
    <s v="21-04-24 0:00"/>
    <s v="22-04-24 16:00"/>
    <x v="3"/>
    <s v="Accepted"/>
    <s v="Morning"/>
    <n v="10"/>
    <n v="8"/>
    <s v="Plan A"/>
  </r>
  <r>
    <x v="346"/>
    <n v="47"/>
    <x v="3"/>
    <x v="245"/>
    <x v="1"/>
    <x v="4"/>
    <x v="2"/>
    <x v="1"/>
    <n v="3"/>
    <s v="Dr. Gupta"/>
    <n v="47626"/>
    <s v="MedA"/>
    <s v="Yes"/>
    <x v="0"/>
    <s v="15-08-23 0:00"/>
    <s v="16-08-23 2:00"/>
    <x v="4"/>
    <s v="Accepted"/>
    <s v="Afternoon"/>
    <n v="5"/>
    <n v="12"/>
    <s v="Plan A"/>
  </r>
  <r>
    <x v="347"/>
    <n v="86"/>
    <x v="4"/>
    <x v="246"/>
    <x v="1"/>
    <x v="15"/>
    <x v="5"/>
    <x v="5"/>
    <n v="2"/>
    <s v="Dr. Sharma"/>
    <n v="9136"/>
    <s v="MedD"/>
    <s v="No"/>
    <x v="0"/>
    <s v="24-07-23 0:00"/>
    <s v="25-07-23 14:00"/>
    <x v="2"/>
    <s v="Accepted"/>
    <s v="Afternoon"/>
    <n v="9"/>
    <n v="12"/>
    <s v="Plan A"/>
  </r>
  <r>
    <x v="348"/>
    <n v="23"/>
    <x v="5"/>
    <x v="247"/>
    <x v="1"/>
    <x v="91"/>
    <x v="0"/>
    <x v="1"/>
    <n v="5"/>
    <s v="Dr. Rao"/>
    <n v="16161"/>
    <s v="MedC"/>
    <s v="Yes"/>
    <x v="0"/>
    <d v="2024-12-04T00:00:00"/>
    <d v="2024-12-04T08:00:00"/>
    <x v="0"/>
    <s v="Accepted"/>
    <s v="Night"/>
    <n v="10"/>
    <n v="12"/>
    <s v="Plan C"/>
  </r>
  <r>
    <x v="349"/>
    <n v="66"/>
    <x v="0"/>
    <x v="248"/>
    <x v="1"/>
    <x v="234"/>
    <x v="0"/>
    <x v="2"/>
    <n v="2"/>
    <s v="Dr. Gupta"/>
    <n v="40457"/>
    <s v="MedC"/>
    <s v="No"/>
    <x v="1"/>
    <s v="20-12-23 0:00"/>
    <s v="20-12-23 23:00"/>
    <x v="2"/>
    <s v="Accepted"/>
    <s v="Night"/>
    <n v="7"/>
    <n v="12"/>
    <s v="Plan B"/>
  </r>
  <r>
    <x v="350"/>
    <n v="27"/>
    <x v="3"/>
    <x v="249"/>
    <x v="1"/>
    <x v="245"/>
    <x v="12"/>
    <x v="0"/>
    <n v="5"/>
    <s v="Dr. Sharma"/>
    <n v="28574"/>
    <s v="MedD"/>
    <s v="No"/>
    <x v="0"/>
    <d v="2023-09-11T00:00:00"/>
    <d v="2023-09-11T23:00:00"/>
    <x v="2"/>
    <s v="Accepted"/>
    <s v="Afternoon"/>
    <n v="4"/>
    <n v="12"/>
    <s v="Plan B"/>
  </r>
  <r>
    <x v="351"/>
    <n v="2"/>
    <x v="2"/>
    <x v="43"/>
    <x v="1"/>
    <x v="12"/>
    <x v="6"/>
    <x v="4"/>
    <n v="5"/>
    <s v="Dr. Patel"/>
    <n v="31902"/>
    <s v="MedD"/>
    <s v="Yes"/>
    <x v="0"/>
    <s v="21-08-23 0:00"/>
    <s v="22-08-23 6:00"/>
    <x v="4"/>
    <s v="Accepted"/>
    <s v="Night"/>
    <n v="9"/>
    <n v="10"/>
    <s v="Plan C"/>
  </r>
  <r>
    <x v="352"/>
    <n v="17"/>
    <x v="3"/>
    <x v="4"/>
    <x v="1"/>
    <x v="17"/>
    <x v="9"/>
    <x v="2"/>
    <n v="5"/>
    <s v="Dr. Mehta"/>
    <n v="7810"/>
    <s v="MedD"/>
    <s v="Yes"/>
    <x v="1"/>
    <s v="17-08-23 0:00"/>
    <s v="18-08-23 16:00"/>
    <x v="3"/>
    <s v="Accepted"/>
    <s v="Morning"/>
    <n v="11"/>
    <n v="8"/>
    <s v="Plan A"/>
  </r>
  <r>
    <x v="353"/>
    <n v="33"/>
    <x v="2"/>
    <x v="250"/>
    <x v="1"/>
    <x v="14"/>
    <x v="0"/>
    <x v="0"/>
    <n v="2"/>
    <s v="Dr. Mehta"/>
    <n v="16663"/>
    <s v="MedB"/>
    <s v="Yes"/>
    <x v="0"/>
    <s v="22-01-23 0:00"/>
    <s v="22-01-23 12:00"/>
    <x v="4"/>
    <s v="Accepted"/>
    <s v="Afternoon"/>
    <n v="9"/>
    <n v="12"/>
    <s v="Plan B"/>
  </r>
  <r>
    <x v="354"/>
    <n v="9"/>
    <x v="0"/>
    <x v="251"/>
    <x v="1"/>
    <x v="41"/>
    <x v="5"/>
    <x v="1"/>
    <n v="4"/>
    <s v="Dr. Mehta"/>
    <n v="11152"/>
    <s v="MedE"/>
    <s v="No"/>
    <x v="0"/>
    <s v="15-07-23 0:00"/>
    <s v="16-07-23 20:00"/>
    <x v="0"/>
    <s v="Accepted"/>
    <s v="Morning"/>
    <n v="8"/>
    <n v="8"/>
    <s v="Plan B"/>
  </r>
  <r>
    <x v="355"/>
    <n v="43"/>
    <x v="2"/>
    <x v="79"/>
    <x v="1"/>
    <x v="73"/>
    <x v="4"/>
    <x v="0"/>
    <n v="2"/>
    <s v="Dr. Patel"/>
    <n v="5012"/>
    <s v="MedC"/>
    <s v="Yes"/>
    <x v="0"/>
    <d v="2024-10-02T00:00:00"/>
    <d v="2024-11-02T22:00:00"/>
    <x v="4"/>
    <s v="Accepted"/>
    <s v="Afternoon"/>
    <n v="10"/>
    <n v="12"/>
    <s v="Plan C"/>
  </r>
  <r>
    <x v="356"/>
    <n v="48"/>
    <x v="1"/>
    <x v="252"/>
    <x v="1"/>
    <x v="246"/>
    <x v="7"/>
    <x v="1"/>
    <n v="5"/>
    <s v="Dr. Sharma"/>
    <n v="16162"/>
    <s v="MedE"/>
    <s v="No"/>
    <x v="1"/>
    <d v="2023-02-12T00:00:00"/>
    <d v="2023-02-12T20:00:00"/>
    <x v="1"/>
    <s v="Accepted"/>
    <s v="Morning"/>
    <n v="11"/>
    <n v="10"/>
    <s v="Plan A"/>
  </r>
  <r>
    <x v="357"/>
    <n v="39"/>
    <x v="1"/>
    <x v="141"/>
    <x v="1"/>
    <x v="247"/>
    <x v="1"/>
    <x v="2"/>
    <n v="3"/>
    <s v="Dr. Patel"/>
    <n v="27322"/>
    <s v="MedE"/>
    <s v="No"/>
    <x v="1"/>
    <d v="2023-10-10T00:00:00"/>
    <d v="2023-11-10T16:00:00"/>
    <x v="2"/>
    <s v="Accepted"/>
    <s v="Afternoon"/>
    <n v="4"/>
    <n v="10"/>
    <s v="Plan B"/>
  </r>
  <r>
    <x v="358"/>
    <n v="42"/>
    <x v="1"/>
    <x v="41"/>
    <x v="1"/>
    <x v="69"/>
    <x v="12"/>
    <x v="3"/>
    <n v="1"/>
    <s v="Dr. Mehta"/>
    <n v="12999"/>
    <s v="MedD"/>
    <s v="Yes"/>
    <x v="0"/>
    <d v="2023-08-03T00:00:00"/>
    <d v="2023-09-03T14:00:00"/>
    <x v="3"/>
    <s v="Accepted"/>
    <s v="Night"/>
    <n v="5"/>
    <n v="12"/>
    <s v="Plan A"/>
  </r>
  <r>
    <x v="359"/>
    <n v="26"/>
    <x v="4"/>
    <x v="141"/>
    <x v="1"/>
    <x v="95"/>
    <x v="4"/>
    <x v="3"/>
    <n v="5"/>
    <s v="Dr. Gupta"/>
    <n v="12219"/>
    <s v="MedB"/>
    <s v="No"/>
    <x v="1"/>
    <d v="2023-12-10T00:00:00"/>
    <d v="2023-12-10T06:00:00"/>
    <x v="0"/>
    <s v="Accepted"/>
    <s v="Afternoon"/>
    <n v="4"/>
    <n v="12"/>
    <s v="Plan B"/>
  </r>
  <r>
    <x v="360"/>
    <n v="50"/>
    <x v="0"/>
    <x v="253"/>
    <x v="1"/>
    <x v="23"/>
    <x v="4"/>
    <x v="0"/>
    <n v="3"/>
    <s v="Dr. Rao"/>
    <n v="10328"/>
    <s v="MedA"/>
    <s v="Yes"/>
    <x v="0"/>
    <s v="23-12-23 0:00"/>
    <s v="24-12-23 20:00"/>
    <x v="2"/>
    <s v="Accepted"/>
    <s v="Morning"/>
    <n v="7"/>
    <n v="12"/>
    <s v="Plan C"/>
  </r>
  <r>
    <x v="361"/>
    <n v="25"/>
    <x v="3"/>
    <x v="81"/>
    <x v="1"/>
    <x v="248"/>
    <x v="7"/>
    <x v="3"/>
    <n v="4"/>
    <s v="Dr. Patel"/>
    <n v="8621"/>
    <s v="MedB"/>
    <s v="No"/>
    <x v="0"/>
    <d v="2024-01-06T00:00:00"/>
    <d v="2024-01-06T09:00:00"/>
    <x v="4"/>
    <s v="Accepted"/>
    <s v="Afternoon"/>
    <n v="6"/>
    <n v="10"/>
    <s v="Plan A"/>
  </r>
  <r>
    <x v="362"/>
    <n v="24"/>
    <x v="3"/>
    <x v="254"/>
    <x v="1"/>
    <x v="67"/>
    <x v="5"/>
    <x v="1"/>
    <n v="5"/>
    <s v="Dr. Patel"/>
    <n v="29256"/>
    <s v="MedE"/>
    <s v="Yes"/>
    <x v="1"/>
    <d v="2024-10-02T00:00:00"/>
    <d v="2024-10-02T21:00:00"/>
    <x v="1"/>
    <s v="Accepted"/>
    <s v="Morning"/>
    <n v="9"/>
    <n v="10"/>
    <s v="Plan C"/>
  </r>
  <r>
    <x v="363"/>
    <n v="13"/>
    <x v="4"/>
    <x v="255"/>
    <x v="1"/>
    <x v="226"/>
    <x v="7"/>
    <x v="5"/>
    <n v="3"/>
    <s v="Dr. Sharma"/>
    <n v="49433"/>
    <s v="MedB"/>
    <s v="Yes"/>
    <x v="1"/>
    <d v="2023-03-12T00:00:00"/>
    <d v="2023-03-12T08:00:00"/>
    <x v="4"/>
    <s v="Rejected"/>
    <s v="Morning"/>
    <n v="10"/>
    <n v="8"/>
    <s v="Plan B"/>
  </r>
  <r>
    <x v="364"/>
    <n v="60"/>
    <x v="2"/>
    <x v="256"/>
    <x v="1"/>
    <x v="229"/>
    <x v="14"/>
    <x v="1"/>
    <n v="5"/>
    <s v="Dr. Sharma"/>
    <n v="16314"/>
    <s v="MedD"/>
    <s v="Yes"/>
    <x v="0"/>
    <s v="24-01-23 0:00"/>
    <s v="24-01-23 16:00"/>
    <x v="2"/>
    <s v="Accepted"/>
    <s v="Morning"/>
    <n v="10"/>
    <n v="10"/>
    <s v="Plan C"/>
  </r>
  <r>
    <x v="365"/>
    <n v="7"/>
    <x v="4"/>
    <x v="212"/>
    <x v="1"/>
    <x v="249"/>
    <x v="3"/>
    <x v="5"/>
    <n v="2"/>
    <s v="Dr. Patel"/>
    <n v="5652"/>
    <s v="MedA"/>
    <s v="No"/>
    <x v="0"/>
    <s v="24-04-23 0:00"/>
    <s v="24-04-23 20:00"/>
    <x v="0"/>
    <s v="Accepted"/>
    <s v="Night"/>
    <n v="4"/>
    <n v="12"/>
    <s v="Plan C"/>
  </r>
  <r>
    <x v="366"/>
    <n v="57"/>
    <x v="2"/>
    <x v="193"/>
    <x v="1"/>
    <x v="202"/>
    <x v="14"/>
    <x v="2"/>
    <n v="3"/>
    <s v="Dr. Mehta"/>
    <n v="21182"/>
    <s v="MedD"/>
    <s v="Yes"/>
    <x v="0"/>
    <s v="25-09-23 0:00"/>
    <s v="25-09-23 8:00"/>
    <x v="3"/>
    <s v="Accepted"/>
    <s v="Afternoon"/>
    <n v="8"/>
    <n v="8"/>
    <s v="Plan C"/>
  </r>
  <r>
    <x v="367"/>
    <n v="36"/>
    <x v="2"/>
    <x v="99"/>
    <x v="1"/>
    <x v="250"/>
    <x v="5"/>
    <x v="4"/>
    <n v="2"/>
    <s v="Dr. Rao"/>
    <n v="46580"/>
    <s v="MedA"/>
    <s v="Yes"/>
    <x v="0"/>
    <s v="27-06-23 0:00"/>
    <s v="27-06-23 12:00"/>
    <x v="2"/>
    <s v="Accepted"/>
    <s v="Morning"/>
    <n v="11"/>
    <n v="10"/>
    <s v="Plan B"/>
  </r>
  <r>
    <x v="368"/>
    <n v="45"/>
    <x v="5"/>
    <x v="75"/>
    <x v="1"/>
    <x v="68"/>
    <x v="5"/>
    <x v="5"/>
    <n v="2"/>
    <s v="Dr. Sharma"/>
    <n v="41558"/>
    <s v="MedE"/>
    <s v="Yes"/>
    <x v="0"/>
    <s v="28-09-23 0:00"/>
    <s v="29-09-23 0:00"/>
    <x v="0"/>
    <s v="Accepted"/>
    <s v="Night"/>
    <n v="7"/>
    <n v="10"/>
    <s v="Plan A"/>
  </r>
  <r>
    <x v="369"/>
    <n v="20"/>
    <x v="3"/>
    <x v="243"/>
    <x v="1"/>
    <x v="65"/>
    <x v="10"/>
    <x v="3"/>
    <n v="3"/>
    <s v="Dr. Mehta"/>
    <n v="20659"/>
    <s v="MedA"/>
    <s v="Yes"/>
    <x v="0"/>
    <d v="2023-05-02T00:00:00"/>
    <d v="2023-06-02T21:00:00"/>
    <x v="2"/>
    <s v="Accepted"/>
    <s v="Morning"/>
    <n v="6"/>
    <n v="12"/>
    <s v="Plan C"/>
  </r>
  <r>
    <x v="370"/>
    <n v="65"/>
    <x v="1"/>
    <x v="158"/>
    <x v="1"/>
    <x v="251"/>
    <x v="2"/>
    <x v="1"/>
    <n v="1"/>
    <s v="Dr. Gupta"/>
    <n v="39413"/>
    <s v="MedA"/>
    <s v="No"/>
    <x v="0"/>
    <s v="21-04-23 0:00"/>
    <s v="21-04-23 10:00"/>
    <x v="1"/>
    <s v="Accepted"/>
    <s v="Afternoon"/>
    <n v="7"/>
    <n v="8"/>
    <s v="Plan A"/>
  </r>
  <r>
    <x v="371"/>
    <n v="8"/>
    <x v="2"/>
    <x v="257"/>
    <x v="1"/>
    <x v="252"/>
    <x v="4"/>
    <x v="2"/>
    <n v="3"/>
    <s v="Dr. Sharma"/>
    <n v="15435"/>
    <s v="MedA"/>
    <s v="No"/>
    <x v="0"/>
    <s v="16-03-24 0:00"/>
    <s v="17-03-24 9:00"/>
    <x v="4"/>
    <s v="Accepted"/>
    <s v="Night"/>
    <n v="10"/>
    <n v="10"/>
    <s v="Plan B"/>
  </r>
  <r>
    <x v="372"/>
    <n v="16"/>
    <x v="5"/>
    <x v="258"/>
    <x v="1"/>
    <x v="253"/>
    <x v="6"/>
    <x v="3"/>
    <n v="1"/>
    <s v="Dr. Mehta"/>
    <n v="33067"/>
    <s v="MedB"/>
    <s v="Yes"/>
    <x v="0"/>
    <s v="18-12-23 0:00"/>
    <s v="19-12-23 1:00"/>
    <x v="3"/>
    <s v="Accepted"/>
    <s v="Morning"/>
    <n v="5"/>
    <n v="10"/>
    <s v="Plan A"/>
  </r>
  <r>
    <x v="373"/>
    <n v="14"/>
    <x v="3"/>
    <x v="180"/>
    <x v="1"/>
    <x v="66"/>
    <x v="11"/>
    <x v="2"/>
    <n v="5"/>
    <s v="Dr. Mehta"/>
    <n v="27258"/>
    <s v="MedB"/>
    <s v="Yes"/>
    <x v="0"/>
    <s v="13-11-23 0:00"/>
    <s v="14-11-23 3:00"/>
    <x v="0"/>
    <s v="Accepted"/>
    <s v="Morning"/>
    <n v="6"/>
    <n v="12"/>
    <s v="Plan C"/>
  </r>
  <r>
    <x v="374"/>
    <n v="76"/>
    <x v="1"/>
    <x v="259"/>
    <x v="1"/>
    <x v="231"/>
    <x v="1"/>
    <x v="4"/>
    <n v="5"/>
    <s v="Dr. Rao"/>
    <n v="33287"/>
    <s v="MedE"/>
    <s v="Yes"/>
    <x v="1"/>
    <s v="19-03-24 0:00"/>
    <s v="20-03-24 15:00"/>
    <x v="3"/>
    <s v="Accepted"/>
    <s v="Morning"/>
    <n v="11"/>
    <n v="8"/>
    <s v="Plan C"/>
  </r>
  <r>
    <x v="375"/>
    <n v="87"/>
    <x v="2"/>
    <x v="260"/>
    <x v="1"/>
    <x v="254"/>
    <x v="3"/>
    <x v="1"/>
    <n v="3"/>
    <s v="Dr. Rao"/>
    <n v="8688"/>
    <s v="MedA"/>
    <s v="Yes"/>
    <x v="0"/>
    <d v="2024-03-06T00:00:00"/>
    <d v="2024-03-06T09:00:00"/>
    <x v="3"/>
    <s v="Accepted"/>
    <s v="Afternoon"/>
    <n v="11"/>
    <n v="8"/>
    <s v="Plan C"/>
  </r>
  <r>
    <x v="376"/>
    <n v="15"/>
    <x v="2"/>
    <x v="212"/>
    <x v="1"/>
    <x v="249"/>
    <x v="3"/>
    <x v="0"/>
    <n v="5"/>
    <s v="Dr. Gupta"/>
    <n v="12689"/>
    <s v="MedC"/>
    <s v="Yes"/>
    <x v="1"/>
    <s v="26-04-23 0:00"/>
    <s v="27-04-23 13:00"/>
    <x v="3"/>
    <s v="Accepted"/>
    <s v="Night"/>
    <n v="10"/>
    <n v="8"/>
    <s v="Plan C"/>
  </r>
  <r>
    <x v="377"/>
    <n v="66"/>
    <x v="4"/>
    <x v="88"/>
    <x v="1"/>
    <x v="255"/>
    <x v="1"/>
    <x v="1"/>
    <n v="4"/>
    <s v="Dr. Mehta"/>
    <n v="6379"/>
    <s v="MedE"/>
    <s v="Yes"/>
    <x v="1"/>
    <s v="28-01-24 0:00"/>
    <s v="29-01-24 1:00"/>
    <x v="0"/>
    <s v="Accepted"/>
    <s v="Night"/>
    <n v="8"/>
    <n v="8"/>
    <s v="Plan C"/>
  </r>
  <r>
    <x v="378"/>
    <n v="32"/>
    <x v="4"/>
    <x v="147"/>
    <x v="1"/>
    <x v="185"/>
    <x v="9"/>
    <x v="4"/>
    <n v="2"/>
    <s v="Dr. Mehta"/>
    <n v="42011"/>
    <s v="MedA"/>
    <s v="Yes"/>
    <x v="0"/>
    <s v="13-07-23 0:00"/>
    <s v="14-07-23 4:00"/>
    <x v="0"/>
    <s v="Accepted"/>
    <s v="Night"/>
    <n v="6"/>
    <n v="12"/>
    <s v="Plan C"/>
  </r>
  <r>
    <x v="379"/>
    <n v="87"/>
    <x v="3"/>
    <x v="261"/>
    <x v="1"/>
    <x v="77"/>
    <x v="11"/>
    <x v="1"/>
    <n v="2"/>
    <s v="Dr. Rao"/>
    <n v="48005"/>
    <s v="MedA"/>
    <s v="Yes"/>
    <x v="0"/>
    <s v="15-09-23 0:00"/>
    <s v="15-09-23 12:00"/>
    <x v="3"/>
    <s v="Accepted"/>
    <s v="Morning"/>
    <n v="10"/>
    <n v="10"/>
    <s v="Plan B"/>
  </r>
  <r>
    <x v="380"/>
    <n v="63"/>
    <x v="1"/>
    <x v="221"/>
    <x v="1"/>
    <x v="256"/>
    <x v="7"/>
    <x v="0"/>
    <n v="1"/>
    <s v="Dr. Sharma"/>
    <n v="32624"/>
    <s v="MedB"/>
    <s v="No"/>
    <x v="0"/>
    <d v="2023-11-02T00:00:00"/>
    <d v="2023-12-02T08:00:00"/>
    <x v="4"/>
    <s v="Accepted"/>
    <s v="Night"/>
    <n v="8"/>
    <n v="10"/>
    <s v="Plan B"/>
  </r>
  <r>
    <x v="381"/>
    <n v="86"/>
    <x v="2"/>
    <x v="259"/>
    <x v="1"/>
    <x v="257"/>
    <x v="9"/>
    <x v="5"/>
    <n v="5"/>
    <s v="Dr. Sharma"/>
    <n v="30964"/>
    <s v="MedE"/>
    <s v="Yes"/>
    <x v="0"/>
    <s v="20-03-24 0:00"/>
    <s v="21-03-24 17:00"/>
    <x v="2"/>
    <s v="Accepted"/>
    <s v="Morning"/>
    <n v="5"/>
    <n v="8"/>
    <s v="Plan B"/>
  </r>
  <r>
    <x v="382"/>
    <n v="51"/>
    <x v="3"/>
    <x v="262"/>
    <x v="1"/>
    <x v="258"/>
    <x v="9"/>
    <x v="2"/>
    <n v="1"/>
    <s v="Dr. Patel"/>
    <n v="27891"/>
    <s v="MedA"/>
    <s v="Yes"/>
    <x v="0"/>
    <s v="29-12-22 0:00"/>
    <s v="30-12-22 11:00"/>
    <x v="3"/>
    <s v="Accepted"/>
    <s v="Afternoon"/>
    <n v="8"/>
    <n v="8"/>
    <s v="Plan A"/>
  </r>
  <r>
    <x v="383"/>
    <n v="25"/>
    <x v="3"/>
    <x v="263"/>
    <x v="1"/>
    <x v="259"/>
    <x v="13"/>
    <x v="0"/>
    <n v="2"/>
    <s v="Dr. Rao"/>
    <n v="43379"/>
    <s v="MedA"/>
    <s v="No"/>
    <x v="1"/>
    <s v="14-06-24 0:00"/>
    <s v="15-06-24 21:00"/>
    <x v="1"/>
    <s v="Rejected"/>
    <s v="Night"/>
    <n v="7"/>
    <n v="8"/>
    <s v="Plan A"/>
  </r>
  <r>
    <x v="384"/>
    <n v="58"/>
    <x v="0"/>
    <x v="264"/>
    <x v="1"/>
    <x v="127"/>
    <x v="0"/>
    <x v="3"/>
    <n v="2"/>
    <s v="Dr. Patel"/>
    <n v="17516"/>
    <s v="MedE"/>
    <s v="No"/>
    <x v="0"/>
    <s v="16-07-23 0:00"/>
    <s v="17-07-23 18:00"/>
    <x v="3"/>
    <s v="Accepted"/>
    <s v="Morning"/>
    <n v="4"/>
    <n v="10"/>
    <s v="Plan B"/>
  </r>
  <r>
    <x v="385"/>
    <n v="63"/>
    <x v="4"/>
    <x v="265"/>
    <x v="1"/>
    <x v="260"/>
    <x v="14"/>
    <x v="4"/>
    <n v="5"/>
    <s v="Dr. Rao"/>
    <n v="18886"/>
    <s v="MedC"/>
    <s v="Yes"/>
    <x v="0"/>
    <d v="2024-03-01T00:00:00"/>
    <d v="2024-03-01T12:00:00"/>
    <x v="0"/>
    <s v="Accepted"/>
    <s v="Night"/>
    <n v="7"/>
    <n v="10"/>
    <s v="Plan A"/>
  </r>
  <r>
    <x v="386"/>
    <n v="62"/>
    <x v="1"/>
    <x v="149"/>
    <x v="1"/>
    <x v="125"/>
    <x v="10"/>
    <x v="5"/>
    <n v="4"/>
    <s v="Dr. Gupta"/>
    <n v="25307"/>
    <s v="MedE"/>
    <s v="Yes"/>
    <x v="0"/>
    <d v="2024-12-03T00:00:00"/>
    <s v="13-03-24 12:00"/>
    <x v="2"/>
    <s v="Accepted"/>
    <s v="Night"/>
    <n v="11"/>
    <n v="8"/>
    <s v="Plan A"/>
  </r>
  <r>
    <x v="387"/>
    <n v="22"/>
    <x v="2"/>
    <x v="41"/>
    <x v="1"/>
    <x v="42"/>
    <x v="2"/>
    <x v="3"/>
    <n v="4"/>
    <s v="Dr. Mehta"/>
    <n v="29843"/>
    <s v="MedE"/>
    <s v="No"/>
    <x v="0"/>
    <d v="2023-08-03T00:00:00"/>
    <d v="2023-08-03T11:00:00"/>
    <x v="1"/>
    <s v="Accepted"/>
    <s v="Afternoon"/>
    <n v="10"/>
    <n v="12"/>
    <s v="Plan C"/>
  </r>
  <r>
    <x v="388"/>
    <n v="58"/>
    <x v="3"/>
    <x v="138"/>
    <x v="1"/>
    <x v="261"/>
    <x v="1"/>
    <x v="3"/>
    <n v="5"/>
    <s v="Dr. Gupta"/>
    <n v="10912"/>
    <s v="MedC"/>
    <s v="Yes"/>
    <x v="1"/>
    <s v="30-11-23 0:00"/>
    <d v="2023-01-12T08:00:00"/>
    <x v="2"/>
    <s v="Accepted"/>
    <s v="Night"/>
    <n v="10"/>
    <n v="10"/>
    <s v="Plan C"/>
  </r>
  <r>
    <x v="389"/>
    <n v="58"/>
    <x v="2"/>
    <x v="180"/>
    <x v="1"/>
    <x v="262"/>
    <x v="13"/>
    <x v="4"/>
    <n v="5"/>
    <s v="Dr. Rao"/>
    <n v="26514"/>
    <s v="MedE"/>
    <s v="Yes"/>
    <x v="0"/>
    <s v="16-11-23 0:00"/>
    <s v="16-11-23 19:00"/>
    <x v="2"/>
    <s v="Accepted"/>
    <s v="Afternoon"/>
    <n v="9"/>
    <n v="10"/>
    <s v="Plan A"/>
  </r>
  <r>
    <x v="390"/>
    <n v="86"/>
    <x v="0"/>
    <x v="35"/>
    <x v="1"/>
    <x v="121"/>
    <x v="11"/>
    <x v="5"/>
    <n v="1"/>
    <s v="Dr. Mehta"/>
    <n v="26823"/>
    <s v="MedA"/>
    <s v="Yes"/>
    <x v="0"/>
    <d v="2023-04-05T00:00:00"/>
    <d v="2023-04-05T09:00:00"/>
    <x v="1"/>
    <s v="Accepted"/>
    <s v="Night"/>
    <n v="7"/>
    <n v="8"/>
    <s v="Plan A"/>
  </r>
  <r>
    <x v="391"/>
    <n v="49"/>
    <x v="1"/>
    <x v="197"/>
    <x v="1"/>
    <x v="263"/>
    <x v="4"/>
    <x v="3"/>
    <n v="5"/>
    <s v="Dr. Sharma"/>
    <n v="33797"/>
    <s v="MedE"/>
    <s v="Yes"/>
    <x v="0"/>
    <d v="2023-01-11T00:00:00"/>
    <d v="2023-01-11T12:00:00"/>
    <x v="3"/>
    <s v="Accepted"/>
    <s v="Night"/>
    <n v="6"/>
    <n v="12"/>
    <s v="Plan B"/>
  </r>
  <r>
    <x v="392"/>
    <n v="52"/>
    <x v="3"/>
    <x v="100"/>
    <x v="1"/>
    <x v="254"/>
    <x v="1"/>
    <x v="3"/>
    <n v="4"/>
    <s v="Dr. Sharma"/>
    <n v="11449"/>
    <s v="MedC"/>
    <s v="Yes"/>
    <x v="0"/>
    <d v="2024-02-06T00:00:00"/>
    <d v="2024-02-06T21:00:00"/>
    <x v="3"/>
    <s v="Accepted"/>
    <s v="Night"/>
    <n v="11"/>
    <n v="8"/>
    <s v="Plan A"/>
  </r>
  <r>
    <x v="393"/>
    <n v="42"/>
    <x v="2"/>
    <x v="266"/>
    <x v="1"/>
    <x v="104"/>
    <x v="4"/>
    <x v="5"/>
    <n v="5"/>
    <s v="Dr. Patel"/>
    <n v="6725"/>
    <s v="MedD"/>
    <s v="No"/>
    <x v="0"/>
    <d v="2023-12-11T00:00:00"/>
    <s v="13-11-23 5:00"/>
    <x v="3"/>
    <s v="Accepted"/>
    <s v="Night"/>
    <n v="5"/>
    <n v="8"/>
    <s v="Plan C"/>
  </r>
  <r>
    <x v="394"/>
    <n v="70"/>
    <x v="4"/>
    <x v="267"/>
    <x v="1"/>
    <x v="264"/>
    <x v="6"/>
    <x v="1"/>
    <n v="1"/>
    <s v="Dr. Rao"/>
    <n v="20870"/>
    <s v="MedE"/>
    <s v="Yes"/>
    <x v="0"/>
    <s v="21-02-24 0:00"/>
    <s v="22-02-24 16:00"/>
    <x v="4"/>
    <s v="Accepted"/>
    <s v="Night"/>
    <n v="11"/>
    <n v="12"/>
    <s v="Plan A"/>
  </r>
  <r>
    <x v="395"/>
    <n v="15"/>
    <x v="0"/>
    <x v="268"/>
    <x v="1"/>
    <x v="265"/>
    <x v="8"/>
    <x v="3"/>
    <n v="1"/>
    <s v="Dr. Rao"/>
    <n v="14304"/>
    <s v="MedB"/>
    <s v="Yes"/>
    <x v="0"/>
    <s v="27-11-23 0:00"/>
    <s v="27-11-23 4:00"/>
    <x v="3"/>
    <s v="Accepted"/>
    <s v="Night"/>
    <n v="9"/>
    <n v="12"/>
    <s v="Plan B"/>
  </r>
  <r>
    <x v="396"/>
    <n v="54"/>
    <x v="1"/>
    <x v="156"/>
    <x v="1"/>
    <x v="67"/>
    <x v="2"/>
    <x v="2"/>
    <n v="1"/>
    <s v="Dr. Sharma"/>
    <n v="12522"/>
    <s v="MedA"/>
    <s v="Yes"/>
    <x v="0"/>
    <s v="15-02-24 0:00"/>
    <s v="15-02-24 23:00"/>
    <x v="1"/>
    <s v="Accepted"/>
    <s v="Afternoon"/>
    <n v="9"/>
    <n v="12"/>
    <s v="Plan C"/>
  </r>
  <r>
    <x v="397"/>
    <n v="60"/>
    <x v="0"/>
    <x v="269"/>
    <x v="1"/>
    <x v="266"/>
    <x v="13"/>
    <x v="5"/>
    <n v="1"/>
    <s v="Dr. Gupta"/>
    <n v="18663"/>
    <s v="MedA"/>
    <s v="Yes"/>
    <x v="1"/>
    <s v="29-10-23 0:00"/>
    <s v="29-10-23 1:00"/>
    <x v="4"/>
    <s v="Rejected"/>
    <s v="Afternoon"/>
    <n v="9"/>
    <n v="10"/>
    <s v="Plan C"/>
  </r>
  <r>
    <x v="398"/>
    <n v="8"/>
    <x v="4"/>
    <x v="231"/>
    <x v="1"/>
    <x v="204"/>
    <x v="10"/>
    <x v="3"/>
    <n v="3"/>
    <s v="Dr. Mehta"/>
    <n v="9784"/>
    <s v="MedB"/>
    <s v="No"/>
    <x v="1"/>
    <d v="2023-09-05T00:00:00"/>
    <d v="2023-10-05T08:00:00"/>
    <x v="3"/>
    <s v="Accepted"/>
    <s v="Morning"/>
    <n v="10"/>
    <n v="8"/>
    <s v="Plan C"/>
  </r>
  <r>
    <x v="399"/>
    <n v="53"/>
    <x v="1"/>
    <x v="40"/>
    <x v="1"/>
    <x v="267"/>
    <x v="12"/>
    <x v="4"/>
    <n v="5"/>
    <s v="Dr. Gupta"/>
    <n v="14472"/>
    <s v="MedB"/>
    <s v="Yes"/>
    <x v="0"/>
    <s v="14-07-23 0:00"/>
    <s v="14-07-23 9:00"/>
    <x v="4"/>
    <s v="Accepted"/>
    <s v="Night"/>
    <n v="4"/>
    <n v="10"/>
    <s v="Plan C"/>
  </r>
  <r>
    <x v="400"/>
    <n v="60"/>
    <x v="0"/>
    <x v="270"/>
    <x v="1"/>
    <x v="268"/>
    <x v="1"/>
    <x v="0"/>
    <n v="2"/>
    <s v="Dr. Gupta"/>
    <n v="33952"/>
    <s v="MedE"/>
    <s v="No"/>
    <x v="1"/>
    <d v="2024-01-03T00:00:00"/>
    <d v="2024-01-03T13:00:00"/>
    <x v="1"/>
    <s v="Accepted"/>
    <s v="Afternoon"/>
    <n v="8"/>
    <n v="12"/>
    <s v="Plan A"/>
  </r>
  <r>
    <x v="401"/>
    <n v="5"/>
    <x v="5"/>
    <x v="58"/>
    <x v="1"/>
    <x v="269"/>
    <x v="12"/>
    <x v="2"/>
    <n v="5"/>
    <s v="Dr. Sharma"/>
    <n v="15055"/>
    <s v="MedB"/>
    <s v="Yes"/>
    <x v="1"/>
    <s v="23-01-24 0:00"/>
    <s v="24-01-24 1:00"/>
    <x v="3"/>
    <s v="Accepted"/>
    <s v="Night"/>
    <n v="6"/>
    <n v="10"/>
    <s v="Plan B"/>
  </r>
  <r>
    <x v="402"/>
    <n v="68"/>
    <x v="4"/>
    <x v="271"/>
    <x v="1"/>
    <x v="270"/>
    <x v="1"/>
    <x v="0"/>
    <n v="3"/>
    <s v="Dr. Sharma"/>
    <n v="34508"/>
    <s v="MedD"/>
    <s v="Yes"/>
    <x v="0"/>
    <s v="23-06-23 0:00"/>
    <s v="24-06-23 12:00"/>
    <x v="0"/>
    <s v="Accepted"/>
    <s v="Night"/>
    <n v="11"/>
    <n v="12"/>
    <s v="Plan A"/>
  </r>
  <r>
    <x v="403"/>
    <n v="6"/>
    <x v="4"/>
    <x v="272"/>
    <x v="1"/>
    <x v="205"/>
    <x v="11"/>
    <x v="0"/>
    <n v="1"/>
    <s v="Dr. Sharma"/>
    <n v="17676"/>
    <s v="MedC"/>
    <s v="No"/>
    <x v="0"/>
    <s v="31-10-23 0:00"/>
    <d v="2023-01-11T09:00:00"/>
    <x v="1"/>
    <s v="Accepted"/>
    <s v="Afternoon"/>
    <n v="10"/>
    <n v="12"/>
    <s v="Plan A"/>
  </r>
  <r>
    <x v="404"/>
    <n v="47"/>
    <x v="4"/>
    <x v="273"/>
    <x v="1"/>
    <x v="264"/>
    <x v="0"/>
    <x v="3"/>
    <n v="3"/>
    <s v="Dr. Patel"/>
    <n v="30192"/>
    <s v="MedB"/>
    <s v="Yes"/>
    <x v="0"/>
    <s v="17-02-24 0:00"/>
    <s v="18-02-24 18:00"/>
    <x v="2"/>
    <s v="Accepted"/>
    <s v="Night"/>
    <n v="11"/>
    <n v="8"/>
    <s v="Plan C"/>
  </r>
  <r>
    <x v="405"/>
    <n v="55"/>
    <x v="5"/>
    <x v="105"/>
    <x v="1"/>
    <x v="271"/>
    <x v="1"/>
    <x v="2"/>
    <n v="4"/>
    <s v="Dr. Gupta"/>
    <n v="29722"/>
    <s v="MedB"/>
    <s v="Yes"/>
    <x v="1"/>
    <s v="30-12-22 0:00"/>
    <s v="31-12-22 8:00"/>
    <x v="2"/>
    <s v="Accepted"/>
    <s v="Afternoon"/>
    <n v="5"/>
    <n v="8"/>
    <s v="Plan B"/>
  </r>
  <r>
    <x v="406"/>
    <n v="40"/>
    <x v="5"/>
    <x v="274"/>
    <x v="1"/>
    <x v="266"/>
    <x v="5"/>
    <x v="2"/>
    <n v="4"/>
    <s v="Dr. Rao"/>
    <n v="12446"/>
    <s v="MedD"/>
    <s v="No"/>
    <x v="1"/>
    <d v="2023-05-11T00:00:00"/>
    <d v="2023-06-11T03:00:00"/>
    <x v="1"/>
    <s v="Accepted"/>
    <s v="Afternoon"/>
    <n v="10"/>
    <n v="8"/>
    <s v="Plan C"/>
  </r>
  <r>
    <x v="407"/>
    <n v="52"/>
    <x v="2"/>
    <x v="275"/>
    <x v="1"/>
    <x v="225"/>
    <x v="2"/>
    <x v="1"/>
    <n v="5"/>
    <s v="Dr. Mehta"/>
    <n v="9725"/>
    <s v="MedA"/>
    <s v="Yes"/>
    <x v="1"/>
    <s v="19-10-23 0:00"/>
    <s v="20-10-23 20:00"/>
    <x v="2"/>
    <s v="Accepted"/>
    <s v="Morning"/>
    <n v="4"/>
    <n v="10"/>
    <s v="Plan A"/>
  </r>
  <r>
    <x v="408"/>
    <n v="16"/>
    <x v="3"/>
    <x v="216"/>
    <x v="1"/>
    <x v="54"/>
    <x v="1"/>
    <x v="0"/>
    <n v="5"/>
    <s v="Dr. Patel"/>
    <n v="25061"/>
    <s v="MedA"/>
    <s v="No"/>
    <x v="0"/>
    <s v="31-07-23 0:00"/>
    <d v="2023-01-08T08:00:00"/>
    <x v="1"/>
    <s v="Accepted"/>
    <s v="Morning"/>
    <n v="11"/>
    <n v="8"/>
    <s v="Plan A"/>
  </r>
  <r>
    <x v="409"/>
    <n v="13"/>
    <x v="0"/>
    <x v="230"/>
    <x v="1"/>
    <x v="272"/>
    <x v="4"/>
    <x v="2"/>
    <n v="2"/>
    <s v="Dr. Rao"/>
    <n v="27671"/>
    <s v="MedE"/>
    <s v="No"/>
    <x v="0"/>
    <d v="2024-11-03T00:00:00"/>
    <d v="2024-12-03T03:00:00"/>
    <x v="0"/>
    <s v="Accepted"/>
    <s v="Morning"/>
    <n v="10"/>
    <n v="12"/>
    <s v="Plan C"/>
  </r>
  <r>
    <x v="410"/>
    <n v="30"/>
    <x v="2"/>
    <x v="276"/>
    <x v="1"/>
    <x v="262"/>
    <x v="10"/>
    <x v="1"/>
    <n v="2"/>
    <s v="Dr. Gupta"/>
    <n v="6409"/>
    <s v="MedD"/>
    <s v="Yes"/>
    <x v="0"/>
    <s v="24-11-23 0:00"/>
    <s v="25-11-23 22:00"/>
    <x v="1"/>
    <s v="Accepted"/>
    <s v="Morning"/>
    <n v="10"/>
    <n v="8"/>
    <s v="Plan A"/>
  </r>
  <r>
    <x v="411"/>
    <n v="19"/>
    <x v="0"/>
    <x v="277"/>
    <x v="1"/>
    <x v="165"/>
    <x v="3"/>
    <x v="5"/>
    <n v="4"/>
    <s v="Dr. Sharma"/>
    <n v="13205"/>
    <s v="MedC"/>
    <s v="Yes"/>
    <x v="1"/>
    <s v="19-04-24 0:00"/>
    <s v="20-04-24 5:00"/>
    <x v="3"/>
    <s v="Accepted"/>
    <s v="Night"/>
    <n v="7"/>
    <n v="10"/>
    <s v="Plan A"/>
  </r>
  <r>
    <x v="412"/>
    <n v="17"/>
    <x v="3"/>
    <x v="225"/>
    <x v="1"/>
    <x v="273"/>
    <x v="14"/>
    <x v="1"/>
    <n v="1"/>
    <s v="Dr. Gupta"/>
    <n v="21365"/>
    <s v="MedC"/>
    <s v="Yes"/>
    <x v="0"/>
    <s v="28-03-24 0:00"/>
    <s v="29-03-24 8:00"/>
    <x v="3"/>
    <s v="Accepted"/>
    <s v="Night"/>
    <n v="5"/>
    <n v="8"/>
    <s v="Plan C"/>
  </r>
  <r>
    <x v="413"/>
    <n v="63"/>
    <x v="5"/>
    <x v="225"/>
    <x v="1"/>
    <x v="274"/>
    <x v="12"/>
    <x v="4"/>
    <n v="3"/>
    <s v="Dr. Mehta"/>
    <n v="5256"/>
    <s v="MedD"/>
    <s v="Yes"/>
    <x v="0"/>
    <s v="24-03-24 0:00"/>
    <s v="24-03-24 11:00"/>
    <x v="4"/>
    <s v="Accepted"/>
    <s v="Morning"/>
    <n v="9"/>
    <n v="8"/>
    <s v="Plan A"/>
  </r>
  <r>
    <x v="414"/>
    <n v="19"/>
    <x v="3"/>
    <x v="170"/>
    <x v="1"/>
    <x v="275"/>
    <x v="6"/>
    <x v="3"/>
    <n v="2"/>
    <s v="Dr. Patel"/>
    <n v="20704"/>
    <s v="MedC"/>
    <s v="No"/>
    <x v="0"/>
    <d v="2023-02-08T00:00:00"/>
    <d v="2023-02-08T06:00:00"/>
    <x v="2"/>
    <s v="Accepted"/>
    <s v="Afternoon"/>
    <n v="5"/>
    <n v="8"/>
    <s v="Plan B"/>
  </r>
  <r>
    <x v="415"/>
    <n v="58"/>
    <x v="5"/>
    <x v="260"/>
    <x v="1"/>
    <x v="276"/>
    <x v="13"/>
    <x v="5"/>
    <n v="2"/>
    <s v="Dr. Patel"/>
    <n v="34902"/>
    <s v="MedA"/>
    <s v="No"/>
    <x v="0"/>
    <d v="2024-03-06T00:00:00"/>
    <d v="2024-04-06T13:00:00"/>
    <x v="2"/>
    <s v="Accepted"/>
    <s v="Afternoon"/>
    <n v="5"/>
    <n v="10"/>
    <s v="Plan C"/>
  </r>
  <r>
    <x v="416"/>
    <n v="55"/>
    <x v="3"/>
    <x v="144"/>
    <x v="1"/>
    <x v="277"/>
    <x v="11"/>
    <x v="5"/>
    <n v="1"/>
    <s v="Dr. Mehta"/>
    <n v="40758"/>
    <s v="MedC"/>
    <s v="Yes"/>
    <x v="0"/>
    <s v="26-04-24 0:00"/>
    <s v="26-04-24 2:00"/>
    <x v="1"/>
    <s v="Accepted"/>
    <s v="Afternoon"/>
    <n v="7"/>
    <n v="12"/>
    <s v="Plan B"/>
  </r>
  <r>
    <x v="417"/>
    <n v="62"/>
    <x v="2"/>
    <x v="278"/>
    <x v="1"/>
    <x v="278"/>
    <x v="8"/>
    <x v="4"/>
    <n v="1"/>
    <s v="Dr. Rao"/>
    <n v="6195"/>
    <s v="MedC"/>
    <s v="Yes"/>
    <x v="1"/>
    <s v="20-06-23 0:00"/>
    <s v="20-06-23 15:00"/>
    <x v="2"/>
    <s v="Accepted"/>
    <s v="Afternoon"/>
    <n v="8"/>
    <n v="12"/>
    <s v="Plan A"/>
  </r>
  <r>
    <x v="418"/>
    <n v="23"/>
    <x v="1"/>
    <x v="279"/>
    <x v="1"/>
    <x v="279"/>
    <x v="10"/>
    <x v="1"/>
    <n v="5"/>
    <s v="Dr. Rao"/>
    <n v="39012"/>
    <s v="MedD"/>
    <s v="Yes"/>
    <x v="1"/>
    <s v="26-03-23 0:00"/>
    <s v="26-03-23 19:00"/>
    <x v="3"/>
    <s v="Accepted"/>
    <s v="Night"/>
    <n v="10"/>
    <n v="12"/>
    <s v="Plan A"/>
  </r>
  <r>
    <x v="419"/>
    <n v="9"/>
    <x v="2"/>
    <x v="280"/>
    <x v="1"/>
    <x v="247"/>
    <x v="2"/>
    <x v="3"/>
    <n v="3"/>
    <s v="Dr. Patel"/>
    <n v="16415"/>
    <s v="MedD"/>
    <s v="Yes"/>
    <x v="0"/>
    <s v="17-10-23 0:00"/>
    <s v="17-10-23 3:00"/>
    <x v="0"/>
    <s v="Accepted"/>
    <s v="Afternoon"/>
    <n v="6"/>
    <n v="8"/>
    <s v="Plan C"/>
  </r>
  <r>
    <x v="420"/>
    <n v="12"/>
    <x v="0"/>
    <x v="281"/>
    <x v="1"/>
    <x v="280"/>
    <x v="1"/>
    <x v="1"/>
    <n v="1"/>
    <s v="Dr. Patel"/>
    <n v="44534"/>
    <s v="MedC"/>
    <s v="No"/>
    <x v="1"/>
    <d v="2024-09-06T00:00:00"/>
    <d v="2024-09-06T18:00:00"/>
    <x v="1"/>
    <s v="Accepted"/>
    <s v="Afternoon"/>
    <n v="9"/>
    <n v="8"/>
    <s v="Plan A"/>
  </r>
  <r>
    <x v="421"/>
    <n v="1"/>
    <x v="2"/>
    <x v="282"/>
    <x v="1"/>
    <x v="32"/>
    <x v="13"/>
    <x v="2"/>
    <n v="2"/>
    <s v="Dr. Sharma"/>
    <n v="26686"/>
    <s v="MedB"/>
    <s v="Yes"/>
    <x v="1"/>
    <d v="2023-10-12T00:00:00"/>
    <d v="2023-10-12T15:00:00"/>
    <x v="2"/>
    <s v="Accepted"/>
    <s v="Morning"/>
    <n v="11"/>
    <n v="10"/>
    <s v="Plan C"/>
  </r>
  <r>
    <x v="422"/>
    <n v="58"/>
    <x v="4"/>
    <x v="11"/>
    <x v="1"/>
    <x v="7"/>
    <x v="2"/>
    <x v="1"/>
    <n v="2"/>
    <s v="Dr. Rao"/>
    <n v="16662"/>
    <s v="MedD"/>
    <s v="No"/>
    <x v="1"/>
    <d v="2023-04-04T00:00:00"/>
    <d v="2023-05-04T11:00:00"/>
    <x v="3"/>
    <s v="Accepted"/>
    <s v="Afternoon"/>
    <n v="8"/>
    <n v="12"/>
    <s v="Plan C"/>
  </r>
  <r>
    <x v="423"/>
    <n v="1"/>
    <x v="0"/>
    <x v="187"/>
    <x v="1"/>
    <x v="139"/>
    <x v="7"/>
    <x v="5"/>
    <n v="4"/>
    <s v="Dr. Mehta"/>
    <n v="33743"/>
    <s v="MedE"/>
    <s v="No"/>
    <x v="1"/>
    <s v="24-08-23 0:00"/>
    <s v="24-08-23 19:00"/>
    <x v="4"/>
    <s v="Accepted"/>
    <s v="Night"/>
    <n v="4"/>
    <n v="8"/>
    <s v="Plan C"/>
  </r>
  <r>
    <x v="424"/>
    <n v="34"/>
    <x v="3"/>
    <x v="283"/>
    <x v="1"/>
    <x v="113"/>
    <x v="1"/>
    <x v="3"/>
    <n v="1"/>
    <s v="Dr. Rao"/>
    <n v="37161"/>
    <s v="MedE"/>
    <s v="No"/>
    <x v="0"/>
    <s v="14-11-23 0:00"/>
    <s v="14-11-23 11:00"/>
    <x v="2"/>
    <s v="Accepted"/>
    <s v="Afternoon"/>
    <n v="10"/>
    <n v="8"/>
    <s v="Plan C"/>
  </r>
  <r>
    <x v="425"/>
    <n v="48"/>
    <x v="0"/>
    <x v="130"/>
    <x v="1"/>
    <x v="281"/>
    <x v="12"/>
    <x v="1"/>
    <n v="5"/>
    <s v="Dr. Sharma"/>
    <n v="48081"/>
    <s v="MedA"/>
    <s v="Yes"/>
    <x v="0"/>
    <s v="17-08-23 0:00"/>
    <s v="18-08-23 6:00"/>
    <x v="0"/>
    <s v="Accepted"/>
    <s v="Afternoon"/>
    <n v="9"/>
    <n v="8"/>
    <s v="Plan C"/>
  </r>
  <r>
    <x v="426"/>
    <n v="89"/>
    <x v="1"/>
    <x v="16"/>
    <x v="1"/>
    <x v="282"/>
    <x v="1"/>
    <x v="3"/>
    <n v="3"/>
    <s v="Dr. Patel"/>
    <n v="7402"/>
    <s v="MedC"/>
    <s v="No"/>
    <x v="0"/>
    <s v="20-07-23 0:00"/>
    <s v="21-07-23 13:00"/>
    <x v="0"/>
    <s v="Accepted"/>
    <s v="Night"/>
    <n v="6"/>
    <n v="10"/>
    <s v="Plan B"/>
  </r>
  <r>
    <x v="427"/>
    <n v="1"/>
    <x v="5"/>
    <x v="284"/>
    <x v="1"/>
    <x v="283"/>
    <x v="9"/>
    <x v="3"/>
    <n v="5"/>
    <s v="Dr. Patel"/>
    <n v="18275"/>
    <s v="MedB"/>
    <s v="Yes"/>
    <x v="0"/>
    <s v="26-05-23 0:00"/>
    <s v="28-05-23 0:00"/>
    <x v="2"/>
    <s v="Accepted"/>
    <s v="Morning"/>
    <n v="10"/>
    <n v="12"/>
    <s v="Plan C"/>
  </r>
  <r>
    <x v="428"/>
    <n v="16"/>
    <x v="3"/>
    <x v="1"/>
    <x v="1"/>
    <x v="110"/>
    <x v="2"/>
    <x v="2"/>
    <n v="2"/>
    <s v="Dr. Sharma"/>
    <n v="33182"/>
    <s v="MedA"/>
    <s v="No"/>
    <x v="0"/>
    <s v="24-01-23 0:00"/>
    <s v="25-01-23 8:00"/>
    <x v="2"/>
    <s v="Accepted"/>
    <s v="Night"/>
    <n v="4"/>
    <n v="10"/>
    <s v="Plan B"/>
  </r>
  <r>
    <x v="429"/>
    <n v="61"/>
    <x v="0"/>
    <x v="285"/>
    <x v="1"/>
    <x v="284"/>
    <x v="1"/>
    <x v="2"/>
    <n v="5"/>
    <s v="Dr. Mehta"/>
    <n v="19915"/>
    <s v="MedC"/>
    <s v="Yes"/>
    <x v="0"/>
    <d v="2023-12-02T00:00:00"/>
    <s v="13-02-23 12:00"/>
    <x v="3"/>
    <s v="Accepted"/>
    <s v="Morning"/>
    <n v="7"/>
    <n v="12"/>
    <s v="Plan A"/>
  </r>
  <r>
    <x v="430"/>
    <n v="64"/>
    <x v="3"/>
    <x v="3"/>
    <x v="1"/>
    <x v="285"/>
    <x v="13"/>
    <x v="5"/>
    <n v="2"/>
    <s v="Dr. Patel"/>
    <n v="5909"/>
    <s v="MedD"/>
    <s v="Yes"/>
    <x v="0"/>
    <d v="2023-05-09T00:00:00"/>
    <d v="2023-06-09T09:00:00"/>
    <x v="2"/>
    <s v="Accepted"/>
    <s v="Afternoon"/>
    <n v="8"/>
    <n v="12"/>
    <s v="Plan C"/>
  </r>
  <r>
    <x v="431"/>
    <n v="63"/>
    <x v="3"/>
    <x v="119"/>
    <x v="1"/>
    <x v="148"/>
    <x v="5"/>
    <x v="4"/>
    <n v="2"/>
    <s v="Dr. Gupta"/>
    <n v="5372"/>
    <s v="MedE"/>
    <s v="Yes"/>
    <x v="0"/>
    <s v="30-04-24 0:00"/>
    <s v="30-04-24 8:00"/>
    <x v="4"/>
    <s v="Accepted"/>
    <s v="Morning"/>
    <n v="10"/>
    <n v="8"/>
    <s v="Plan A"/>
  </r>
  <r>
    <x v="432"/>
    <n v="69"/>
    <x v="3"/>
    <x v="199"/>
    <x v="1"/>
    <x v="199"/>
    <x v="11"/>
    <x v="3"/>
    <n v="2"/>
    <s v="Dr. Patel"/>
    <n v="27620"/>
    <s v="MedB"/>
    <s v="Yes"/>
    <x v="1"/>
    <s v="15-03-23 0:00"/>
    <s v="16-03-23 13:00"/>
    <x v="3"/>
    <s v="Rejected"/>
    <s v="Morning"/>
    <n v="9"/>
    <n v="8"/>
    <s v="Plan C"/>
  </r>
  <r>
    <x v="433"/>
    <n v="22"/>
    <x v="5"/>
    <x v="286"/>
    <x v="1"/>
    <x v="286"/>
    <x v="10"/>
    <x v="4"/>
    <n v="2"/>
    <s v="Dr. Gupta"/>
    <n v="39112"/>
    <s v="MedE"/>
    <s v="Yes"/>
    <x v="0"/>
    <d v="2024-07-04T00:00:00"/>
    <d v="2024-07-04T08:00:00"/>
    <x v="1"/>
    <s v="Accepted"/>
    <s v="Morning"/>
    <n v="5"/>
    <n v="8"/>
    <s v="Plan B"/>
  </r>
  <r>
    <x v="434"/>
    <n v="67"/>
    <x v="2"/>
    <x v="287"/>
    <x v="1"/>
    <x v="150"/>
    <x v="7"/>
    <x v="5"/>
    <n v="2"/>
    <s v="Dr. Sharma"/>
    <n v="13515"/>
    <s v="MedD"/>
    <s v="No"/>
    <x v="0"/>
    <s v="27-02-24 0:00"/>
    <s v="27-02-24 18:00"/>
    <x v="4"/>
    <s v="Accepted"/>
    <s v="Afternoon"/>
    <n v="11"/>
    <n v="8"/>
    <s v="Plan B"/>
  </r>
  <r>
    <x v="435"/>
    <n v="76"/>
    <x v="3"/>
    <x v="288"/>
    <x v="1"/>
    <x v="287"/>
    <x v="10"/>
    <x v="3"/>
    <n v="4"/>
    <s v="Dr. Sharma"/>
    <n v="7431"/>
    <s v="MedC"/>
    <s v="Yes"/>
    <x v="0"/>
    <s v="15-07-23 0:00"/>
    <s v="16-07-23 11:00"/>
    <x v="3"/>
    <s v="Accepted"/>
    <s v="Morning"/>
    <n v="11"/>
    <n v="8"/>
    <s v="Plan B"/>
  </r>
  <r>
    <x v="436"/>
    <n v="26"/>
    <x v="4"/>
    <x v="289"/>
    <x v="1"/>
    <x v="288"/>
    <x v="14"/>
    <x v="3"/>
    <n v="5"/>
    <s v="Dr. Patel"/>
    <n v="26054"/>
    <s v="MedD"/>
    <s v="Yes"/>
    <x v="0"/>
    <s v="24-01-24 0:00"/>
    <s v="25-01-24 0:00"/>
    <x v="3"/>
    <s v="Accepted"/>
    <s v="Morning"/>
    <n v="11"/>
    <n v="12"/>
    <s v="Plan A"/>
  </r>
  <r>
    <x v="437"/>
    <n v="16"/>
    <x v="1"/>
    <x v="290"/>
    <x v="1"/>
    <x v="289"/>
    <x v="3"/>
    <x v="0"/>
    <n v="4"/>
    <s v="Dr. Rao"/>
    <n v="37624"/>
    <s v="MedD"/>
    <s v="Yes"/>
    <x v="0"/>
    <s v="19-05-24 0:00"/>
    <s v="20-05-24 11:00"/>
    <x v="0"/>
    <s v="Accepted"/>
    <s v="Afternoon"/>
    <n v="6"/>
    <n v="8"/>
    <s v="Plan C"/>
  </r>
  <r>
    <x v="438"/>
    <n v="51"/>
    <x v="5"/>
    <x v="254"/>
    <x v="1"/>
    <x v="203"/>
    <x v="2"/>
    <x v="4"/>
    <n v="4"/>
    <s v="Dr. Gupta"/>
    <n v="15585"/>
    <s v="MedE"/>
    <s v="Yes"/>
    <x v="0"/>
    <s v="13-02-24 0:00"/>
    <s v="13-02-24 3:00"/>
    <x v="3"/>
    <s v="Accepted"/>
    <s v="Night"/>
    <n v="10"/>
    <n v="8"/>
    <s v="Plan A"/>
  </r>
  <r>
    <x v="439"/>
    <n v="86"/>
    <x v="0"/>
    <x v="291"/>
    <x v="1"/>
    <x v="92"/>
    <x v="9"/>
    <x v="1"/>
    <n v="1"/>
    <s v="Dr. Mehta"/>
    <n v="36958"/>
    <s v="MedB"/>
    <s v="Yes"/>
    <x v="1"/>
    <d v="2023-07-09T00:00:00"/>
    <d v="2023-08-09T23:00:00"/>
    <x v="4"/>
    <s v="Accepted"/>
    <s v="Night"/>
    <n v="11"/>
    <n v="10"/>
    <s v="Plan B"/>
  </r>
  <r>
    <x v="440"/>
    <n v="57"/>
    <x v="5"/>
    <x v="229"/>
    <x v="1"/>
    <x v="290"/>
    <x v="0"/>
    <x v="2"/>
    <n v="1"/>
    <s v="Dr. Patel"/>
    <n v="6695"/>
    <s v="MedD"/>
    <s v="Yes"/>
    <x v="0"/>
    <s v="28-05-23 0:00"/>
    <s v="29-05-23 5:00"/>
    <x v="2"/>
    <s v="Accepted"/>
    <s v="Night"/>
    <n v="9"/>
    <n v="10"/>
    <s v="Plan A"/>
  </r>
  <r>
    <x v="441"/>
    <n v="29"/>
    <x v="0"/>
    <x v="292"/>
    <x v="1"/>
    <x v="271"/>
    <x v="2"/>
    <x v="1"/>
    <n v="1"/>
    <s v="Dr. Mehta"/>
    <n v="39675"/>
    <s v="MedE"/>
    <s v="Yes"/>
    <x v="0"/>
    <d v="2023-01-01T00:00:00"/>
    <d v="2023-02-01T11:00:00"/>
    <x v="4"/>
    <s v="Accepted"/>
    <s v="Afternoon"/>
    <n v="5"/>
    <n v="12"/>
    <s v="Plan B"/>
  </r>
  <r>
    <x v="442"/>
    <n v="78"/>
    <x v="5"/>
    <x v="213"/>
    <x v="1"/>
    <x v="291"/>
    <x v="9"/>
    <x v="4"/>
    <n v="3"/>
    <s v="Dr. Patel"/>
    <n v="38787"/>
    <s v="MedB"/>
    <s v="Yes"/>
    <x v="0"/>
    <s v="16-04-23 0:00"/>
    <s v="16-04-23 14:00"/>
    <x v="1"/>
    <s v="Accepted"/>
    <s v="Afternoon"/>
    <n v="9"/>
    <n v="12"/>
    <s v="Plan B"/>
  </r>
  <r>
    <x v="443"/>
    <n v="69"/>
    <x v="0"/>
    <x v="293"/>
    <x v="1"/>
    <x v="22"/>
    <x v="9"/>
    <x v="2"/>
    <n v="1"/>
    <s v="Dr. Rao"/>
    <n v="49225"/>
    <s v="MedC"/>
    <s v="No"/>
    <x v="1"/>
    <d v="2024-10-03T00:00:00"/>
    <d v="2024-11-03T04:00:00"/>
    <x v="3"/>
    <s v="Accepted"/>
    <s v="Night"/>
    <n v="10"/>
    <n v="10"/>
    <s v="Plan B"/>
  </r>
  <r>
    <x v="444"/>
    <n v="47"/>
    <x v="3"/>
    <x v="60"/>
    <x v="1"/>
    <x v="136"/>
    <x v="7"/>
    <x v="1"/>
    <n v="5"/>
    <s v="Dr. Rao"/>
    <n v="6403"/>
    <s v="MedC"/>
    <s v="Yes"/>
    <x v="0"/>
    <d v="2023-12-08T00:00:00"/>
    <d v="2023-12-08T07:00:00"/>
    <x v="3"/>
    <s v="Accepted"/>
    <s v="Morning"/>
    <n v="4"/>
    <n v="10"/>
    <s v="Plan C"/>
  </r>
  <r>
    <x v="445"/>
    <n v="62"/>
    <x v="2"/>
    <x v="294"/>
    <x v="1"/>
    <x v="194"/>
    <x v="8"/>
    <x v="0"/>
    <n v="4"/>
    <s v="Dr. Rao"/>
    <n v="22810"/>
    <s v="MedA"/>
    <s v="No"/>
    <x v="0"/>
    <s v="30-06-23 0:00"/>
    <d v="2023-02-07T00:00:00"/>
    <x v="3"/>
    <s v="Accepted"/>
    <s v="Night"/>
    <n v="5"/>
    <n v="8"/>
    <s v="Plan C"/>
  </r>
  <r>
    <x v="446"/>
    <n v="69"/>
    <x v="0"/>
    <x v="295"/>
    <x v="1"/>
    <x v="200"/>
    <x v="14"/>
    <x v="2"/>
    <n v="5"/>
    <s v="Dr. Rao"/>
    <n v="13855"/>
    <s v="MedE"/>
    <s v="Yes"/>
    <x v="1"/>
    <d v="2024-09-06T00:00:00"/>
    <d v="2024-10-06T18:00:00"/>
    <x v="3"/>
    <s v="Accepted"/>
    <s v="Afternoon"/>
    <n v="5"/>
    <n v="8"/>
    <s v="Plan B"/>
  </r>
  <r>
    <x v="447"/>
    <n v="76"/>
    <x v="0"/>
    <x v="296"/>
    <x v="1"/>
    <x v="292"/>
    <x v="10"/>
    <x v="3"/>
    <n v="1"/>
    <s v="Dr. Sharma"/>
    <n v="43636"/>
    <s v="MedB"/>
    <s v="Yes"/>
    <x v="0"/>
    <s v="16-04-24 0:00"/>
    <s v="16-04-24 16:00"/>
    <x v="0"/>
    <s v="Accepted"/>
    <s v="Morning"/>
    <n v="9"/>
    <n v="12"/>
    <s v="Plan A"/>
  </r>
  <r>
    <x v="448"/>
    <n v="16"/>
    <x v="4"/>
    <x v="165"/>
    <x v="1"/>
    <x v="43"/>
    <x v="10"/>
    <x v="1"/>
    <n v="3"/>
    <s v="Dr. Sharma"/>
    <n v="15839"/>
    <s v="MedD"/>
    <s v="Yes"/>
    <x v="1"/>
    <s v="20-02-23 0:00"/>
    <s v="20-02-23 20:00"/>
    <x v="0"/>
    <s v="Accepted"/>
    <s v="Morning"/>
    <n v="7"/>
    <n v="10"/>
    <s v="Plan A"/>
  </r>
  <r>
    <x v="449"/>
    <n v="48"/>
    <x v="0"/>
    <x v="162"/>
    <x v="1"/>
    <x v="293"/>
    <x v="11"/>
    <x v="2"/>
    <n v="3"/>
    <s v="Dr. Gupta"/>
    <n v="5010"/>
    <s v="MedC"/>
    <s v="Yes"/>
    <x v="0"/>
    <d v="2023-08-09T00:00:00"/>
    <d v="2023-08-09T03:00:00"/>
    <x v="2"/>
    <s v="Accepted"/>
    <s v="Afternoon"/>
    <n v="10"/>
    <n v="12"/>
    <s v="Plan C"/>
  </r>
  <r>
    <x v="450"/>
    <n v="85"/>
    <x v="4"/>
    <x v="297"/>
    <x v="1"/>
    <x v="294"/>
    <x v="13"/>
    <x v="0"/>
    <n v="4"/>
    <s v="Dr. Mehta"/>
    <n v="44098"/>
    <s v="MedB"/>
    <s v="No"/>
    <x v="0"/>
    <d v="2023-04-05T00:00:00"/>
    <d v="2023-05-05T05:00:00"/>
    <x v="3"/>
    <s v="Accepted"/>
    <s v="Morning"/>
    <n v="11"/>
    <n v="8"/>
    <s v="Plan B"/>
  </r>
  <r>
    <x v="451"/>
    <n v="39"/>
    <x v="1"/>
    <x v="298"/>
    <x v="1"/>
    <x v="295"/>
    <x v="0"/>
    <x v="2"/>
    <n v="5"/>
    <s v="Dr. Patel"/>
    <n v="14230"/>
    <s v="MedE"/>
    <s v="No"/>
    <x v="0"/>
    <d v="2024-12-04T00:00:00"/>
    <d v="2024-12-04T17:00:00"/>
    <x v="1"/>
    <s v="Accepted"/>
    <s v="Night"/>
    <n v="7"/>
    <n v="12"/>
    <s v="Plan A"/>
  </r>
  <r>
    <x v="452"/>
    <n v="33"/>
    <x v="3"/>
    <x v="299"/>
    <x v="1"/>
    <x v="162"/>
    <x v="13"/>
    <x v="2"/>
    <n v="2"/>
    <s v="Dr. Patel"/>
    <n v="45232"/>
    <s v="MedA"/>
    <s v="Yes"/>
    <x v="1"/>
    <s v="17-05-23 0:00"/>
    <s v="17-05-23 23:00"/>
    <x v="2"/>
    <s v="Accepted"/>
    <s v="Afternoon"/>
    <n v="8"/>
    <n v="12"/>
    <s v="Plan B"/>
  </r>
  <r>
    <x v="453"/>
    <n v="23"/>
    <x v="4"/>
    <x v="296"/>
    <x v="1"/>
    <x v="295"/>
    <x v="3"/>
    <x v="0"/>
    <n v="5"/>
    <s v="Dr. Sharma"/>
    <n v="40771"/>
    <s v="MedC"/>
    <s v="Yes"/>
    <x v="0"/>
    <s v="17-04-24 0:00"/>
    <s v="17-04-24 6:00"/>
    <x v="3"/>
    <s v="Accepted"/>
    <s v="Afternoon"/>
    <n v="11"/>
    <n v="12"/>
    <s v="Plan A"/>
  </r>
  <r>
    <x v="454"/>
    <n v="10"/>
    <x v="2"/>
    <x v="300"/>
    <x v="1"/>
    <x v="296"/>
    <x v="7"/>
    <x v="1"/>
    <n v="1"/>
    <s v="Dr. Patel"/>
    <n v="34256"/>
    <s v="MedB"/>
    <s v="Yes"/>
    <x v="1"/>
    <s v="19-11-23 0:00"/>
    <s v="20-11-23 5:00"/>
    <x v="0"/>
    <s v="Accepted"/>
    <s v="Afternoon"/>
    <n v="4"/>
    <n v="8"/>
    <s v="Plan C"/>
  </r>
  <r>
    <x v="455"/>
    <n v="69"/>
    <x v="3"/>
    <x v="164"/>
    <x v="1"/>
    <x v="257"/>
    <x v="2"/>
    <x v="5"/>
    <n v="2"/>
    <s v="Dr. Sharma"/>
    <n v="30651"/>
    <s v="MedB"/>
    <s v="Yes"/>
    <x v="1"/>
    <s v="24-03-24 0:00"/>
    <s v="24-03-24 8:00"/>
    <x v="1"/>
    <s v="Accepted"/>
    <s v="Afternoon"/>
    <n v="7"/>
    <n v="12"/>
    <s v="Plan B"/>
  </r>
  <r>
    <x v="456"/>
    <n v="34"/>
    <x v="4"/>
    <x v="301"/>
    <x v="1"/>
    <x v="297"/>
    <x v="3"/>
    <x v="1"/>
    <n v="3"/>
    <s v="Dr. Gupta"/>
    <n v="37383"/>
    <s v="MedB"/>
    <s v="Yes"/>
    <x v="1"/>
    <s v="28-05-24 0:00"/>
    <s v="28-05-24 16:00"/>
    <x v="2"/>
    <s v="Rejected"/>
    <s v="Morning"/>
    <n v="9"/>
    <n v="8"/>
    <s v="Plan B"/>
  </r>
  <r>
    <x v="457"/>
    <n v="52"/>
    <x v="3"/>
    <x v="302"/>
    <x v="1"/>
    <x v="272"/>
    <x v="5"/>
    <x v="4"/>
    <n v="4"/>
    <s v="Dr. Mehta"/>
    <n v="44963"/>
    <s v="MedE"/>
    <s v="No"/>
    <x v="1"/>
    <d v="2024-12-03T00:00:00"/>
    <d v="2024-12-03T14:00:00"/>
    <x v="1"/>
    <s v="Accepted"/>
    <s v="Afternoon"/>
    <n v="10"/>
    <n v="10"/>
    <s v="Plan A"/>
  </r>
  <r>
    <x v="458"/>
    <n v="10"/>
    <x v="3"/>
    <x v="303"/>
    <x v="1"/>
    <x v="130"/>
    <x v="7"/>
    <x v="0"/>
    <n v="4"/>
    <s v="Dr. Gupta"/>
    <n v="18662"/>
    <s v="MedE"/>
    <s v="No"/>
    <x v="0"/>
    <s v="27-03-24 0:00"/>
    <s v="29-03-24 0:00"/>
    <x v="3"/>
    <s v="Accepted"/>
    <s v="Afternoon"/>
    <n v="7"/>
    <n v="12"/>
    <s v="Plan A"/>
  </r>
  <r>
    <x v="459"/>
    <n v="19"/>
    <x v="3"/>
    <x v="304"/>
    <x v="1"/>
    <x v="298"/>
    <x v="3"/>
    <x v="1"/>
    <n v="3"/>
    <s v="Dr. Rao"/>
    <n v="18739"/>
    <s v="MedE"/>
    <s v="No"/>
    <x v="1"/>
    <d v="2023-11-06T00:00:00"/>
    <d v="2023-12-06T14:00:00"/>
    <x v="4"/>
    <s v="Accepted"/>
    <s v="Morning"/>
    <n v="8"/>
    <n v="12"/>
    <s v="Plan A"/>
  </r>
  <r>
    <x v="460"/>
    <n v="58"/>
    <x v="1"/>
    <x v="119"/>
    <x v="1"/>
    <x v="277"/>
    <x v="12"/>
    <x v="2"/>
    <n v="1"/>
    <s v="Dr. Rao"/>
    <n v="6789"/>
    <s v="MedD"/>
    <s v="No"/>
    <x v="0"/>
    <d v="2024-01-05T00:00:00"/>
    <d v="2024-02-05T21:00:00"/>
    <x v="1"/>
    <s v="Accepted"/>
    <s v="Afternoon"/>
    <n v="6"/>
    <n v="8"/>
    <s v="Plan B"/>
  </r>
  <r>
    <x v="461"/>
    <n v="1"/>
    <x v="2"/>
    <x v="305"/>
    <x v="1"/>
    <x v="299"/>
    <x v="3"/>
    <x v="0"/>
    <n v="3"/>
    <s v="Dr. Rao"/>
    <n v="24420"/>
    <s v="MedB"/>
    <s v="No"/>
    <x v="0"/>
    <d v="2024-01-04T00:00:00"/>
    <d v="2024-01-04T23:00:00"/>
    <x v="1"/>
    <s v="Accepted"/>
    <s v="Morning"/>
    <n v="8"/>
    <n v="12"/>
    <s v="Plan C"/>
  </r>
  <r>
    <x v="462"/>
    <n v="69"/>
    <x v="5"/>
    <x v="306"/>
    <x v="1"/>
    <x v="300"/>
    <x v="14"/>
    <x v="3"/>
    <n v="1"/>
    <s v="Dr. Gupta"/>
    <n v="28761"/>
    <s v="MedC"/>
    <s v="Yes"/>
    <x v="0"/>
    <s v="22-09-23 0:00"/>
    <s v="23-09-23 22:00"/>
    <x v="0"/>
    <s v="Accepted"/>
    <s v="Morning"/>
    <n v="5"/>
    <n v="8"/>
    <s v="Plan C"/>
  </r>
  <r>
    <x v="463"/>
    <n v="4"/>
    <x v="5"/>
    <x v="129"/>
    <x v="1"/>
    <x v="301"/>
    <x v="14"/>
    <x v="1"/>
    <n v="2"/>
    <s v="Dr. Patel"/>
    <n v="45366"/>
    <s v="MedE"/>
    <s v="Yes"/>
    <x v="0"/>
    <d v="2023-08-09T00:00:00"/>
    <d v="2023-09-09T16:00:00"/>
    <x v="3"/>
    <s v="Accepted"/>
    <s v="Afternoon"/>
    <n v="11"/>
    <n v="12"/>
    <s v="Plan A"/>
  </r>
  <r>
    <x v="464"/>
    <n v="16"/>
    <x v="4"/>
    <x v="220"/>
    <x v="1"/>
    <x v="220"/>
    <x v="0"/>
    <x v="0"/>
    <n v="3"/>
    <s v="Dr. Mehta"/>
    <n v="42606"/>
    <s v="MedE"/>
    <s v="Yes"/>
    <x v="0"/>
    <d v="2023-06-10T00:00:00"/>
    <d v="2023-07-10T17:00:00"/>
    <x v="1"/>
    <s v="Rejected"/>
    <s v="Night"/>
    <n v="10"/>
    <n v="10"/>
    <s v="Plan C"/>
  </r>
  <r>
    <x v="465"/>
    <n v="24"/>
    <x v="3"/>
    <x v="307"/>
    <x v="1"/>
    <x v="83"/>
    <x v="2"/>
    <x v="1"/>
    <n v="1"/>
    <s v="Dr. Rao"/>
    <n v="43640"/>
    <s v="MedB"/>
    <s v="No"/>
    <x v="0"/>
    <s v="14-06-24 0:00"/>
    <s v="15-06-24 4:00"/>
    <x v="3"/>
    <s v="Accepted"/>
    <s v="Afternoon"/>
    <n v="5"/>
    <n v="10"/>
    <s v="Plan A"/>
  </r>
  <r>
    <x v="466"/>
    <n v="80"/>
    <x v="4"/>
    <x v="308"/>
    <x v="1"/>
    <x v="173"/>
    <x v="3"/>
    <x v="0"/>
    <n v="2"/>
    <s v="Dr. Rao"/>
    <n v="49135"/>
    <s v="MedE"/>
    <s v="No"/>
    <x v="1"/>
    <d v="2024-08-05T00:00:00"/>
    <d v="2024-08-05T11:00:00"/>
    <x v="0"/>
    <s v="Accepted"/>
    <s v="Night"/>
    <n v="7"/>
    <n v="10"/>
    <s v="Plan C"/>
  </r>
  <r>
    <x v="467"/>
    <n v="2"/>
    <x v="1"/>
    <x v="195"/>
    <x v="1"/>
    <x v="171"/>
    <x v="14"/>
    <x v="2"/>
    <n v="3"/>
    <s v="Dr. Rao"/>
    <n v="42067"/>
    <s v="MedD"/>
    <s v="No"/>
    <x v="0"/>
    <s v="28-08-23 0:00"/>
    <s v="29-08-23 16:00"/>
    <x v="3"/>
    <s v="Rejected"/>
    <s v="Morning"/>
    <n v="7"/>
    <n v="12"/>
    <s v="Plan B"/>
  </r>
  <r>
    <x v="468"/>
    <n v="32"/>
    <x v="1"/>
    <x v="2"/>
    <x v="1"/>
    <x v="247"/>
    <x v="0"/>
    <x v="3"/>
    <n v="4"/>
    <s v="Dr. Mehta"/>
    <n v="22357"/>
    <s v="MedD"/>
    <s v="No"/>
    <x v="1"/>
    <d v="2023-08-10T00:00:00"/>
    <d v="2023-08-10T09:00:00"/>
    <x v="0"/>
    <s v="Accepted"/>
    <s v="Night"/>
    <n v="8"/>
    <n v="12"/>
    <s v="Plan A"/>
  </r>
  <r>
    <x v="469"/>
    <n v="84"/>
    <x v="0"/>
    <x v="309"/>
    <x v="1"/>
    <x v="302"/>
    <x v="6"/>
    <x v="3"/>
    <n v="3"/>
    <s v="Dr. Rao"/>
    <n v="44851"/>
    <s v="MedE"/>
    <s v="No"/>
    <x v="1"/>
    <s v="24-03-24 0:00"/>
    <s v="24-03-24 14:00"/>
    <x v="0"/>
    <s v="Rejected"/>
    <s v="Afternoon"/>
    <n v="8"/>
    <n v="10"/>
    <s v="Plan C"/>
  </r>
  <r>
    <x v="470"/>
    <n v="24"/>
    <x v="1"/>
    <x v="310"/>
    <x v="1"/>
    <x v="303"/>
    <x v="6"/>
    <x v="4"/>
    <n v="5"/>
    <s v="Dr. Mehta"/>
    <n v="43262"/>
    <s v="MedB"/>
    <s v="No"/>
    <x v="1"/>
    <s v="19-03-23 0:00"/>
    <s v="19-03-23 14:00"/>
    <x v="2"/>
    <s v="Rejected"/>
    <s v="Afternoon"/>
    <n v="9"/>
    <n v="10"/>
    <s v="Plan B"/>
  </r>
  <r>
    <x v="471"/>
    <n v="12"/>
    <x v="0"/>
    <x v="175"/>
    <x v="1"/>
    <x v="45"/>
    <x v="14"/>
    <x v="0"/>
    <n v="3"/>
    <s v="Dr. Rao"/>
    <n v="16317"/>
    <s v="MedB"/>
    <s v="Yes"/>
    <x v="0"/>
    <s v="18-10-23 0:00"/>
    <s v="18-10-23 4:00"/>
    <x v="3"/>
    <s v="Accepted"/>
    <s v="Night"/>
    <n v="4"/>
    <n v="8"/>
    <s v="Plan C"/>
  </r>
  <r>
    <x v="472"/>
    <n v="50"/>
    <x v="2"/>
    <x v="187"/>
    <x v="1"/>
    <x v="149"/>
    <x v="12"/>
    <x v="1"/>
    <n v="5"/>
    <s v="Dr. Gupta"/>
    <n v="26534"/>
    <s v="MedB"/>
    <s v="No"/>
    <x v="1"/>
    <s v="24-08-23 0:00"/>
    <s v="25-08-23 13:00"/>
    <x v="4"/>
    <s v="Accepted"/>
    <s v="Afternoon"/>
    <n v="9"/>
    <n v="8"/>
    <s v="Plan B"/>
  </r>
  <r>
    <x v="473"/>
    <n v="35"/>
    <x v="4"/>
    <x v="214"/>
    <x v="1"/>
    <x v="49"/>
    <x v="14"/>
    <x v="3"/>
    <n v="2"/>
    <s v="Dr. Gupta"/>
    <n v="30734"/>
    <s v="MedA"/>
    <s v="Yes"/>
    <x v="0"/>
    <d v="2023-06-10T00:00:00"/>
    <d v="2023-06-10T23:00:00"/>
    <x v="2"/>
    <s v="Accepted"/>
    <s v="Night"/>
    <n v="5"/>
    <n v="10"/>
    <s v="Plan B"/>
  </r>
  <r>
    <x v="474"/>
    <n v="33"/>
    <x v="2"/>
    <x v="282"/>
    <x v="1"/>
    <x v="304"/>
    <x v="12"/>
    <x v="3"/>
    <n v="3"/>
    <s v="Dr. Mehta"/>
    <n v="40897"/>
    <s v="MedE"/>
    <s v="Yes"/>
    <x v="1"/>
    <d v="2023-10-12T00:00:00"/>
    <d v="2023-11-12T11:00:00"/>
    <x v="0"/>
    <s v="Accepted"/>
    <s v="Morning"/>
    <n v="9"/>
    <n v="10"/>
    <s v="Plan C"/>
  </r>
  <r>
    <x v="475"/>
    <n v="33"/>
    <x v="1"/>
    <x v="311"/>
    <x v="1"/>
    <x v="262"/>
    <x v="6"/>
    <x v="5"/>
    <n v="2"/>
    <s v="Dr. Gupta"/>
    <n v="37872"/>
    <s v="MedB"/>
    <s v="No"/>
    <x v="0"/>
    <s v="19-11-23 0:00"/>
    <s v="19-11-23 18:00"/>
    <x v="4"/>
    <s v="Rejected"/>
    <s v="Night"/>
    <n v="8"/>
    <n v="12"/>
    <s v="Plan C"/>
  </r>
  <r>
    <x v="476"/>
    <n v="61"/>
    <x v="2"/>
    <x v="185"/>
    <x v="1"/>
    <x v="305"/>
    <x v="0"/>
    <x v="5"/>
    <n v="2"/>
    <s v="Dr. Mehta"/>
    <n v="45201"/>
    <s v="MedD"/>
    <s v="No"/>
    <x v="1"/>
    <s v="20-03-23 0:00"/>
    <s v="21-03-23 15:00"/>
    <x v="1"/>
    <s v="Accepted"/>
    <s v="Night"/>
    <n v="10"/>
    <n v="10"/>
    <s v="Plan B"/>
  </r>
  <r>
    <x v="477"/>
    <n v="51"/>
    <x v="2"/>
    <x v="80"/>
    <x v="1"/>
    <x v="306"/>
    <x v="8"/>
    <x v="3"/>
    <n v="1"/>
    <s v="Dr. Gupta"/>
    <n v="12689"/>
    <s v="MedC"/>
    <s v="Yes"/>
    <x v="1"/>
    <s v="21-05-23 0:00"/>
    <s v="22-05-23 11:00"/>
    <x v="1"/>
    <s v="Accepted"/>
    <s v="Night"/>
    <n v="9"/>
    <n v="8"/>
    <s v="Plan B"/>
  </r>
  <r>
    <x v="478"/>
    <n v="43"/>
    <x v="2"/>
    <x v="312"/>
    <x v="1"/>
    <x v="86"/>
    <x v="8"/>
    <x v="0"/>
    <n v="2"/>
    <s v="Dr. Gupta"/>
    <n v="8567"/>
    <s v="MedC"/>
    <s v="Yes"/>
    <x v="0"/>
    <s v="31-05-23 0:00"/>
    <s v="31-05-23 11:00"/>
    <x v="2"/>
    <s v="Accepted"/>
    <s v="Night"/>
    <n v="6"/>
    <n v="8"/>
    <s v="Plan B"/>
  </r>
  <r>
    <x v="479"/>
    <n v="12"/>
    <x v="1"/>
    <x v="313"/>
    <x v="1"/>
    <x v="114"/>
    <x v="12"/>
    <x v="4"/>
    <n v="2"/>
    <s v="Dr. Mehta"/>
    <n v="25732"/>
    <s v="MedB"/>
    <s v="No"/>
    <x v="1"/>
    <s v="20-08-23 0:00"/>
    <s v="20-08-23 21:00"/>
    <x v="4"/>
    <s v="Accepted"/>
    <s v="Morning"/>
    <n v="11"/>
    <n v="8"/>
    <s v="Plan A"/>
  </r>
  <r>
    <x v="480"/>
    <n v="67"/>
    <x v="3"/>
    <x v="314"/>
    <x v="1"/>
    <x v="307"/>
    <x v="0"/>
    <x v="3"/>
    <n v="3"/>
    <s v="Dr. Patel"/>
    <n v="25774"/>
    <s v="MedC"/>
    <s v="Yes"/>
    <x v="0"/>
    <s v="23-01-24 0:00"/>
    <s v="24-01-24 22:00"/>
    <x v="3"/>
    <s v="Accepted"/>
    <s v="Morning"/>
    <n v="4"/>
    <n v="8"/>
    <s v="Plan B"/>
  </r>
  <r>
    <x v="481"/>
    <n v="65"/>
    <x v="2"/>
    <x v="86"/>
    <x v="1"/>
    <x v="184"/>
    <x v="0"/>
    <x v="2"/>
    <n v="3"/>
    <s v="Dr. Gupta"/>
    <n v="28195"/>
    <s v="MedC"/>
    <s v="No"/>
    <x v="0"/>
    <d v="2023-06-06T00:00:00"/>
    <d v="2023-06-06T19:00:00"/>
    <x v="4"/>
    <s v="Accepted"/>
    <s v="Morning"/>
    <n v="8"/>
    <n v="8"/>
    <s v="Plan A"/>
  </r>
  <r>
    <x v="482"/>
    <n v="33"/>
    <x v="0"/>
    <x v="142"/>
    <x v="1"/>
    <x v="4"/>
    <x v="12"/>
    <x v="1"/>
    <n v="4"/>
    <s v="Dr. Rao"/>
    <n v="42412"/>
    <s v="MedA"/>
    <s v="Yes"/>
    <x v="1"/>
    <d v="2023-07-08T00:00:00"/>
    <d v="2023-07-08T19:00:00"/>
    <x v="2"/>
    <s v="Accepted"/>
    <s v="Night"/>
    <n v="10"/>
    <n v="8"/>
    <s v="Plan B"/>
  </r>
  <r>
    <x v="483"/>
    <n v="40"/>
    <x v="1"/>
    <x v="87"/>
    <x v="1"/>
    <x v="115"/>
    <x v="10"/>
    <x v="4"/>
    <n v="1"/>
    <s v="Dr. Patel"/>
    <n v="49098"/>
    <s v="MedD"/>
    <s v="Yes"/>
    <x v="0"/>
    <d v="2023-04-03T00:00:00"/>
    <d v="2023-05-03T13:00:00"/>
    <x v="3"/>
    <s v="Accepted"/>
    <s v="Morning"/>
    <n v="7"/>
    <n v="10"/>
    <s v="Plan A"/>
  </r>
  <r>
    <x v="484"/>
    <n v="74"/>
    <x v="2"/>
    <x v="287"/>
    <x v="1"/>
    <x v="308"/>
    <x v="13"/>
    <x v="2"/>
    <n v="2"/>
    <s v="Dr. Mehta"/>
    <n v="27257"/>
    <s v="MedD"/>
    <s v="Yes"/>
    <x v="1"/>
    <s v="28-02-24 0:00"/>
    <s v="28-02-24 18:00"/>
    <x v="3"/>
    <s v="Rejected"/>
    <s v="Afternoon"/>
    <n v="11"/>
    <n v="8"/>
    <s v="Plan B"/>
  </r>
  <r>
    <x v="485"/>
    <n v="43"/>
    <x v="3"/>
    <x v="315"/>
    <x v="1"/>
    <x v="150"/>
    <x v="0"/>
    <x v="4"/>
    <n v="1"/>
    <s v="Dr. Patel"/>
    <n v="9394"/>
    <s v="MedA"/>
    <s v="Yes"/>
    <x v="0"/>
    <s v="22-02-24 0:00"/>
    <s v="23-02-24 9:00"/>
    <x v="1"/>
    <s v="Accepted"/>
    <s v="Morning"/>
    <n v="9"/>
    <n v="8"/>
    <s v="Plan B"/>
  </r>
  <r>
    <x v="486"/>
    <n v="44"/>
    <x v="1"/>
    <x v="138"/>
    <x v="1"/>
    <x v="142"/>
    <x v="10"/>
    <x v="2"/>
    <n v="5"/>
    <s v="Dr. Sharma"/>
    <n v="41302"/>
    <s v="MedA"/>
    <s v="Yes"/>
    <x v="1"/>
    <d v="2023-02-12T00:00:00"/>
    <d v="2023-03-12T20:00:00"/>
    <x v="4"/>
    <s v="Accepted"/>
    <s v="Night"/>
    <n v="8"/>
    <n v="8"/>
    <s v="Plan B"/>
  </r>
  <r>
    <x v="487"/>
    <n v="29"/>
    <x v="5"/>
    <x v="316"/>
    <x v="1"/>
    <x v="309"/>
    <x v="3"/>
    <x v="1"/>
    <n v="2"/>
    <s v="Dr. Sharma"/>
    <n v="27228"/>
    <s v="MedC"/>
    <s v="No"/>
    <x v="0"/>
    <s v="19-04-24 0:00"/>
    <s v="19-04-24 7:00"/>
    <x v="3"/>
    <s v="Accepted"/>
    <s v="Afternoon"/>
    <n v="7"/>
    <n v="8"/>
    <s v="Plan C"/>
  </r>
  <r>
    <x v="488"/>
    <n v="13"/>
    <x v="3"/>
    <x v="317"/>
    <x v="1"/>
    <x v="310"/>
    <x v="6"/>
    <x v="1"/>
    <n v="1"/>
    <s v="Dr. Gupta"/>
    <n v="17388"/>
    <s v="MedE"/>
    <s v="Yes"/>
    <x v="1"/>
    <s v="29-02-24 0:00"/>
    <s v="29-02-24 9:00"/>
    <x v="2"/>
    <s v="Accepted"/>
    <s v="Night"/>
    <n v="7"/>
    <n v="10"/>
    <s v="Plan C"/>
  </r>
  <r>
    <x v="489"/>
    <n v="12"/>
    <x v="0"/>
    <x v="318"/>
    <x v="1"/>
    <x v="311"/>
    <x v="2"/>
    <x v="5"/>
    <n v="4"/>
    <s v="Dr. Gupta"/>
    <n v="16319"/>
    <s v="MedC"/>
    <s v="Yes"/>
    <x v="0"/>
    <s v="28-02-23 0:00"/>
    <d v="2023-01-03T03:00:00"/>
    <x v="1"/>
    <s v="Accepted"/>
    <s v="Afternoon"/>
    <n v="5"/>
    <n v="12"/>
    <s v="Plan B"/>
  </r>
  <r>
    <x v="490"/>
    <n v="46"/>
    <x v="2"/>
    <x v="319"/>
    <x v="1"/>
    <x v="312"/>
    <x v="6"/>
    <x v="0"/>
    <n v="4"/>
    <s v="Dr. Rao"/>
    <n v="11475"/>
    <s v="MedA"/>
    <s v="Yes"/>
    <x v="0"/>
    <s v="29-07-23 0:00"/>
    <s v="29-07-23 4:00"/>
    <x v="3"/>
    <s v="Rejected"/>
    <s v="Night"/>
    <n v="5"/>
    <n v="12"/>
    <s v="Plan A"/>
  </r>
  <r>
    <x v="491"/>
    <n v="2"/>
    <x v="5"/>
    <x v="270"/>
    <x v="1"/>
    <x v="308"/>
    <x v="6"/>
    <x v="2"/>
    <n v="2"/>
    <s v="Dr. Patel"/>
    <n v="36555"/>
    <s v="MedD"/>
    <s v="Yes"/>
    <x v="0"/>
    <d v="2024-06-03T00:00:00"/>
    <d v="2024-06-03T18:00:00"/>
    <x v="4"/>
    <s v="Accepted"/>
    <s v="Night"/>
    <n v="10"/>
    <n v="12"/>
    <s v="Plan A"/>
  </r>
  <r>
    <x v="492"/>
    <n v="35"/>
    <x v="5"/>
    <x v="320"/>
    <x v="1"/>
    <x v="73"/>
    <x v="0"/>
    <x v="5"/>
    <n v="5"/>
    <s v="Dr. Sharma"/>
    <n v="23158"/>
    <s v="MedC"/>
    <s v="No"/>
    <x v="0"/>
    <d v="2024-03-02T00:00:00"/>
    <d v="2024-04-02T18:00:00"/>
    <x v="1"/>
    <s v="Accepted"/>
    <s v="Afternoon"/>
    <n v="8"/>
    <n v="12"/>
    <s v="Plan B"/>
  </r>
  <r>
    <x v="493"/>
    <n v="87"/>
    <x v="1"/>
    <x v="321"/>
    <x v="1"/>
    <x v="313"/>
    <x v="5"/>
    <x v="2"/>
    <n v="4"/>
    <s v="Dr. Gupta"/>
    <n v="19728"/>
    <s v="MedE"/>
    <s v="Yes"/>
    <x v="0"/>
    <s v="19-01-23 0:00"/>
    <s v="19-01-23 9:00"/>
    <x v="4"/>
    <s v="Accepted"/>
    <s v="Morning"/>
    <n v="11"/>
    <n v="8"/>
    <s v="Plan C"/>
  </r>
  <r>
    <x v="494"/>
    <n v="81"/>
    <x v="5"/>
    <x v="28"/>
    <x v="1"/>
    <x v="314"/>
    <x v="14"/>
    <x v="5"/>
    <n v="4"/>
    <s v="Dr. Patel"/>
    <n v="49774"/>
    <s v="MedC"/>
    <s v="No"/>
    <x v="0"/>
    <s v="21-01-24 0:00"/>
    <s v="22-01-24 21:00"/>
    <x v="4"/>
    <s v="Accepted"/>
    <s v="Afternoon"/>
    <n v="10"/>
    <n v="12"/>
    <s v="Plan A"/>
  </r>
  <r>
    <x v="495"/>
    <n v="8"/>
    <x v="0"/>
    <x v="182"/>
    <x v="1"/>
    <x v="315"/>
    <x v="5"/>
    <x v="1"/>
    <n v="5"/>
    <s v="Dr. Gupta"/>
    <n v="34545"/>
    <s v="MedB"/>
    <s v="Yes"/>
    <x v="1"/>
    <s v="29-04-24 0:00"/>
    <s v="29-04-24 9:00"/>
    <x v="4"/>
    <s v="Accepted"/>
    <s v="Afternoon"/>
    <n v="8"/>
    <n v="12"/>
    <s v="Plan C"/>
  </r>
  <r>
    <x v="496"/>
    <n v="26"/>
    <x v="0"/>
    <x v="21"/>
    <x v="1"/>
    <x v="316"/>
    <x v="12"/>
    <x v="4"/>
    <n v="1"/>
    <s v="Dr. Gupta"/>
    <n v="36100"/>
    <s v="MedC"/>
    <s v="Yes"/>
    <x v="1"/>
    <d v="2023-07-01T00:00:00"/>
    <d v="2023-07-01T16:00:00"/>
    <x v="1"/>
    <s v="Accepted"/>
    <s v="Afternoon"/>
    <n v="6"/>
    <n v="10"/>
    <s v="Plan A"/>
  </r>
  <r>
    <x v="497"/>
    <n v="74"/>
    <x v="4"/>
    <x v="322"/>
    <x v="1"/>
    <x v="253"/>
    <x v="4"/>
    <x v="5"/>
    <n v="4"/>
    <s v="Dr. Sharma"/>
    <n v="21150"/>
    <s v="MedA"/>
    <s v="Yes"/>
    <x v="1"/>
    <s v="25-12-23 0:00"/>
    <s v="25-12-23 10:00"/>
    <x v="3"/>
    <s v="Accepted"/>
    <s v="Afternoon"/>
    <n v="4"/>
    <n v="10"/>
    <s v="Plan B"/>
  </r>
  <r>
    <x v="498"/>
    <n v="34"/>
    <x v="0"/>
    <x v="102"/>
    <x v="1"/>
    <x v="216"/>
    <x v="10"/>
    <x v="2"/>
    <n v="3"/>
    <s v="Dr. Sharma"/>
    <n v="38214"/>
    <s v="MedD"/>
    <s v="Yes"/>
    <x v="0"/>
    <s v="31-10-23 0:00"/>
    <d v="2023-01-11T22:00:00"/>
    <x v="0"/>
    <s v="Accepted"/>
    <s v="Afternoon"/>
    <n v="4"/>
    <n v="10"/>
    <s v="Plan C"/>
  </r>
  <r>
    <x v="499"/>
    <n v="7"/>
    <x v="3"/>
    <x v="173"/>
    <x v="1"/>
    <x v="89"/>
    <x v="9"/>
    <x v="2"/>
    <n v="4"/>
    <s v="Dr. Gupta"/>
    <n v="37876"/>
    <s v="MedD"/>
    <s v="No"/>
    <x v="0"/>
    <d v="2024-01-02T00:00:00"/>
    <d v="2024-01-02T21:00:00"/>
    <x v="3"/>
    <s v="Accepted"/>
    <s v="Night"/>
    <n v="11"/>
    <n v="8"/>
    <s v="Plan A"/>
  </r>
  <r>
    <x v="500"/>
    <n v="68"/>
    <x v="5"/>
    <x v="17"/>
    <x v="1"/>
    <x v="317"/>
    <x v="2"/>
    <x v="0"/>
    <n v="1"/>
    <s v="Dr. Mehta"/>
    <n v="8239"/>
    <s v="MedA"/>
    <s v="Yes"/>
    <x v="0"/>
    <s v="29-02-24 0:00"/>
    <s v="29-02-24 16:00"/>
    <x v="1"/>
    <s v="Accepted"/>
    <s v="Night"/>
    <n v="8"/>
    <n v="8"/>
    <s v="Plan B"/>
  </r>
  <r>
    <x v="501"/>
    <n v="58"/>
    <x v="0"/>
    <x v="18"/>
    <x v="1"/>
    <x v="318"/>
    <x v="5"/>
    <x v="1"/>
    <n v="1"/>
    <s v="Dr. Gupta"/>
    <n v="43699"/>
    <s v="MedB"/>
    <s v="No"/>
    <x v="1"/>
    <d v="2023-10-08T00:00:00"/>
    <d v="2023-11-08T20:00:00"/>
    <x v="0"/>
    <s v="Accepted"/>
    <s v="Morning"/>
    <n v="5"/>
    <n v="8"/>
    <s v="Plan B"/>
  </r>
  <r>
    <x v="502"/>
    <n v="75"/>
    <x v="1"/>
    <x v="323"/>
    <x v="1"/>
    <x v="319"/>
    <x v="6"/>
    <x v="2"/>
    <n v="2"/>
    <s v="Dr. Gupta"/>
    <n v="41821"/>
    <s v="MedA"/>
    <s v="Yes"/>
    <x v="0"/>
    <d v="2024-10-05T00:00:00"/>
    <d v="2024-11-05T02:00:00"/>
    <x v="0"/>
    <s v="Accepted"/>
    <s v="Morning"/>
    <n v="11"/>
    <n v="10"/>
    <s v="Plan B"/>
  </r>
  <r>
    <x v="503"/>
    <n v="29"/>
    <x v="4"/>
    <x v="60"/>
    <x v="1"/>
    <x v="11"/>
    <x v="6"/>
    <x v="3"/>
    <n v="3"/>
    <s v="Dr. Rao"/>
    <n v="35615"/>
    <s v="MedC"/>
    <s v="No"/>
    <x v="1"/>
    <d v="2023-10-08T00:00:00"/>
    <d v="2023-11-08T08:00:00"/>
    <x v="0"/>
    <s v="Rejected"/>
    <s v="Afternoon"/>
    <n v="9"/>
    <n v="12"/>
    <s v="Plan C"/>
  </r>
  <r>
    <x v="504"/>
    <n v="36"/>
    <x v="5"/>
    <x v="324"/>
    <x v="1"/>
    <x v="202"/>
    <x v="4"/>
    <x v="4"/>
    <n v="1"/>
    <s v="Dr. Rao"/>
    <n v="18746"/>
    <s v="MedA"/>
    <s v="No"/>
    <x v="0"/>
    <d v="2023-06-10T00:00:00"/>
    <d v="2023-06-10T10:00:00"/>
    <x v="2"/>
    <s v="Accepted"/>
    <s v="Morning"/>
    <n v="10"/>
    <n v="10"/>
    <s v="Plan C"/>
  </r>
  <r>
    <x v="505"/>
    <n v="89"/>
    <x v="4"/>
    <x v="259"/>
    <x v="1"/>
    <x v="125"/>
    <x v="4"/>
    <x v="5"/>
    <n v="5"/>
    <s v="Dr. Rao"/>
    <n v="25921"/>
    <s v="MedA"/>
    <s v="Yes"/>
    <x v="0"/>
    <s v="18-03-24 0:00"/>
    <s v="19-03-24 13:00"/>
    <x v="1"/>
    <s v="Accepted"/>
    <s v="Morning"/>
    <n v="6"/>
    <n v="8"/>
    <s v="Plan B"/>
  </r>
  <r>
    <x v="506"/>
    <n v="21"/>
    <x v="5"/>
    <x v="115"/>
    <x v="1"/>
    <x v="320"/>
    <x v="10"/>
    <x v="0"/>
    <n v="3"/>
    <s v="Dr. Mehta"/>
    <n v="27745"/>
    <s v="MedB"/>
    <s v="Yes"/>
    <x v="0"/>
    <d v="2024-09-05T00:00:00"/>
    <d v="2024-10-05T17:00:00"/>
    <x v="2"/>
    <s v="Rejected"/>
    <s v="Afternoon"/>
    <n v="4"/>
    <n v="10"/>
    <s v="Plan C"/>
  </r>
  <r>
    <x v="507"/>
    <n v="36"/>
    <x v="1"/>
    <x v="325"/>
    <x v="1"/>
    <x v="321"/>
    <x v="13"/>
    <x v="4"/>
    <n v="3"/>
    <s v="Dr. Mehta"/>
    <n v="6245"/>
    <s v="MedC"/>
    <s v="No"/>
    <x v="0"/>
    <s v="28-01-23 0:00"/>
    <s v="28-01-23 18:00"/>
    <x v="0"/>
    <s v="Accepted"/>
    <s v="Night"/>
    <n v="8"/>
    <n v="12"/>
    <s v="Plan A"/>
  </r>
  <r>
    <x v="508"/>
    <n v="10"/>
    <x v="4"/>
    <x v="320"/>
    <x v="1"/>
    <x v="307"/>
    <x v="5"/>
    <x v="1"/>
    <n v="5"/>
    <s v="Dr. Gupta"/>
    <n v="29853"/>
    <s v="MedE"/>
    <s v="Yes"/>
    <x v="0"/>
    <d v="2024-02-02T00:00:00"/>
    <d v="2024-03-02T17:00:00"/>
    <x v="2"/>
    <s v="Accepted"/>
    <s v="Night"/>
    <n v="5"/>
    <n v="8"/>
    <s v="Plan B"/>
  </r>
  <r>
    <x v="509"/>
    <n v="73"/>
    <x v="2"/>
    <x v="26"/>
    <x v="1"/>
    <x v="322"/>
    <x v="2"/>
    <x v="0"/>
    <n v="4"/>
    <s v="Dr. Rao"/>
    <n v="32632"/>
    <s v="MedE"/>
    <s v="Yes"/>
    <x v="1"/>
    <d v="2023-11-12T00:00:00"/>
    <d v="2023-12-12T03:00:00"/>
    <x v="2"/>
    <s v="Accepted"/>
    <s v="Morning"/>
    <n v="5"/>
    <n v="12"/>
    <s v="Plan B"/>
  </r>
  <r>
    <x v="510"/>
    <n v="24"/>
    <x v="3"/>
    <x v="326"/>
    <x v="1"/>
    <x v="323"/>
    <x v="0"/>
    <x v="5"/>
    <n v="5"/>
    <s v="Dr. Mehta"/>
    <n v="17856"/>
    <s v="MedD"/>
    <s v="Yes"/>
    <x v="0"/>
    <s v="17-02-24 0:00"/>
    <s v="18-02-24 1:00"/>
    <x v="1"/>
    <s v="Accepted"/>
    <s v="Night"/>
    <n v="5"/>
    <n v="12"/>
    <s v="Plan C"/>
  </r>
  <r>
    <x v="511"/>
    <n v="64"/>
    <x v="3"/>
    <x v="120"/>
    <x v="1"/>
    <x v="324"/>
    <x v="13"/>
    <x v="5"/>
    <n v="5"/>
    <s v="Dr. Sharma"/>
    <n v="10105"/>
    <s v="MedA"/>
    <s v="No"/>
    <x v="1"/>
    <s v="18-06-23 0:00"/>
    <s v="19-06-23 5:00"/>
    <x v="4"/>
    <s v="Accepted"/>
    <s v="Night"/>
    <n v="10"/>
    <n v="8"/>
    <s v="Plan B"/>
  </r>
  <r>
    <x v="512"/>
    <n v="49"/>
    <x v="5"/>
    <x v="152"/>
    <x v="1"/>
    <x v="325"/>
    <x v="13"/>
    <x v="3"/>
    <n v="4"/>
    <s v="Dr. Gupta"/>
    <n v="40690"/>
    <s v="MedD"/>
    <s v="No"/>
    <x v="0"/>
    <s v="18-04-24 0:00"/>
    <s v="18-04-24 5:00"/>
    <x v="2"/>
    <s v="Accepted"/>
    <s v="Morning"/>
    <n v="9"/>
    <n v="12"/>
    <s v="Plan A"/>
  </r>
  <r>
    <x v="513"/>
    <n v="36"/>
    <x v="2"/>
    <x v="231"/>
    <x v="1"/>
    <x v="198"/>
    <x v="2"/>
    <x v="1"/>
    <n v="4"/>
    <s v="Dr. Patel"/>
    <n v="7513"/>
    <s v="MedB"/>
    <s v="Yes"/>
    <x v="0"/>
    <d v="2023-08-05T00:00:00"/>
    <d v="2023-09-05T17:00:00"/>
    <x v="2"/>
    <s v="Accepted"/>
    <s v="Afternoon"/>
    <n v="7"/>
    <n v="10"/>
    <s v="Plan C"/>
  </r>
  <r>
    <x v="514"/>
    <n v="82"/>
    <x v="4"/>
    <x v="15"/>
    <x v="1"/>
    <x v="326"/>
    <x v="12"/>
    <x v="0"/>
    <n v="4"/>
    <s v="Dr. Gupta"/>
    <n v="7801"/>
    <s v="MedE"/>
    <s v="Yes"/>
    <x v="1"/>
    <s v="23-01-23 0:00"/>
    <s v="23-01-23 6:00"/>
    <x v="0"/>
    <s v="Accepted"/>
    <s v="Morning"/>
    <n v="11"/>
    <n v="12"/>
    <s v="Plan C"/>
  </r>
  <r>
    <x v="515"/>
    <n v="24"/>
    <x v="2"/>
    <x v="327"/>
    <x v="1"/>
    <x v="327"/>
    <x v="12"/>
    <x v="0"/>
    <n v="4"/>
    <s v="Dr. Patel"/>
    <n v="37345"/>
    <s v="MedA"/>
    <s v="No"/>
    <x v="1"/>
    <d v="2024-06-02T00:00:00"/>
    <d v="2024-07-02T02:00:00"/>
    <x v="0"/>
    <s v="Rejected"/>
    <s v="Morning"/>
    <n v="10"/>
    <n v="12"/>
    <s v="Plan B"/>
  </r>
  <r>
    <x v="516"/>
    <n v="23"/>
    <x v="2"/>
    <x v="15"/>
    <x v="1"/>
    <x v="328"/>
    <x v="9"/>
    <x v="2"/>
    <n v="4"/>
    <s v="Dr. Rao"/>
    <n v="18895"/>
    <s v="MedB"/>
    <s v="Yes"/>
    <x v="0"/>
    <s v="23-01-23 0:00"/>
    <s v="24-01-23 9:00"/>
    <x v="0"/>
    <s v="Accepted"/>
    <s v="Morning"/>
    <n v="9"/>
    <n v="12"/>
    <s v="Plan B"/>
  </r>
  <r>
    <x v="517"/>
    <n v="62"/>
    <x v="4"/>
    <x v="328"/>
    <x v="1"/>
    <x v="279"/>
    <x v="1"/>
    <x v="3"/>
    <n v="5"/>
    <s v="Dr. Patel"/>
    <n v="44749"/>
    <s v="MedB"/>
    <s v="Yes"/>
    <x v="0"/>
    <s v="26-03-23 0:00"/>
    <s v="28-03-23 0:00"/>
    <x v="3"/>
    <s v="Accepted"/>
    <s v="Afternoon"/>
    <n v="5"/>
    <n v="10"/>
    <s v="Plan B"/>
  </r>
  <r>
    <x v="518"/>
    <n v="37"/>
    <x v="1"/>
    <x v="78"/>
    <x v="1"/>
    <x v="99"/>
    <x v="6"/>
    <x v="3"/>
    <n v="2"/>
    <s v="Dr. Rao"/>
    <n v="13221"/>
    <s v="MedA"/>
    <s v="Yes"/>
    <x v="0"/>
    <s v="14-03-24 0:00"/>
    <s v="14-03-24 18:00"/>
    <x v="2"/>
    <s v="Accepted"/>
    <s v="Afternoon"/>
    <n v="8"/>
    <n v="12"/>
    <s v="Plan C"/>
  </r>
  <r>
    <x v="519"/>
    <n v="12"/>
    <x v="2"/>
    <x v="329"/>
    <x v="1"/>
    <x v="75"/>
    <x v="12"/>
    <x v="0"/>
    <n v="2"/>
    <s v="Dr. Sharma"/>
    <n v="11038"/>
    <s v="MedB"/>
    <s v="No"/>
    <x v="1"/>
    <s v="14-05-23 0:00"/>
    <s v="15-05-23 21:00"/>
    <x v="0"/>
    <s v="Accepted"/>
    <s v="Afternoon"/>
    <n v="11"/>
    <n v="12"/>
    <s v="Plan B"/>
  </r>
  <r>
    <x v="520"/>
    <n v="55"/>
    <x v="2"/>
    <x v="330"/>
    <x v="1"/>
    <x v="292"/>
    <x v="9"/>
    <x v="0"/>
    <n v="1"/>
    <s v="Dr. Patel"/>
    <n v="37031"/>
    <s v="MedA"/>
    <s v="Yes"/>
    <x v="1"/>
    <s v="15-04-24 0:00"/>
    <s v="16-04-24 0:00"/>
    <x v="1"/>
    <s v="Accepted"/>
    <s v="Afternoon"/>
    <n v="6"/>
    <n v="10"/>
    <s v="Plan A"/>
  </r>
  <r>
    <x v="521"/>
    <n v="13"/>
    <x v="1"/>
    <x v="331"/>
    <x v="1"/>
    <x v="164"/>
    <x v="14"/>
    <x v="4"/>
    <n v="2"/>
    <s v="Dr. Gupta"/>
    <n v="20082"/>
    <s v="MedA"/>
    <s v="No"/>
    <x v="0"/>
    <d v="2023-04-07T00:00:00"/>
    <d v="2023-05-07T06:00:00"/>
    <x v="3"/>
    <s v="Rejected"/>
    <s v="Morning"/>
    <n v="9"/>
    <n v="8"/>
    <s v="Plan B"/>
  </r>
  <r>
    <x v="522"/>
    <n v="23"/>
    <x v="2"/>
    <x v="165"/>
    <x v="1"/>
    <x v="329"/>
    <x v="11"/>
    <x v="4"/>
    <n v="2"/>
    <s v="Dr. Rao"/>
    <n v="19648"/>
    <s v="MedC"/>
    <s v="Yes"/>
    <x v="0"/>
    <s v="17-02-23 0:00"/>
    <s v="18-02-23 8:00"/>
    <x v="4"/>
    <s v="Accepted"/>
    <s v="Night"/>
    <n v="8"/>
    <n v="8"/>
    <s v="Plan B"/>
  </r>
  <r>
    <x v="523"/>
    <n v="89"/>
    <x v="2"/>
    <x v="332"/>
    <x v="1"/>
    <x v="201"/>
    <x v="8"/>
    <x v="4"/>
    <n v="5"/>
    <s v="Dr. Gupta"/>
    <n v="5364"/>
    <s v="MedD"/>
    <s v="No"/>
    <x v="1"/>
    <s v="19-09-23 0:00"/>
    <s v="19-09-23 21:00"/>
    <x v="2"/>
    <s v="Accepted"/>
    <s v="Morning"/>
    <n v="10"/>
    <n v="8"/>
    <s v="Plan C"/>
  </r>
  <r>
    <x v="524"/>
    <n v="30"/>
    <x v="2"/>
    <x v="58"/>
    <x v="1"/>
    <x v="61"/>
    <x v="4"/>
    <x v="3"/>
    <n v="4"/>
    <s v="Dr. Mehta"/>
    <n v="39568"/>
    <s v="MedB"/>
    <s v="No"/>
    <x v="0"/>
    <s v="23-01-24 0:00"/>
    <s v="24-01-24 14:00"/>
    <x v="2"/>
    <s v="Accepted"/>
    <s v="Afternoon"/>
    <n v="10"/>
    <n v="12"/>
    <s v="Plan B"/>
  </r>
  <r>
    <x v="525"/>
    <n v="17"/>
    <x v="3"/>
    <x v="333"/>
    <x v="1"/>
    <x v="226"/>
    <x v="6"/>
    <x v="2"/>
    <n v="4"/>
    <s v="Dr. Rao"/>
    <n v="19110"/>
    <s v="MedB"/>
    <s v="Yes"/>
    <x v="1"/>
    <d v="2023-01-12T00:00:00"/>
    <d v="2023-01-12T01:00:00"/>
    <x v="1"/>
    <s v="Accepted"/>
    <s v="Night"/>
    <n v="11"/>
    <n v="8"/>
    <s v="Plan C"/>
  </r>
  <r>
    <x v="526"/>
    <n v="62"/>
    <x v="0"/>
    <x v="68"/>
    <x v="1"/>
    <x v="209"/>
    <x v="8"/>
    <x v="5"/>
    <n v="5"/>
    <s v="Dr. Patel"/>
    <n v="10958"/>
    <s v="MedC"/>
    <s v="Yes"/>
    <x v="0"/>
    <d v="2023-01-08T00:00:00"/>
    <d v="2023-02-08T23:00:00"/>
    <x v="4"/>
    <s v="Accepted"/>
    <s v="Morning"/>
    <n v="5"/>
    <n v="10"/>
    <s v="Plan B"/>
  </r>
  <r>
    <x v="527"/>
    <n v="84"/>
    <x v="1"/>
    <x v="174"/>
    <x v="1"/>
    <x v="295"/>
    <x v="14"/>
    <x v="4"/>
    <n v="2"/>
    <s v="Dr. Rao"/>
    <n v="14096"/>
    <s v="MedC"/>
    <s v="Yes"/>
    <x v="0"/>
    <d v="2024-05-04T00:00:00"/>
    <d v="2024-05-04T06:00:00"/>
    <x v="4"/>
    <s v="Accepted"/>
    <s v="Night"/>
    <n v="6"/>
    <n v="12"/>
    <s v="Plan A"/>
  </r>
  <r>
    <x v="528"/>
    <n v="89"/>
    <x v="2"/>
    <x v="268"/>
    <x v="1"/>
    <x v="142"/>
    <x v="12"/>
    <x v="2"/>
    <n v="5"/>
    <s v="Dr. Gupta"/>
    <n v="12436"/>
    <s v="MedC"/>
    <s v="Yes"/>
    <x v="0"/>
    <s v="28-11-23 0:00"/>
    <s v="29-11-23 23:00"/>
    <x v="3"/>
    <s v="Accepted"/>
    <s v="Afternoon"/>
    <n v="4"/>
    <n v="12"/>
    <s v="Plan A"/>
  </r>
  <r>
    <x v="529"/>
    <n v="86"/>
    <x v="3"/>
    <x v="334"/>
    <x v="1"/>
    <x v="134"/>
    <x v="0"/>
    <x v="1"/>
    <n v="1"/>
    <s v="Dr. Sharma"/>
    <n v="26177"/>
    <s v="MedE"/>
    <s v="No"/>
    <x v="0"/>
    <d v="2023-09-12T00:00:00"/>
    <d v="2023-10-12T06:00:00"/>
    <x v="2"/>
    <s v="Accepted"/>
    <s v="Night"/>
    <n v="4"/>
    <n v="12"/>
    <s v="Plan C"/>
  </r>
  <r>
    <x v="530"/>
    <n v="13"/>
    <x v="1"/>
    <x v="58"/>
    <x v="1"/>
    <x v="330"/>
    <x v="7"/>
    <x v="4"/>
    <n v="4"/>
    <s v="Dr. Rao"/>
    <n v="31754"/>
    <s v="MedE"/>
    <s v="Yes"/>
    <x v="0"/>
    <s v="20-01-24 0:00"/>
    <s v="21-01-24 17:00"/>
    <x v="0"/>
    <s v="Accepted"/>
    <s v="Night"/>
    <n v="10"/>
    <n v="8"/>
    <s v="Plan C"/>
  </r>
  <r>
    <x v="531"/>
    <n v="59"/>
    <x v="5"/>
    <x v="20"/>
    <x v="1"/>
    <x v="145"/>
    <x v="10"/>
    <x v="5"/>
    <n v="3"/>
    <s v="Dr. Patel"/>
    <n v="29544"/>
    <s v="MedE"/>
    <s v="No"/>
    <x v="1"/>
    <d v="2023-10-10T00:00:00"/>
    <d v="2023-11-10T19:00:00"/>
    <x v="1"/>
    <s v="Accepted"/>
    <s v="Afternoon"/>
    <n v="8"/>
    <n v="8"/>
    <s v="Plan B"/>
  </r>
  <r>
    <x v="532"/>
    <n v="19"/>
    <x v="5"/>
    <x v="335"/>
    <x v="1"/>
    <x v="272"/>
    <x v="12"/>
    <x v="1"/>
    <n v="1"/>
    <s v="Dr. Mehta"/>
    <n v="17638"/>
    <s v="MedA"/>
    <s v="Yes"/>
    <x v="1"/>
    <d v="2024-07-03T00:00:00"/>
    <d v="2024-08-03T21:00:00"/>
    <x v="1"/>
    <s v="Accepted"/>
    <s v="Night"/>
    <n v="6"/>
    <n v="8"/>
    <s v="Plan B"/>
  </r>
  <r>
    <x v="533"/>
    <n v="49"/>
    <x v="2"/>
    <x v="336"/>
    <x v="1"/>
    <x v="301"/>
    <x v="6"/>
    <x v="1"/>
    <n v="1"/>
    <s v="Dr. Sharma"/>
    <n v="5179"/>
    <s v="MedB"/>
    <s v="Yes"/>
    <x v="0"/>
    <s v="13-09-23 0:00"/>
    <s v="13-09-23 23:00"/>
    <x v="1"/>
    <s v="Accepted"/>
    <s v="Morning"/>
    <n v="8"/>
    <n v="12"/>
    <s v="Plan A"/>
  </r>
  <r>
    <x v="534"/>
    <n v="12"/>
    <x v="3"/>
    <x v="191"/>
    <x v="1"/>
    <x v="279"/>
    <x v="9"/>
    <x v="5"/>
    <n v="5"/>
    <s v="Dr. Mehta"/>
    <n v="8873"/>
    <s v="MedD"/>
    <s v="Yes"/>
    <x v="0"/>
    <s v="20-03-23 0:00"/>
    <s v="20-03-23 5:00"/>
    <x v="1"/>
    <s v="Accepted"/>
    <s v="Night"/>
    <n v="6"/>
    <n v="10"/>
    <s v="Plan B"/>
  </r>
  <r>
    <x v="535"/>
    <n v="61"/>
    <x v="3"/>
    <x v="244"/>
    <x v="1"/>
    <x v="331"/>
    <x v="3"/>
    <x v="4"/>
    <n v="2"/>
    <s v="Dr. Rao"/>
    <n v="22570"/>
    <s v="MedA"/>
    <s v="Yes"/>
    <x v="0"/>
    <s v="26-04-24 0:00"/>
    <s v="27-04-24 11:00"/>
    <x v="0"/>
    <s v="Accepted"/>
    <s v="Morning"/>
    <n v="6"/>
    <n v="12"/>
    <s v="Plan A"/>
  </r>
  <r>
    <x v="536"/>
    <n v="19"/>
    <x v="1"/>
    <x v="108"/>
    <x v="1"/>
    <x v="215"/>
    <x v="4"/>
    <x v="3"/>
    <n v="4"/>
    <s v="Dr. Gupta"/>
    <n v="22157"/>
    <s v="MedB"/>
    <s v="Yes"/>
    <x v="0"/>
    <s v="19-01-23 0:00"/>
    <s v="20-01-23 2:00"/>
    <x v="0"/>
    <s v="Accepted"/>
    <s v="Night"/>
    <n v="10"/>
    <n v="10"/>
    <s v="Plan C"/>
  </r>
  <r>
    <x v="537"/>
    <n v="76"/>
    <x v="1"/>
    <x v="337"/>
    <x v="1"/>
    <x v="64"/>
    <x v="6"/>
    <x v="5"/>
    <n v="3"/>
    <s v="Dr. Gupta"/>
    <n v="9460"/>
    <s v="MedB"/>
    <s v="No"/>
    <x v="0"/>
    <s v="22-02-23 0:00"/>
    <s v="22-02-23 14:00"/>
    <x v="3"/>
    <s v="Accepted"/>
    <s v="Night"/>
    <n v="8"/>
    <n v="12"/>
    <s v="Plan B"/>
  </r>
  <r>
    <x v="538"/>
    <n v="9"/>
    <x v="3"/>
    <x v="248"/>
    <x v="1"/>
    <x v="23"/>
    <x v="2"/>
    <x v="5"/>
    <n v="1"/>
    <s v="Dr. Patel"/>
    <n v="5352"/>
    <s v="MedC"/>
    <s v="Yes"/>
    <x v="1"/>
    <s v="22-12-23 0:00"/>
    <s v="23-12-23 4:00"/>
    <x v="2"/>
    <s v="Accepted"/>
    <s v="Afternoon"/>
    <n v="10"/>
    <n v="10"/>
    <s v="Plan C"/>
  </r>
  <r>
    <x v="539"/>
    <n v="71"/>
    <x v="1"/>
    <x v="338"/>
    <x v="1"/>
    <x v="332"/>
    <x v="14"/>
    <x v="5"/>
    <n v="3"/>
    <s v="Dr. Gupta"/>
    <n v="26586"/>
    <s v="MedC"/>
    <s v="Yes"/>
    <x v="0"/>
    <s v="16-08-23 0:00"/>
    <s v="16-08-23 14:00"/>
    <x v="0"/>
    <s v="Accepted"/>
    <s v="Afternoon"/>
    <n v="11"/>
    <n v="12"/>
    <s v="Plan B"/>
  </r>
  <r>
    <x v="540"/>
    <n v="28"/>
    <x v="3"/>
    <x v="116"/>
    <x v="1"/>
    <x v="333"/>
    <x v="8"/>
    <x v="1"/>
    <n v="2"/>
    <s v="Dr. Sharma"/>
    <n v="10344"/>
    <s v="MedA"/>
    <s v="No"/>
    <x v="0"/>
    <d v="2023-11-03T00:00:00"/>
    <d v="2023-12-03T08:00:00"/>
    <x v="3"/>
    <s v="Rejected"/>
    <s v="Morning"/>
    <n v="6"/>
    <n v="12"/>
    <s v="Plan A"/>
  </r>
  <r>
    <x v="541"/>
    <n v="78"/>
    <x v="0"/>
    <x v="339"/>
    <x v="1"/>
    <x v="334"/>
    <x v="13"/>
    <x v="2"/>
    <n v="2"/>
    <s v="Dr. Gupta"/>
    <n v="9507"/>
    <s v="MedC"/>
    <s v="No"/>
    <x v="0"/>
    <d v="2023-11-02T00:00:00"/>
    <d v="2023-11-02T18:00:00"/>
    <x v="4"/>
    <s v="Accepted"/>
    <s v="Afternoon"/>
    <n v="9"/>
    <n v="10"/>
    <s v="Plan C"/>
  </r>
  <r>
    <x v="542"/>
    <n v="52"/>
    <x v="3"/>
    <x v="340"/>
    <x v="1"/>
    <x v="326"/>
    <x v="10"/>
    <x v="3"/>
    <n v="3"/>
    <s v="Dr. Patel"/>
    <n v="42598"/>
    <s v="MedB"/>
    <s v="Yes"/>
    <x v="0"/>
    <s v="30-01-23 0:00"/>
    <s v="30-01-23 21:00"/>
    <x v="2"/>
    <s v="Accepted"/>
    <s v="Afternoon"/>
    <n v="5"/>
    <n v="10"/>
    <s v="Plan C"/>
  </r>
  <r>
    <x v="543"/>
    <n v="83"/>
    <x v="5"/>
    <x v="129"/>
    <x v="1"/>
    <x v="76"/>
    <x v="11"/>
    <x v="4"/>
    <n v="4"/>
    <s v="Dr. Rao"/>
    <n v="48988"/>
    <s v="MedC"/>
    <s v="Yes"/>
    <x v="1"/>
    <d v="2023-08-09T00:00:00"/>
    <d v="2023-08-09T19:00:00"/>
    <x v="0"/>
    <s v="Accepted"/>
    <s v="Afternoon"/>
    <n v="11"/>
    <n v="10"/>
    <s v="Plan B"/>
  </r>
  <r>
    <x v="544"/>
    <n v="16"/>
    <x v="1"/>
    <x v="246"/>
    <x v="1"/>
    <x v="267"/>
    <x v="2"/>
    <x v="4"/>
    <n v="2"/>
    <s v="Dr. Rao"/>
    <n v="37885"/>
    <s v="MedE"/>
    <s v="Yes"/>
    <x v="0"/>
    <s v="23-07-23 0:00"/>
    <s v="23-07-23 22:00"/>
    <x v="4"/>
    <s v="Accepted"/>
    <s v="Afternoon"/>
    <n v="6"/>
    <n v="10"/>
    <s v="Plan C"/>
  </r>
  <r>
    <x v="545"/>
    <n v="69"/>
    <x v="3"/>
    <x v="321"/>
    <x v="1"/>
    <x v="335"/>
    <x v="9"/>
    <x v="2"/>
    <n v="3"/>
    <s v="Dr. Gupta"/>
    <n v="21865"/>
    <s v="MedC"/>
    <s v="No"/>
    <x v="0"/>
    <s v="18-01-23 0:00"/>
    <s v="19-01-23 12:00"/>
    <x v="3"/>
    <s v="Accepted"/>
    <s v="Afternoon"/>
    <n v="9"/>
    <n v="10"/>
    <s v="Plan A"/>
  </r>
  <r>
    <x v="546"/>
    <n v="12"/>
    <x v="3"/>
    <x v="86"/>
    <x v="1"/>
    <x v="184"/>
    <x v="0"/>
    <x v="5"/>
    <n v="1"/>
    <s v="Dr. Mehta"/>
    <n v="42055"/>
    <s v="MedB"/>
    <s v="No"/>
    <x v="0"/>
    <d v="2023-04-06T00:00:00"/>
    <d v="2023-05-06T13:00:00"/>
    <x v="0"/>
    <s v="Accepted"/>
    <s v="Morning"/>
    <n v="6"/>
    <n v="10"/>
    <s v="Plan C"/>
  </r>
  <r>
    <x v="547"/>
    <n v="25"/>
    <x v="1"/>
    <x v="195"/>
    <x v="1"/>
    <x v="238"/>
    <x v="3"/>
    <x v="3"/>
    <n v="3"/>
    <s v="Dr. Rao"/>
    <n v="32213"/>
    <s v="MedA"/>
    <s v="No"/>
    <x v="1"/>
    <s v="31-08-23 0:00"/>
    <s v="31-08-23 9:00"/>
    <x v="0"/>
    <s v="Accepted"/>
    <s v="Morning"/>
    <n v="9"/>
    <n v="10"/>
    <s v="Plan C"/>
  </r>
  <r>
    <x v="548"/>
    <n v="52"/>
    <x v="0"/>
    <x v="341"/>
    <x v="1"/>
    <x v="94"/>
    <x v="4"/>
    <x v="4"/>
    <n v="3"/>
    <s v="Dr. Gupta"/>
    <n v="9477"/>
    <s v="MedD"/>
    <s v="No"/>
    <x v="1"/>
    <d v="2023-08-05T00:00:00"/>
    <d v="2023-09-05T13:00:00"/>
    <x v="4"/>
    <s v="Rejected"/>
    <s v="Afternoon"/>
    <n v="8"/>
    <n v="10"/>
    <s v="Plan B"/>
  </r>
  <r>
    <x v="549"/>
    <n v="85"/>
    <x v="0"/>
    <x v="144"/>
    <x v="1"/>
    <x v="244"/>
    <x v="7"/>
    <x v="0"/>
    <n v="5"/>
    <s v="Dr. Patel"/>
    <n v="11533"/>
    <s v="MedC"/>
    <s v="Yes"/>
    <x v="1"/>
    <s v="25-04-24 0:00"/>
    <s v="26-04-24 8:00"/>
    <x v="0"/>
    <s v="Accepted"/>
    <s v="Afternoon"/>
    <n v="4"/>
    <n v="12"/>
    <s v="Plan C"/>
  </r>
  <r>
    <x v="550"/>
    <n v="53"/>
    <x v="1"/>
    <x v="93"/>
    <x v="1"/>
    <x v="336"/>
    <x v="11"/>
    <x v="4"/>
    <n v="2"/>
    <s v="Dr. Gupta"/>
    <n v="28396"/>
    <s v="MedB"/>
    <s v="No"/>
    <x v="1"/>
    <s v="23-04-23 0:00"/>
    <s v="23-04-23 22:00"/>
    <x v="1"/>
    <s v="Accepted"/>
    <s v="Morning"/>
    <n v="7"/>
    <n v="10"/>
    <s v="Plan B"/>
  </r>
  <r>
    <x v="551"/>
    <n v="23"/>
    <x v="4"/>
    <x v="12"/>
    <x v="1"/>
    <x v="209"/>
    <x v="6"/>
    <x v="5"/>
    <n v="4"/>
    <s v="Dr. Rao"/>
    <n v="17755"/>
    <s v="MedD"/>
    <s v="Yes"/>
    <x v="0"/>
    <d v="2023-08-08T00:00:00"/>
    <d v="2023-09-08T20:00:00"/>
    <x v="0"/>
    <s v="Accepted"/>
    <s v="Night"/>
    <n v="11"/>
    <n v="10"/>
    <s v="Plan B"/>
  </r>
  <r>
    <x v="552"/>
    <n v="16"/>
    <x v="1"/>
    <x v="277"/>
    <x v="1"/>
    <x v="331"/>
    <x v="6"/>
    <x v="0"/>
    <n v="4"/>
    <s v="Dr. Patel"/>
    <n v="5865"/>
    <s v="MedD"/>
    <s v="Yes"/>
    <x v="0"/>
    <s v="21-04-24 0:00"/>
    <s v="21-04-24 4:00"/>
    <x v="2"/>
    <s v="Accepted"/>
    <s v="Morning"/>
    <n v="6"/>
    <n v="12"/>
    <s v="Plan C"/>
  </r>
  <r>
    <x v="553"/>
    <n v="57"/>
    <x v="1"/>
    <x v="342"/>
    <x v="1"/>
    <x v="33"/>
    <x v="9"/>
    <x v="2"/>
    <n v="5"/>
    <s v="Dr. Gupta"/>
    <n v="16173"/>
    <s v="MedE"/>
    <s v="Yes"/>
    <x v="0"/>
    <s v="18-09-23 0:00"/>
    <s v="18-09-23 3:00"/>
    <x v="4"/>
    <s v="Accepted"/>
    <s v="Night"/>
    <n v="7"/>
    <n v="12"/>
    <s v="Plan A"/>
  </r>
  <r>
    <x v="554"/>
    <n v="39"/>
    <x v="0"/>
    <x v="343"/>
    <x v="1"/>
    <x v="337"/>
    <x v="9"/>
    <x v="3"/>
    <n v="4"/>
    <s v="Dr. Sharma"/>
    <n v="43097"/>
    <s v="MedD"/>
    <s v="No"/>
    <x v="0"/>
    <d v="2024-08-01T00:00:00"/>
    <d v="2024-08-01T07:00:00"/>
    <x v="2"/>
    <s v="Accepted"/>
    <s v="Afternoon"/>
    <n v="6"/>
    <n v="8"/>
    <s v="Plan B"/>
  </r>
  <r>
    <x v="555"/>
    <n v="53"/>
    <x v="0"/>
    <x v="344"/>
    <x v="1"/>
    <x v="338"/>
    <x v="12"/>
    <x v="2"/>
    <n v="3"/>
    <s v="Dr. Patel"/>
    <n v="38371"/>
    <s v="MedB"/>
    <s v="No"/>
    <x v="0"/>
    <s v="19-06-23 0:00"/>
    <s v="20-06-23 17:00"/>
    <x v="3"/>
    <s v="Accepted"/>
    <s v="Afternoon"/>
    <n v="8"/>
    <n v="8"/>
    <s v="Plan C"/>
  </r>
  <r>
    <x v="556"/>
    <n v="42"/>
    <x v="1"/>
    <x v="93"/>
    <x v="1"/>
    <x v="227"/>
    <x v="3"/>
    <x v="2"/>
    <n v="5"/>
    <s v="Dr. Sharma"/>
    <n v="43524"/>
    <s v="MedB"/>
    <s v="Yes"/>
    <x v="1"/>
    <s v="23-04-23 0:00"/>
    <s v="24-04-23 6:00"/>
    <x v="2"/>
    <s v="Accepted"/>
    <s v="Morning"/>
    <n v="8"/>
    <n v="10"/>
    <s v="Plan B"/>
  </r>
  <r>
    <x v="557"/>
    <n v="58"/>
    <x v="1"/>
    <x v="56"/>
    <x v="1"/>
    <x v="21"/>
    <x v="10"/>
    <x v="3"/>
    <n v="1"/>
    <s v="Dr. Mehta"/>
    <n v="16254"/>
    <s v="MedC"/>
    <s v="No"/>
    <x v="0"/>
    <s v="16-06-23 0:00"/>
    <s v="16-06-23 2:00"/>
    <x v="1"/>
    <s v="Accepted"/>
    <s v="Afternoon"/>
    <n v="9"/>
    <n v="10"/>
    <s v="Plan A"/>
  </r>
  <r>
    <x v="558"/>
    <n v="39"/>
    <x v="1"/>
    <x v="345"/>
    <x v="1"/>
    <x v="113"/>
    <x v="10"/>
    <x v="3"/>
    <n v="2"/>
    <s v="Dr. Patel"/>
    <n v="9018"/>
    <s v="MedC"/>
    <s v="No"/>
    <x v="0"/>
    <s v="15-11-23 0:00"/>
    <s v="15-11-23 8:00"/>
    <x v="1"/>
    <s v="Rejected"/>
    <s v="Night"/>
    <n v="6"/>
    <n v="8"/>
    <s v="Plan A"/>
  </r>
  <r>
    <x v="559"/>
    <n v="14"/>
    <x v="0"/>
    <x v="241"/>
    <x v="1"/>
    <x v="0"/>
    <x v="8"/>
    <x v="4"/>
    <n v="2"/>
    <s v="Dr. Sharma"/>
    <n v="10192"/>
    <s v="MedC"/>
    <s v="Yes"/>
    <x v="1"/>
    <s v="16-04-23 0:00"/>
    <s v="16-04-23 11:00"/>
    <x v="2"/>
    <s v="Accepted"/>
    <s v="Night"/>
    <n v="8"/>
    <n v="8"/>
    <s v="Plan B"/>
  </r>
  <r>
    <x v="560"/>
    <n v="5"/>
    <x v="1"/>
    <x v="346"/>
    <x v="1"/>
    <x v="339"/>
    <x v="5"/>
    <x v="4"/>
    <n v="2"/>
    <s v="Dr. Rao"/>
    <n v="7015"/>
    <s v="MedD"/>
    <s v="Yes"/>
    <x v="1"/>
    <s v="27-01-23 0:00"/>
    <s v="28-01-23 5:00"/>
    <x v="3"/>
    <s v="Accepted"/>
    <s v="Morning"/>
    <n v="8"/>
    <n v="10"/>
    <s v="Plan A"/>
  </r>
  <r>
    <x v="561"/>
    <n v="35"/>
    <x v="1"/>
    <x v="124"/>
    <x v="1"/>
    <x v="340"/>
    <x v="1"/>
    <x v="3"/>
    <n v="3"/>
    <s v="Dr. Rao"/>
    <n v="47618"/>
    <s v="MedD"/>
    <s v="No"/>
    <x v="0"/>
    <s v="13-11-23 0:00"/>
    <s v="14-11-23 6:00"/>
    <x v="0"/>
    <s v="Accepted"/>
    <s v="Night"/>
    <n v="6"/>
    <n v="8"/>
    <s v="Plan C"/>
  </r>
  <r>
    <x v="562"/>
    <n v="87"/>
    <x v="2"/>
    <x v="347"/>
    <x v="1"/>
    <x v="90"/>
    <x v="1"/>
    <x v="0"/>
    <n v="1"/>
    <s v="Dr. Mehta"/>
    <n v="8380"/>
    <s v="MedE"/>
    <s v="Yes"/>
    <x v="0"/>
    <s v="18-01-24 0:00"/>
    <s v="18-01-24 1:00"/>
    <x v="1"/>
    <s v="Accepted"/>
    <s v="Morning"/>
    <n v="9"/>
    <n v="10"/>
    <s v="Plan C"/>
  </r>
  <r>
    <x v="563"/>
    <n v="75"/>
    <x v="4"/>
    <x v="348"/>
    <x v="1"/>
    <x v="341"/>
    <x v="14"/>
    <x v="1"/>
    <n v="5"/>
    <s v="Dr. Patel"/>
    <n v="33343"/>
    <s v="MedC"/>
    <s v="Yes"/>
    <x v="0"/>
    <d v="2024-10-02T00:00:00"/>
    <d v="2024-11-02T04:00:00"/>
    <x v="2"/>
    <s v="Accepted"/>
    <s v="Morning"/>
    <n v="9"/>
    <n v="12"/>
    <s v="Plan B"/>
  </r>
  <r>
    <x v="564"/>
    <n v="18"/>
    <x v="5"/>
    <x v="16"/>
    <x v="1"/>
    <x v="15"/>
    <x v="10"/>
    <x v="4"/>
    <n v="5"/>
    <s v="Dr. Patel"/>
    <n v="8770"/>
    <s v="MedA"/>
    <s v="No"/>
    <x v="1"/>
    <s v="20-07-23 0:00"/>
    <s v="20-07-23 13:00"/>
    <x v="2"/>
    <s v="Accepted"/>
    <s v="Night"/>
    <n v="9"/>
    <n v="12"/>
    <s v="Plan A"/>
  </r>
  <r>
    <x v="565"/>
    <n v="76"/>
    <x v="4"/>
    <x v="163"/>
    <x v="1"/>
    <x v="38"/>
    <x v="0"/>
    <x v="1"/>
    <n v="2"/>
    <s v="Dr. Patel"/>
    <n v="10829"/>
    <s v="MedE"/>
    <s v="No"/>
    <x v="0"/>
    <s v="14-03-23 0:00"/>
    <s v="15-03-23 21:00"/>
    <x v="2"/>
    <s v="Accepted"/>
    <s v="Night"/>
    <n v="9"/>
    <n v="8"/>
    <s v="Plan C"/>
  </r>
  <r>
    <x v="566"/>
    <n v="9"/>
    <x v="2"/>
    <x v="145"/>
    <x v="1"/>
    <x v="92"/>
    <x v="12"/>
    <x v="0"/>
    <n v="1"/>
    <s v="Dr. Mehta"/>
    <n v="39381"/>
    <s v="MedA"/>
    <s v="No"/>
    <x v="0"/>
    <d v="2023-02-09T00:00:00"/>
    <d v="2023-02-09T09:00:00"/>
    <x v="0"/>
    <s v="Accepted"/>
    <s v="Night"/>
    <n v="4"/>
    <n v="12"/>
    <s v="Plan C"/>
  </r>
  <r>
    <x v="567"/>
    <n v="74"/>
    <x v="5"/>
    <x v="6"/>
    <x v="1"/>
    <x v="169"/>
    <x v="4"/>
    <x v="3"/>
    <n v="1"/>
    <s v="Dr. Patel"/>
    <n v="20545"/>
    <s v="MedD"/>
    <s v="No"/>
    <x v="1"/>
    <d v="2023-10-04T00:00:00"/>
    <d v="2023-11-04T18:00:00"/>
    <x v="4"/>
    <s v="Accepted"/>
    <s v="Night"/>
    <n v="6"/>
    <n v="12"/>
    <s v="Plan C"/>
  </r>
  <r>
    <x v="568"/>
    <n v="58"/>
    <x v="1"/>
    <x v="272"/>
    <x v="1"/>
    <x v="342"/>
    <x v="14"/>
    <x v="0"/>
    <n v="1"/>
    <s v="Dr. Rao"/>
    <n v="23263"/>
    <s v="MedE"/>
    <s v="Yes"/>
    <x v="0"/>
    <d v="2023-03-11T00:00:00"/>
    <d v="2023-03-11T20:00:00"/>
    <x v="3"/>
    <s v="Accepted"/>
    <s v="Night"/>
    <n v="10"/>
    <n v="12"/>
    <s v="Plan B"/>
  </r>
  <r>
    <x v="569"/>
    <n v="17"/>
    <x v="2"/>
    <x v="128"/>
    <x v="1"/>
    <x v="343"/>
    <x v="0"/>
    <x v="4"/>
    <n v="4"/>
    <s v="Dr. Sharma"/>
    <n v="43140"/>
    <s v="MedE"/>
    <s v="Yes"/>
    <x v="1"/>
    <s v="29-04-23 0:00"/>
    <s v="29-04-23 11:00"/>
    <x v="4"/>
    <s v="Rejected"/>
    <s v="Night"/>
    <n v="4"/>
    <n v="12"/>
    <s v="Plan B"/>
  </r>
  <r>
    <x v="570"/>
    <n v="7"/>
    <x v="1"/>
    <x v="232"/>
    <x v="1"/>
    <x v="344"/>
    <x v="0"/>
    <x v="2"/>
    <n v="4"/>
    <s v="Dr. Rao"/>
    <n v="48306"/>
    <s v="MedB"/>
    <s v="Yes"/>
    <x v="0"/>
    <d v="2023-12-02T00:00:00"/>
    <d v="2023-12-02T18:00:00"/>
    <x v="3"/>
    <s v="Accepted"/>
    <s v="Night"/>
    <n v="8"/>
    <n v="10"/>
    <s v="Plan C"/>
  </r>
  <r>
    <x v="571"/>
    <n v="46"/>
    <x v="0"/>
    <x v="349"/>
    <x v="1"/>
    <x v="253"/>
    <x v="10"/>
    <x v="3"/>
    <n v="2"/>
    <s v="Dr. Rao"/>
    <n v="30675"/>
    <s v="MedD"/>
    <s v="Yes"/>
    <x v="1"/>
    <s v="17-12-23 0:00"/>
    <s v="17-12-23 6:00"/>
    <x v="3"/>
    <s v="Accepted"/>
    <s v="Afternoon"/>
    <n v="4"/>
    <n v="10"/>
    <s v="Plan C"/>
  </r>
  <r>
    <x v="572"/>
    <n v="13"/>
    <x v="3"/>
    <x v="78"/>
    <x v="1"/>
    <x v="16"/>
    <x v="2"/>
    <x v="5"/>
    <n v="1"/>
    <s v="Dr. Sharma"/>
    <n v="30362"/>
    <s v="MedD"/>
    <s v="No"/>
    <x v="1"/>
    <d v="2024-12-03T00:00:00"/>
    <s v="13-03-24 18:00"/>
    <x v="2"/>
    <s v="Accepted"/>
    <s v="Morning"/>
    <n v="11"/>
    <n v="8"/>
    <s v="Plan A"/>
  </r>
  <r>
    <x v="573"/>
    <n v="40"/>
    <x v="2"/>
    <x v="50"/>
    <x v="1"/>
    <x v="260"/>
    <x v="10"/>
    <x v="1"/>
    <n v="1"/>
    <s v="Dr. Rao"/>
    <n v="5148"/>
    <s v="MedE"/>
    <s v="Yes"/>
    <x v="1"/>
    <s v="13-01-24 0:00"/>
    <s v="14-01-24 0:00"/>
    <x v="1"/>
    <s v="Accepted"/>
    <s v="Morning"/>
    <n v="10"/>
    <n v="12"/>
    <s v="Plan A"/>
  </r>
  <r>
    <x v="574"/>
    <n v="42"/>
    <x v="0"/>
    <x v="116"/>
    <x v="1"/>
    <x v="189"/>
    <x v="2"/>
    <x v="0"/>
    <n v="5"/>
    <s v="Dr. Mehta"/>
    <n v="6754"/>
    <s v="MedD"/>
    <s v="Yes"/>
    <x v="1"/>
    <d v="2023-08-03T00:00:00"/>
    <d v="2023-08-03T17:00:00"/>
    <x v="2"/>
    <s v="Accepted"/>
    <s v="Night"/>
    <n v="10"/>
    <n v="12"/>
    <s v="Plan A"/>
  </r>
  <r>
    <x v="575"/>
    <n v="9"/>
    <x v="2"/>
    <x v="203"/>
    <x v="1"/>
    <x v="345"/>
    <x v="9"/>
    <x v="3"/>
    <n v="5"/>
    <s v="Dr. Sharma"/>
    <n v="31745"/>
    <s v="MedE"/>
    <s v="Yes"/>
    <x v="0"/>
    <d v="2024-01-06T00:00:00"/>
    <d v="2024-01-06T06:00:00"/>
    <x v="0"/>
    <s v="Rejected"/>
    <s v="Morning"/>
    <n v="10"/>
    <n v="12"/>
    <s v="Plan B"/>
  </r>
  <r>
    <x v="576"/>
    <n v="50"/>
    <x v="2"/>
    <x v="350"/>
    <x v="1"/>
    <x v="23"/>
    <x v="0"/>
    <x v="0"/>
    <n v="2"/>
    <s v="Dr. Rao"/>
    <n v="12378"/>
    <s v="MedB"/>
    <s v="No"/>
    <x v="1"/>
    <s v="15-12-23 0:00"/>
    <s v="16-12-23 0:00"/>
    <x v="3"/>
    <s v="Accepted"/>
    <s v="Night"/>
    <n v="9"/>
    <n v="8"/>
    <s v="Plan C"/>
  </r>
  <r>
    <x v="577"/>
    <n v="27"/>
    <x v="0"/>
    <x v="351"/>
    <x v="1"/>
    <x v="346"/>
    <x v="1"/>
    <x v="3"/>
    <n v="1"/>
    <s v="Dr. Gupta"/>
    <n v="25140"/>
    <s v="MedE"/>
    <s v="Yes"/>
    <x v="0"/>
    <d v="2023-12-01T00:00:00"/>
    <s v="13-01-23 19:00"/>
    <x v="1"/>
    <s v="Accepted"/>
    <s v="Afternoon"/>
    <n v="8"/>
    <n v="10"/>
    <s v="Plan B"/>
  </r>
  <r>
    <x v="578"/>
    <n v="66"/>
    <x v="5"/>
    <x v="270"/>
    <x v="1"/>
    <x v="347"/>
    <x v="5"/>
    <x v="4"/>
    <n v="2"/>
    <s v="Dr. Rao"/>
    <n v="14371"/>
    <s v="MedD"/>
    <s v="Yes"/>
    <x v="1"/>
    <d v="2024-03-03T00:00:00"/>
    <d v="2024-04-03T18:00:00"/>
    <x v="3"/>
    <s v="Accepted"/>
    <s v="Morning"/>
    <n v="4"/>
    <n v="12"/>
    <s v="Plan C"/>
  </r>
  <r>
    <x v="579"/>
    <n v="5"/>
    <x v="4"/>
    <x v="352"/>
    <x v="1"/>
    <x v="174"/>
    <x v="5"/>
    <x v="4"/>
    <n v="5"/>
    <s v="Dr. Mehta"/>
    <n v="31999"/>
    <s v="MedD"/>
    <s v="Yes"/>
    <x v="0"/>
    <s v="15-05-24 0:00"/>
    <s v="15-05-24 11:00"/>
    <x v="3"/>
    <s v="Accepted"/>
    <s v="Morning"/>
    <n v="4"/>
    <n v="10"/>
    <s v="Plan A"/>
  </r>
  <r>
    <x v="580"/>
    <n v="29"/>
    <x v="1"/>
    <x v="101"/>
    <x v="1"/>
    <x v="227"/>
    <x v="11"/>
    <x v="4"/>
    <n v="5"/>
    <s v="Dr. Patel"/>
    <n v="17779"/>
    <s v="MedE"/>
    <s v="No"/>
    <x v="0"/>
    <s v="16-04-23 0:00"/>
    <s v="16-04-23 4:00"/>
    <x v="2"/>
    <s v="Accepted"/>
    <s v="Afternoon"/>
    <n v="11"/>
    <n v="8"/>
    <s v="Plan A"/>
  </r>
  <r>
    <x v="581"/>
    <n v="37"/>
    <x v="2"/>
    <x v="353"/>
    <x v="1"/>
    <x v="348"/>
    <x v="13"/>
    <x v="0"/>
    <n v="4"/>
    <s v="Dr. Rao"/>
    <n v="36075"/>
    <s v="MedE"/>
    <s v="Yes"/>
    <x v="1"/>
    <s v="14-03-24 0:00"/>
    <s v="15-03-24 2:00"/>
    <x v="1"/>
    <s v="Accepted"/>
    <s v="Afternoon"/>
    <n v="6"/>
    <n v="10"/>
    <s v="Plan A"/>
  </r>
  <r>
    <x v="582"/>
    <n v="38"/>
    <x v="1"/>
    <x v="39"/>
    <x v="1"/>
    <x v="349"/>
    <x v="0"/>
    <x v="5"/>
    <n v="2"/>
    <s v="Dr. Patel"/>
    <n v="35697"/>
    <s v="MedE"/>
    <s v="Yes"/>
    <x v="0"/>
    <d v="2024-02-01T00:00:00"/>
    <d v="2024-03-01T17:00:00"/>
    <x v="1"/>
    <s v="Accepted"/>
    <s v="Afternoon"/>
    <n v="4"/>
    <n v="12"/>
    <s v="Plan A"/>
  </r>
  <r>
    <x v="583"/>
    <n v="83"/>
    <x v="3"/>
    <x v="34"/>
    <x v="1"/>
    <x v="350"/>
    <x v="8"/>
    <x v="4"/>
    <n v="2"/>
    <s v="Dr. Gupta"/>
    <n v="14795"/>
    <s v="MedC"/>
    <s v="Yes"/>
    <x v="1"/>
    <s v="13-04-24 0:00"/>
    <s v="13-04-24 20:00"/>
    <x v="3"/>
    <s v="Accepted"/>
    <s v="Morning"/>
    <n v="11"/>
    <n v="10"/>
    <s v="Plan C"/>
  </r>
  <r>
    <x v="584"/>
    <n v="8"/>
    <x v="0"/>
    <x v="86"/>
    <x v="1"/>
    <x v="87"/>
    <x v="12"/>
    <x v="3"/>
    <n v="1"/>
    <s v="Dr. Rao"/>
    <n v="43460"/>
    <s v="MedD"/>
    <s v="No"/>
    <x v="0"/>
    <d v="2023-03-06T00:00:00"/>
    <d v="2023-04-06T23:00:00"/>
    <x v="1"/>
    <s v="Accepted"/>
    <s v="Morning"/>
    <n v="8"/>
    <n v="10"/>
    <s v="Plan A"/>
  </r>
  <r>
    <x v="585"/>
    <n v="65"/>
    <x v="1"/>
    <x v="95"/>
    <x v="1"/>
    <x v="213"/>
    <x v="13"/>
    <x v="4"/>
    <n v="1"/>
    <s v="Dr. Sharma"/>
    <n v="9218"/>
    <s v="MedD"/>
    <s v="Yes"/>
    <x v="0"/>
    <s v="16-03-24 0:00"/>
    <s v="17-03-24 21:00"/>
    <x v="1"/>
    <s v="Accepted"/>
    <s v="Afternoon"/>
    <n v="9"/>
    <n v="8"/>
    <s v="Plan C"/>
  </r>
  <r>
    <x v="586"/>
    <n v="86"/>
    <x v="0"/>
    <x v="294"/>
    <x v="1"/>
    <x v="324"/>
    <x v="3"/>
    <x v="2"/>
    <n v="4"/>
    <s v="Dr. Patel"/>
    <n v="42571"/>
    <s v="MedC"/>
    <s v="Yes"/>
    <x v="0"/>
    <s v="26-06-23 0:00"/>
    <s v="26-06-23 15:00"/>
    <x v="2"/>
    <s v="Accepted"/>
    <s v="Afternoon"/>
    <n v="6"/>
    <n v="8"/>
    <s v="Plan C"/>
  </r>
  <r>
    <x v="587"/>
    <n v="17"/>
    <x v="1"/>
    <x v="354"/>
    <x v="1"/>
    <x v="351"/>
    <x v="10"/>
    <x v="4"/>
    <n v="3"/>
    <s v="Dr. Gupta"/>
    <n v="16672"/>
    <s v="MedE"/>
    <s v="Yes"/>
    <x v="0"/>
    <s v="15-06-24 0:00"/>
    <s v="16-06-24 4:00"/>
    <x v="4"/>
    <s v="Accepted"/>
    <s v="Afternoon"/>
    <n v="11"/>
    <n v="8"/>
    <s v="Plan B"/>
  </r>
  <r>
    <x v="588"/>
    <n v="71"/>
    <x v="4"/>
    <x v="59"/>
    <x v="1"/>
    <x v="300"/>
    <x v="2"/>
    <x v="0"/>
    <n v="3"/>
    <s v="Dr. Sharma"/>
    <n v="36042"/>
    <s v="MedB"/>
    <s v="Yes"/>
    <x v="0"/>
    <s v="30-09-23 0:00"/>
    <d v="2023-01-10T18:00:00"/>
    <x v="0"/>
    <s v="Accepted"/>
    <s v="Afternoon"/>
    <n v="4"/>
    <n v="8"/>
    <s v="Plan A"/>
  </r>
  <r>
    <x v="589"/>
    <n v="89"/>
    <x v="4"/>
    <x v="355"/>
    <x v="1"/>
    <x v="146"/>
    <x v="12"/>
    <x v="5"/>
    <n v="3"/>
    <s v="Dr. Sharma"/>
    <n v="40950"/>
    <s v="MedE"/>
    <s v="No"/>
    <x v="1"/>
    <d v="2024-05-05T00:00:00"/>
    <d v="2024-05-05T06:00:00"/>
    <x v="4"/>
    <s v="Accepted"/>
    <s v="Afternoon"/>
    <n v="6"/>
    <n v="10"/>
    <s v="Plan A"/>
  </r>
  <r>
    <x v="590"/>
    <n v="45"/>
    <x v="4"/>
    <x v="277"/>
    <x v="1"/>
    <x v="352"/>
    <x v="0"/>
    <x v="2"/>
    <n v="2"/>
    <s v="Dr. Sharma"/>
    <n v="16009"/>
    <s v="MedE"/>
    <s v="Yes"/>
    <x v="1"/>
    <s v="20-04-24 0:00"/>
    <s v="21-04-24 22:00"/>
    <x v="1"/>
    <s v="Rejected"/>
    <s v="Night"/>
    <n v="7"/>
    <n v="10"/>
    <s v="Plan B"/>
  </r>
  <r>
    <x v="591"/>
    <n v="4"/>
    <x v="4"/>
    <x v="259"/>
    <x v="1"/>
    <x v="353"/>
    <x v="3"/>
    <x v="0"/>
    <n v="2"/>
    <s v="Dr. Sharma"/>
    <n v="24544"/>
    <s v="MedC"/>
    <s v="No"/>
    <x v="0"/>
    <s v="21-03-24 0:00"/>
    <s v="21-03-24 7:00"/>
    <x v="3"/>
    <s v="Accepted"/>
    <s v="Afternoon"/>
    <n v="6"/>
    <n v="8"/>
    <s v="Plan C"/>
  </r>
  <r>
    <x v="592"/>
    <n v="36"/>
    <x v="4"/>
    <x v="66"/>
    <x v="1"/>
    <x v="354"/>
    <x v="8"/>
    <x v="0"/>
    <n v="5"/>
    <s v="Dr. Rao"/>
    <n v="34381"/>
    <s v="MedD"/>
    <s v="No"/>
    <x v="0"/>
    <s v="27-09-23 0:00"/>
    <s v="27-09-23 1:00"/>
    <x v="0"/>
    <s v="Accepted"/>
    <s v="Night"/>
    <n v="10"/>
    <n v="8"/>
    <s v="Plan A"/>
  </r>
  <r>
    <x v="593"/>
    <n v="70"/>
    <x v="4"/>
    <x v="356"/>
    <x v="1"/>
    <x v="355"/>
    <x v="10"/>
    <x v="0"/>
    <n v="2"/>
    <s v="Dr. Rao"/>
    <n v="30287"/>
    <s v="MedE"/>
    <s v="Yes"/>
    <x v="0"/>
    <s v="23-11-23 0:00"/>
    <s v="23-11-23 14:00"/>
    <x v="0"/>
    <s v="Accepted"/>
    <s v="Morning"/>
    <n v="9"/>
    <n v="12"/>
    <s v="Plan C"/>
  </r>
  <r>
    <x v="594"/>
    <n v="31"/>
    <x v="0"/>
    <x v="357"/>
    <x v="1"/>
    <x v="356"/>
    <x v="5"/>
    <x v="3"/>
    <n v="2"/>
    <s v="Dr. Rao"/>
    <n v="7586"/>
    <s v="MedD"/>
    <s v="No"/>
    <x v="0"/>
    <d v="2023-09-09T00:00:00"/>
    <d v="2023-10-09T07:00:00"/>
    <x v="3"/>
    <s v="Accepted"/>
    <s v="Morning"/>
    <n v="10"/>
    <n v="12"/>
    <s v="Plan B"/>
  </r>
  <r>
    <x v="595"/>
    <n v="19"/>
    <x v="2"/>
    <x v="358"/>
    <x v="1"/>
    <x v="357"/>
    <x v="0"/>
    <x v="0"/>
    <n v="2"/>
    <s v="Dr. Gupta"/>
    <n v="7648"/>
    <s v="MedA"/>
    <s v="No"/>
    <x v="0"/>
    <s v="26-03-23 0:00"/>
    <s v="26-03-23 5:00"/>
    <x v="0"/>
    <s v="Accepted"/>
    <s v="Night"/>
    <n v="7"/>
    <n v="8"/>
    <s v="Plan C"/>
  </r>
  <r>
    <x v="596"/>
    <n v="61"/>
    <x v="1"/>
    <x v="141"/>
    <x v="1"/>
    <x v="358"/>
    <x v="11"/>
    <x v="3"/>
    <n v="4"/>
    <s v="Dr. Gupta"/>
    <n v="45081"/>
    <s v="MedD"/>
    <s v="No"/>
    <x v="0"/>
    <d v="2023-10-10T00:00:00"/>
    <d v="2023-10-10T09:00:00"/>
    <x v="3"/>
    <s v="Accepted"/>
    <s v="Afternoon"/>
    <n v="10"/>
    <n v="10"/>
    <s v="Plan A"/>
  </r>
  <r>
    <x v="597"/>
    <n v="54"/>
    <x v="4"/>
    <x v="359"/>
    <x v="1"/>
    <x v="286"/>
    <x v="0"/>
    <x v="0"/>
    <n v="2"/>
    <s v="Dr. Gupta"/>
    <n v="23101"/>
    <s v="MedB"/>
    <s v="Yes"/>
    <x v="0"/>
    <d v="2024-02-04T00:00:00"/>
    <d v="2024-03-04T14:00:00"/>
    <x v="0"/>
    <s v="Accepted"/>
    <s v="Morning"/>
    <n v="7"/>
    <n v="8"/>
    <s v="Plan C"/>
  </r>
  <r>
    <x v="598"/>
    <n v="39"/>
    <x v="0"/>
    <x v="291"/>
    <x v="1"/>
    <x v="356"/>
    <x v="1"/>
    <x v="1"/>
    <n v="1"/>
    <s v="Dr. Mehta"/>
    <n v="26692"/>
    <s v="MedB"/>
    <s v="Yes"/>
    <x v="0"/>
    <d v="2023-02-09T00:00:00"/>
    <d v="2023-02-09T15:00:00"/>
    <x v="4"/>
    <s v="Accepted"/>
    <s v="Afternoon"/>
    <n v="6"/>
    <n v="10"/>
    <s v="Plan C"/>
  </r>
  <r>
    <x v="599"/>
    <n v="74"/>
    <x v="0"/>
    <x v="296"/>
    <x v="1"/>
    <x v="295"/>
    <x v="3"/>
    <x v="2"/>
    <n v="1"/>
    <s v="Dr. Gupta"/>
    <n v="12407"/>
    <s v="MedE"/>
    <s v="Yes"/>
    <x v="0"/>
    <s v="18-04-24 0:00"/>
    <s v="19-04-24 10:00"/>
    <x v="0"/>
    <s v="Accepted"/>
    <s v="Afternoon"/>
    <n v="8"/>
    <n v="10"/>
    <s v="Plan A"/>
  </r>
  <r>
    <x v="600"/>
    <n v="19"/>
    <x v="0"/>
    <x v="58"/>
    <x v="1"/>
    <x v="269"/>
    <x v="12"/>
    <x v="1"/>
    <n v="5"/>
    <s v="Dr. Rao"/>
    <n v="22254"/>
    <s v="MedD"/>
    <s v="No"/>
    <x v="1"/>
    <s v="24-01-24 0:00"/>
    <s v="25-01-24 20:00"/>
    <x v="2"/>
    <s v="Accepted"/>
    <s v="Night"/>
    <n v="9"/>
    <n v="12"/>
    <s v="Plan A"/>
  </r>
  <r>
    <x v="601"/>
    <n v="39"/>
    <x v="2"/>
    <x v="26"/>
    <x v="1"/>
    <x v="134"/>
    <x v="11"/>
    <x v="0"/>
    <n v="4"/>
    <s v="Dr. Rao"/>
    <n v="20234"/>
    <s v="MedE"/>
    <s v="Yes"/>
    <x v="1"/>
    <d v="2023-07-12T00:00:00"/>
    <d v="2023-08-12T05:00:00"/>
    <x v="3"/>
    <s v="Accepted"/>
    <s v="Morning"/>
    <n v="8"/>
    <n v="8"/>
    <s v="Plan C"/>
  </r>
  <r>
    <x v="602"/>
    <n v="67"/>
    <x v="1"/>
    <x v="325"/>
    <x v="1"/>
    <x v="339"/>
    <x v="2"/>
    <x v="2"/>
    <n v="1"/>
    <s v="Dr. Mehta"/>
    <n v="27211"/>
    <s v="MedC"/>
    <s v="Yes"/>
    <x v="0"/>
    <s v="30-01-23 0:00"/>
    <s v="30-01-23 1:00"/>
    <x v="0"/>
    <s v="Accepted"/>
    <s v="Morning"/>
    <n v="9"/>
    <n v="8"/>
    <s v="Plan C"/>
  </r>
  <r>
    <x v="603"/>
    <n v="45"/>
    <x v="2"/>
    <x v="290"/>
    <x v="1"/>
    <x v="359"/>
    <x v="5"/>
    <x v="2"/>
    <n v="4"/>
    <s v="Dr. Mehta"/>
    <n v="34480"/>
    <s v="MedB"/>
    <s v="Yes"/>
    <x v="1"/>
    <s v="21-05-24 0:00"/>
    <s v="21-05-24 1:00"/>
    <x v="3"/>
    <s v="Accepted"/>
    <s v="Night"/>
    <n v="11"/>
    <n v="10"/>
    <s v="Plan B"/>
  </r>
  <r>
    <x v="604"/>
    <n v="13"/>
    <x v="5"/>
    <x v="61"/>
    <x v="1"/>
    <x v="108"/>
    <x v="9"/>
    <x v="5"/>
    <n v="4"/>
    <s v="Dr. Gupta"/>
    <n v="29846"/>
    <s v="MedE"/>
    <s v="Yes"/>
    <x v="0"/>
    <s v="25-11-23 0:00"/>
    <s v="26-11-23 21:00"/>
    <x v="2"/>
    <s v="Accepted"/>
    <s v="Afternoon"/>
    <n v="9"/>
    <n v="8"/>
    <s v="Plan A"/>
  </r>
  <r>
    <x v="605"/>
    <n v="58"/>
    <x v="0"/>
    <x v="331"/>
    <x v="1"/>
    <x v="241"/>
    <x v="1"/>
    <x v="1"/>
    <n v="5"/>
    <s v="Dr. Patel"/>
    <n v="47503"/>
    <s v="MedC"/>
    <s v="Yes"/>
    <x v="0"/>
    <d v="2023-02-07T00:00:00"/>
    <d v="2023-02-07T22:00:00"/>
    <x v="0"/>
    <s v="Accepted"/>
    <s v="Afternoon"/>
    <n v="10"/>
    <n v="12"/>
    <s v="Plan C"/>
  </r>
  <r>
    <x v="606"/>
    <n v="20"/>
    <x v="5"/>
    <x v="323"/>
    <x v="1"/>
    <x v="222"/>
    <x v="0"/>
    <x v="5"/>
    <n v="4"/>
    <s v="Dr. Mehta"/>
    <n v="20321"/>
    <s v="MedE"/>
    <s v="Yes"/>
    <x v="0"/>
    <s v="13-05-24 0:00"/>
    <s v="13-05-24 8:00"/>
    <x v="0"/>
    <s v="Accepted"/>
    <s v="Morning"/>
    <n v="10"/>
    <n v="12"/>
    <s v="Plan A"/>
  </r>
  <r>
    <x v="607"/>
    <n v="72"/>
    <x v="3"/>
    <x v="70"/>
    <x v="1"/>
    <x v="318"/>
    <x v="14"/>
    <x v="2"/>
    <n v="2"/>
    <s v="Dr. Sharma"/>
    <n v="17646"/>
    <s v="MedD"/>
    <s v="Yes"/>
    <x v="0"/>
    <d v="2023-02-08T00:00:00"/>
    <d v="2023-03-08T04:00:00"/>
    <x v="2"/>
    <s v="Accepted"/>
    <s v="Night"/>
    <n v="8"/>
    <n v="8"/>
    <s v="Plan B"/>
  </r>
  <r>
    <x v="608"/>
    <n v="61"/>
    <x v="4"/>
    <x v="51"/>
    <x v="1"/>
    <x v="234"/>
    <x v="10"/>
    <x v="3"/>
    <n v="4"/>
    <s v="Dr. Rao"/>
    <n v="27117"/>
    <s v="MedD"/>
    <s v="No"/>
    <x v="0"/>
    <s v="26-12-23 0:00"/>
    <s v="27-12-23 21:00"/>
    <x v="2"/>
    <s v="Accepted"/>
    <s v="Night"/>
    <n v="5"/>
    <n v="8"/>
    <s v="Plan C"/>
  </r>
  <r>
    <x v="609"/>
    <n v="39"/>
    <x v="4"/>
    <x v="360"/>
    <x v="1"/>
    <x v="300"/>
    <x v="13"/>
    <x v="2"/>
    <n v="5"/>
    <s v="Dr. Sharma"/>
    <n v="9893"/>
    <s v="MedD"/>
    <s v="Yes"/>
    <x v="0"/>
    <s v="21-09-23 0:00"/>
    <s v="21-09-23 9:00"/>
    <x v="2"/>
    <s v="Accepted"/>
    <s v="Afternoon"/>
    <n v="11"/>
    <n v="12"/>
    <s v="Plan C"/>
  </r>
  <r>
    <x v="610"/>
    <n v="1"/>
    <x v="2"/>
    <x v="23"/>
    <x v="1"/>
    <x v="360"/>
    <x v="3"/>
    <x v="5"/>
    <n v="5"/>
    <s v="Dr. Rao"/>
    <n v="14476"/>
    <s v="MedD"/>
    <s v="No"/>
    <x v="0"/>
    <s v="14-12-23 0:00"/>
    <s v="15-12-23 7:00"/>
    <x v="3"/>
    <s v="Accepted"/>
    <s v="Afternoon"/>
    <n v="7"/>
    <n v="8"/>
    <s v="Plan C"/>
  </r>
  <r>
    <x v="611"/>
    <n v="3"/>
    <x v="1"/>
    <x v="361"/>
    <x v="1"/>
    <x v="358"/>
    <x v="0"/>
    <x v="1"/>
    <n v="5"/>
    <s v="Dr. Rao"/>
    <n v="22270"/>
    <s v="MedA"/>
    <s v="Yes"/>
    <x v="0"/>
    <d v="2023-12-10T00:00:00"/>
    <d v="2023-12-10T05:00:00"/>
    <x v="2"/>
    <s v="Rejected"/>
    <s v="Night"/>
    <n v="10"/>
    <n v="10"/>
    <s v="Plan A"/>
  </r>
  <r>
    <x v="612"/>
    <n v="77"/>
    <x v="5"/>
    <x v="362"/>
    <x v="1"/>
    <x v="220"/>
    <x v="11"/>
    <x v="0"/>
    <n v="1"/>
    <s v="Dr. Mehta"/>
    <n v="26702"/>
    <s v="MedC"/>
    <s v="Yes"/>
    <x v="0"/>
    <d v="2023-06-10T00:00:00"/>
    <d v="2023-06-10T15:00:00"/>
    <x v="3"/>
    <s v="Accepted"/>
    <s v="Morning"/>
    <n v="11"/>
    <n v="8"/>
    <s v="Plan B"/>
  </r>
  <r>
    <x v="613"/>
    <n v="62"/>
    <x v="1"/>
    <x v="363"/>
    <x v="1"/>
    <x v="135"/>
    <x v="13"/>
    <x v="0"/>
    <n v="2"/>
    <s v="Dr. Mehta"/>
    <n v="9382"/>
    <s v="MedC"/>
    <s v="No"/>
    <x v="0"/>
    <d v="2023-08-01T00:00:00"/>
    <d v="2023-09-01T01:00:00"/>
    <x v="4"/>
    <s v="Accepted"/>
    <s v="Afternoon"/>
    <n v="10"/>
    <n v="10"/>
    <s v="Plan A"/>
  </r>
  <r>
    <x v="614"/>
    <n v="63"/>
    <x v="2"/>
    <x v="126"/>
    <x v="1"/>
    <x v="361"/>
    <x v="11"/>
    <x v="1"/>
    <n v="1"/>
    <s v="Dr. Sharma"/>
    <n v="6785"/>
    <s v="MedD"/>
    <s v="No"/>
    <x v="0"/>
    <s v="13-06-24 0:00"/>
    <s v="13-06-24 6:00"/>
    <x v="0"/>
    <s v="Accepted"/>
    <s v="Night"/>
    <n v="10"/>
    <n v="8"/>
    <s v="Plan C"/>
  </r>
  <r>
    <x v="615"/>
    <n v="25"/>
    <x v="4"/>
    <x v="364"/>
    <x v="1"/>
    <x v="267"/>
    <x v="0"/>
    <x v="0"/>
    <n v="3"/>
    <s v="Dr. Rao"/>
    <n v="16735"/>
    <s v="MedA"/>
    <s v="Yes"/>
    <x v="0"/>
    <d v="2023-10-07T00:00:00"/>
    <d v="2023-11-07T23:00:00"/>
    <x v="0"/>
    <s v="Accepted"/>
    <s v="Night"/>
    <n v="6"/>
    <n v="8"/>
    <s v="Plan B"/>
  </r>
  <r>
    <x v="616"/>
    <n v="56"/>
    <x v="1"/>
    <x v="114"/>
    <x v="1"/>
    <x v="362"/>
    <x v="8"/>
    <x v="0"/>
    <n v="2"/>
    <s v="Dr. Sharma"/>
    <n v="35177"/>
    <s v="MedD"/>
    <s v="No"/>
    <x v="0"/>
    <s v="28-03-23 0:00"/>
    <s v="28-03-23 7:00"/>
    <x v="1"/>
    <s v="Accepted"/>
    <s v="Night"/>
    <n v="8"/>
    <n v="12"/>
    <s v="Plan C"/>
  </r>
  <r>
    <x v="617"/>
    <n v="33"/>
    <x v="1"/>
    <x v="365"/>
    <x v="1"/>
    <x v="356"/>
    <x v="9"/>
    <x v="5"/>
    <n v="4"/>
    <s v="Dr. Patel"/>
    <n v="35712"/>
    <s v="MedA"/>
    <s v="No"/>
    <x v="0"/>
    <s v="31-08-23 0:00"/>
    <s v="31-08-23 7:00"/>
    <x v="4"/>
    <s v="Accepted"/>
    <s v="Morning"/>
    <n v="8"/>
    <n v="10"/>
    <s v="Plan C"/>
  </r>
  <r>
    <x v="618"/>
    <n v="38"/>
    <x v="4"/>
    <x v="146"/>
    <x v="1"/>
    <x v="172"/>
    <x v="2"/>
    <x v="1"/>
    <n v="5"/>
    <s v="Dr. Sharma"/>
    <n v="21679"/>
    <s v="MedD"/>
    <s v="No"/>
    <x v="0"/>
    <s v="17-02-24 0:00"/>
    <s v="17-02-24 21:00"/>
    <x v="2"/>
    <s v="Rejected"/>
    <s v="Afternoon"/>
    <n v="10"/>
    <n v="12"/>
    <s v="Plan A"/>
  </r>
  <r>
    <x v="619"/>
    <n v="6"/>
    <x v="5"/>
    <x v="107"/>
    <x v="1"/>
    <x v="359"/>
    <x v="0"/>
    <x v="4"/>
    <n v="3"/>
    <s v="Dr. Gupta"/>
    <n v="48013"/>
    <s v="MedB"/>
    <s v="Yes"/>
    <x v="0"/>
    <d v="2024-12-05T00:00:00"/>
    <s v="13-05-24 0:00"/>
    <x v="2"/>
    <s v="Accepted"/>
    <s v="Afternoon"/>
    <n v="6"/>
    <n v="8"/>
    <s v="Plan C"/>
  </r>
  <r>
    <x v="620"/>
    <n v="58"/>
    <x v="4"/>
    <x v="113"/>
    <x v="1"/>
    <x v="171"/>
    <x v="0"/>
    <x v="3"/>
    <n v="2"/>
    <s v="Dr. Sharma"/>
    <n v="40365"/>
    <s v="MedB"/>
    <s v="Yes"/>
    <x v="0"/>
    <d v="2023-04-09T00:00:00"/>
    <d v="2023-04-09T20:00:00"/>
    <x v="4"/>
    <s v="Accepted"/>
    <s v="Afternoon"/>
    <n v="10"/>
    <n v="12"/>
    <s v="Plan B"/>
  </r>
  <r>
    <x v="621"/>
    <n v="44"/>
    <x v="1"/>
    <x v="366"/>
    <x v="1"/>
    <x v="363"/>
    <x v="1"/>
    <x v="3"/>
    <n v="1"/>
    <s v="Dr. Gupta"/>
    <n v="22064"/>
    <s v="MedE"/>
    <s v="Yes"/>
    <x v="0"/>
    <s v="28-04-24 0:00"/>
    <s v="28-04-24 9:00"/>
    <x v="2"/>
    <s v="Accepted"/>
    <s v="Morning"/>
    <n v="7"/>
    <n v="8"/>
    <s v="Plan C"/>
  </r>
  <r>
    <x v="622"/>
    <n v="45"/>
    <x v="5"/>
    <x v="367"/>
    <x v="1"/>
    <x v="359"/>
    <x v="9"/>
    <x v="0"/>
    <n v="5"/>
    <s v="Dr. Gupta"/>
    <n v="35563"/>
    <s v="MedD"/>
    <s v="No"/>
    <x v="0"/>
    <s v="14-05-24 0:00"/>
    <s v="15-05-24 1:00"/>
    <x v="1"/>
    <s v="Rejected"/>
    <s v="Afternoon"/>
    <n v="6"/>
    <n v="8"/>
    <s v="Plan C"/>
  </r>
  <r>
    <x v="623"/>
    <n v="32"/>
    <x v="5"/>
    <x v="368"/>
    <x v="1"/>
    <x v="168"/>
    <x v="10"/>
    <x v="3"/>
    <n v="1"/>
    <s v="Dr. Gupta"/>
    <n v="38092"/>
    <s v="MedC"/>
    <s v="Yes"/>
    <x v="0"/>
    <d v="2024-03-04T00:00:00"/>
    <d v="2024-03-04T09:00:00"/>
    <x v="3"/>
    <s v="Accepted"/>
    <s v="Afternoon"/>
    <n v="10"/>
    <n v="8"/>
    <s v="Plan A"/>
  </r>
  <r>
    <x v="624"/>
    <n v="45"/>
    <x v="4"/>
    <x v="369"/>
    <x v="1"/>
    <x v="170"/>
    <x v="4"/>
    <x v="1"/>
    <n v="2"/>
    <s v="Dr. Patel"/>
    <n v="31867"/>
    <s v="MedE"/>
    <s v="No"/>
    <x v="0"/>
    <s v="15-01-23 0:00"/>
    <s v="16-01-23 18:00"/>
    <x v="0"/>
    <s v="Accepted"/>
    <s v="Afternoon"/>
    <n v="9"/>
    <n v="10"/>
    <s v="Plan B"/>
  </r>
  <r>
    <x v="625"/>
    <n v="61"/>
    <x v="1"/>
    <x v="11"/>
    <x v="1"/>
    <x v="118"/>
    <x v="10"/>
    <x v="1"/>
    <n v="2"/>
    <s v="Dr. Sharma"/>
    <n v="38754"/>
    <s v="MedB"/>
    <s v="Yes"/>
    <x v="0"/>
    <d v="2023-05-04T00:00:00"/>
    <d v="2023-06-04T20:00:00"/>
    <x v="4"/>
    <s v="Accepted"/>
    <s v="Afternoon"/>
    <n v="5"/>
    <n v="10"/>
    <s v="Plan A"/>
  </r>
  <r>
    <x v="626"/>
    <n v="47"/>
    <x v="2"/>
    <x v="370"/>
    <x v="1"/>
    <x v="98"/>
    <x v="5"/>
    <x v="2"/>
    <n v="3"/>
    <s v="Dr. Sharma"/>
    <n v="24502"/>
    <s v="MedD"/>
    <s v="Yes"/>
    <x v="0"/>
    <s v="25-10-23 0:00"/>
    <s v="25-10-23 10:00"/>
    <x v="0"/>
    <s v="Accepted"/>
    <s v="Morning"/>
    <n v="9"/>
    <n v="10"/>
    <s v="Plan C"/>
  </r>
  <r>
    <x v="627"/>
    <n v="21"/>
    <x v="1"/>
    <x v="371"/>
    <x v="1"/>
    <x v="4"/>
    <x v="3"/>
    <x v="2"/>
    <n v="4"/>
    <s v="Dr. Patel"/>
    <n v="5760"/>
    <s v="MedE"/>
    <s v="Yes"/>
    <x v="1"/>
    <d v="2023-12-08T00:00:00"/>
    <d v="2023-12-08T05:00:00"/>
    <x v="3"/>
    <s v="Accepted"/>
    <s v="Night"/>
    <n v="5"/>
    <n v="12"/>
    <s v="Plan A"/>
  </r>
  <r>
    <x v="628"/>
    <n v="80"/>
    <x v="0"/>
    <x v="326"/>
    <x v="1"/>
    <x v="172"/>
    <x v="7"/>
    <x v="3"/>
    <n v="1"/>
    <s v="Dr. Rao"/>
    <n v="29142"/>
    <s v="MedD"/>
    <s v="No"/>
    <x v="0"/>
    <s v="16-02-24 0:00"/>
    <s v="17-02-24 10:00"/>
    <x v="4"/>
    <s v="Accepted"/>
    <s v="Night"/>
    <n v="6"/>
    <n v="8"/>
    <s v="Plan A"/>
  </r>
  <r>
    <x v="629"/>
    <n v="85"/>
    <x v="3"/>
    <x v="291"/>
    <x v="1"/>
    <x v="364"/>
    <x v="10"/>
    <x v="4"/>
    <n v="3"/>
    <s v="Dr. Mehta"/>
    <n v="49653"/>
    <s v="MedB"/>
    <s v="Yes"/>
    <x v="0"/>
    <d v="2023-03-09T00:00:00"/>
    <d v="2023-04-09T13:00:00"/>
    <x v="3"/>
    <s v="Accepted"/>
    <s v="Afternoon"/>
    <n v="9"/>
    <n v="12"/>
    <s v="Plan A"/>
  </r>
  <r>
    <x v="630"/>
    <n v="75"/>
    <x v="2"/>
    <x v="372"/>
    <x v="1"/>
    <x v="340"/>
    <x v="14"/>
    <x v="2"/>
    <n v="5"/>
    <s v="Dr. Sharma"/>
    <n v="46996"/>
    <s v="MedE"/>
    <s v="No"/>
    <x v="0"/>
    <d v="2023-10-11T00:00:00"/>
    <d v="2023-10-11T01:00:00"/>
    <x v="2"/>
    <s v="Accepted"/>
    <s v="Afternoon"/>
    <n v="7"/>
    <n v="12"/>
    <s v="Plan A"/>
  </r>
  <r>
    <x v="631"/>
    <n v="36"/>
    <x v="5"/>
    <x v="343"/>
    <x v="1"/>
    <x v="260"/>
    <x v="6"/>
    <x v="2"/>
    <n v="4"/>
    <s v="Dr. Mehta"/>
    <n v="22290"/>
    <s v="MedB"/>
    <s v="Yes"/>
    <x v="0"/>
    <d v="2024-09-01T00:00:00"/>
    <d v="2024-10-01T16:00:00"/>
    <x v="2"/>
    <s v="Accepted"/>
    <s v="Afternoon"/>
    <n v="11"/>
    <n v="8"/>
    <s v="Plan C"/>
  </r>
  <r>
    <x v="632"/>
    <n v="19"/>
    <x v="2"/>
    <x v="144"/>
    <x v="1"/>
    <x v="244"/>
    <x v="7"/>
    <x v="1"/>
    <n v="3"/>
    <s v="Dr. Patel"/>
    <n v="10499"/>
    <s v="MedA"/>
    <s v="No"/>
    <x v="0"/>
    <s v="26-04-24 0:00"/>
    <s v="27-04-24 18:00"/>
    <x v="2"/>
    <s v="Accepted"/>
    <s v="Morning"/>
    <n v="9"/>
    <n v="12"/>
    <s v="Plan C"/>
  </r>
  <r>
    <x v="633"/>
    <n v="20"/>
    <x v="5"/>
    <x v="31"/>
    <x v="1"/>
    <x v="134"/>
    <x v="7"/>
    <x v="4"/>
    <n v="1"/>
    <s v="Dr. Rao"/>
    <n v="5364"/>
    <s v="MedB"/>
    <s v="No"/>
    <x v="0"/>
    <s v="14-12-23 0:00"/>
    <s v="14-12-23 11:00"/>
    <x v="3"/>
    <s v="Accepted"/>
    <s v="Afternoon"/>
    <n v="8"/>
    <n v="8"/>
    <s v="Plan B"/>
  </r>
  <r>
    <x v="634"/>
    <n v="57"/>
    <x v="5"/>
    <x v="293"/>
    <x v="1"/>
    <x v="308"/>
    <x v="3"/>
    <x v="0"/>
    <n v="2"/>
    <s v="Dr. Rao"/>
    <n v="24797"/>
    <s v="MedD"/>
    <s v="No"/>
    <x v="1"/>
    <d v="2024-09-03T00:00:00"/>
    <d v="2024-10-03T05:00:00"/>
    <x v="3"/>
    <s v="Rejected"/>
    <s v="Morning"/>
    <n v="11"/>
    <n v="8"/>
    <s v="Plan A"/>
  </r>
  <r>
    <x v="635"/>
    <n v="18"/>
    <x v="2"/>
    <x v="138"/>
    <x v="1"/>
    <x v="108"/>
    <x v="3"/>
    <x v="3"/>
    <n v="5"/>
    <s v="Dr. Rao"/>
    <n v="45795"/>
    <s v="MedC"/>
    <s v="No"/>
    <x v="0"/>
    <s v="30-11-23 0:00"/>
    <s v="30-11-23 23:00"/>
    <x v="3"/>
    <s v="Accepted"/>
    <s v="Afternoon"/>
    <n v="11"/>
    <n v="8"/>
    <s v="Plan A"/>
  </r>
  <r>
    <x v="636"/>
    <n v="47"/>
    <x v="5"/>
    <x v="322"/>
    <x v="1"/>
    <x v="158"/>
    <x v="2"/>
    <x v="2"/>
    <n v="1"/>
    <s v="Dr. Patel"/>
    <n v="37535"/>
    <s v="MedB"/>
    <s v="Yes"/>
    <x v="0"/>
    <s v="27-12-23 0:00"/>
    <s v="28-12-23 23:00"/>
    <x v="0"/>
    <s v="Accepted"/>
    <s v="Afternoon"/>
    <n v="5"/>
    <n v="8"/>
    <s v="Plan B"/>
  </r>
  <r>
    <x v="637"/>
    <n v="49"/>
    <x v="5"/>
    <x v="47"/>
    <x v="1"/>
    <x v="50"/>
    <x v="5"/>
    <x v="4"/>
    <n v="4"/>
    <s v="Dr. Gupta"/>
    <n v="21105"/>
    <s v="MedC"/>
    <s v="Yes"/>
    <x v="1"/>
    <d v="2024-06-04T00:00:00"/>
    <d v="2024-06-04T14:00:00"/>
    <x v="3"/>
    <s v="Accepted"/>
    <s v="Night"/>
    <n v="5"/>
    <n v="12"/>
    <s v="Plan A"/>
  </r>
  <r>
    <x v="638"/>
    <n v="14"/>
    <x v="0"/>
    <x v="373"/>
    <x v="1"/>
    <x v="49"/>
    <x v="13"/>
    <x v="4"/>
    <n v="4"/>
    <s v="Dr. Gupta"/>
    <n v="12939"/>
    <s v="MedA"/>
    <s v="Yes"/>
    <x v="1"/>
    <d v="2023-03-10T00:00:00"/>
    <d v="2023-04-10T17:00:00"/>
    <x v="2"/>
    <s v="Accepted"/>
    <s v="Afternoon"/>
    <n v="10"/>
    <n v="12"/>
    <s v="Plan B"/>
  </r>
  <r>
    <x v="639"/>
    <n v="15"/>
    <x v="1"/>
    <x v="372"/>
    <x v="1"/>
    <x v="340"/>
    <x v="14"/>
    <x v="3"/>
    <n v="2"/>
    <s v="Dr. Mehta"/>
    <n v="18936"/>
    <s v="MedE"/>
    <s v="Yes"/>
    <x v="0"/>
    <d v="2023-10-11T00:00:00"/>
    <d v="2023-12-11T00:00:00"/>
    <x v="1"/>
    <s v="Accepted"/>
    <s v="Morning"/>
    <n v="7"/>
    <n v="12"/>
    <s v="Plan C"/>
  </r>
  <r>
    <x v="640"/>
    <n v="31"/>
    <x v="1"/>
    <x v="91"/>
    <x v="1"/>
    <x v="116"/>
    <x v="2"/>
    <x v="4"/>
    <n v="2"/>
    <s v="Dr. Gupta"/>
    <n v="47029"/>
    <s v="MedE"/>
    <s v="No"/>
    <x v="0"/>
    <d v="2023-10-09T00:00:00"/>
    <d v="2023-10-09T10:00:00"/>
    <x v="3"/>
    <s v="Accepted"/>
    <s v="Night"/>
    <n v="5"/>
    <n v="10"/>
    <s v="Plan B"/>
  </r>
  <r>
    <x v="641"/>
    <n v="1"/>
    <x v="3"/>
    <x v="313"/>
    <x v="1"/>
    <x v="365"/>
    <x v="9"/>
    <x v="4"/>
    <n v="5"/>
    <s v="Dr. Gupta"/>
    <n v="20863"/>
    <s v="MedC"/>
    <s v="Yes"/>
    <x v="1"/>
    <s v="24-08-23 0:00"/>
    <s v="25-08-23 3:00"/>
    <x v="1"/>
    <s v="Accepted"/>
    <s v="Morning"/>
    <n v="5"/>
    <n v="12"/>
    <s v="Plan A"/>
  </r>
  <r>
    <x v="642"/>
    <n v="54"/>
    <x v="3"/>
    <x v="128"/>
    <x v="1"/>
    <x v="204"/>
    <x v="14"/>
    <x v="4"/>
    <n v="5"/>
    <s v="Dr. Rao"/>
    <n v="17561"/>
    <s v="MedE"/>
    <s v="Yes"/>
    <x v="0"/>
    <s v="30-04-23 0:00"/>
    <d v="2023-01-05T16:00:00"/>
    <x v="2"/>
    <s v="Accepted"/>
    <s v="Night"/>
    <n v="10"/>
    <n v="12"/>
    <s v="Plan B"/>
  </r>
  <r>
    <x v="643"/>
    <n v="3"/>
    <x v="0"/>
    <x v="251"/>
    <x v="1"/>
    <x v="267"/>
    <x v="9"/>
    <x v="2"/>
    <n v="2"/>
    <s v="Dr. Rao"/>
    <n v="15447"/>
    <s v="MedB"/>
    <s v="Yes"/>
    <x v="0"/>
    <s v="17-07-23 0:00"/>
    <s v="18-07-23 20:00"/>
    <x v="3"/>
    <s v="Accepted"/>
    <s v="Morning"/>
    <n v="7"/>
    <n v="10"/>
    <s v="Plan C"/>
  </r>
  <r>
    <x v="644"/>
    <n v="16"/>
    <x v="3"/>
    <x v="64"/>
    <x v="1"/>
    <x v="366"/>
    <x v="13"/>
    <x v="3"/>
    <n v="2"/>
    <s v="Dr. Mehta"/>
    <n v="35624"/>
    <s v="MedC"/>
    <s v="Yes"/>
    <x v="0"/>
    <s v="20-11-23 0:00"/>
    <s v="21-11-23 5:00"/>
    <x v="0"/>
    <s v="Accepted"/>
    <s v="Night"/>
    <n v="9"/>
    <n v="8"/>
    <s v="Plan A"/>
  </r>
  <r>
    <x v="645"/>
    <n v="87"/>
    <x v="2"/>
    <x v="189"/>
    <x v="1"/>
    <x v="343"/>
    <x v="11"/>
    <x v="4"/>
    <n v="4"/>
    <s v="Dr. Sharma"/>
    <n v="49646"/>
    <s v="MedD"/>
    <s v="Yes"/>
    <x v="0"/>
    <s v="30-04-23 0:00"/>
    <s v="30-04-23 14:00"/>
    <x v="0"/>
    <s v="Accepted"/>
    <s v="Morning"/>
    <n v="6"/>
    <n v="8"/>
    <s v="Plan C"/>
  </r>
  <r>
    <x v="646"/>
    <n v="57"/>
    <x v="4"/>
    <x v="374"/>
    <x v="1"/>
    <x v="367"/>
    <x v="8"/>
    <x v="4"/>
    <n v="2"/>
    <s v="Dr. Mehta"/>
    <n v="17411"/>
    <s v="MedB"/>
    <s v="No"/>
    <x v="0"/>
    <d v="2023-07-07T00:00:00"/>
    <d v="2023-07-07T06:00:00"/>
    <x v="1"/>
    <s v="Accepted"/>
    <s v="Morning"/>
    <n v="9"/>
    <n v="8"/>
    <s v="Plan C"/>
  </r>
  <r>
    <x v="647"/>
    <n v="75"/>
    <x v="4"/>
    <x v="40"/>
    <x v="1"/>
    <x v="287"/>
    <x v="9"/>
    <x v="2"/>
    <n v="3"/>
    <s v="Dr. Mehta"/>
    <n v="24465"/>
    <s v="MedB"/>
    <s v="Yes"/>
    <x v="0"/>
    <d v="2023-11-07T00:00:00"/>
    <d v="2023-11-07T07:00:00"/>
    <x v="0"/>
    <s v="Rejected"/>
    <s v="Afternoon"/>
    <n v="8"/>
    <n v="10"/>
    <s v="Plan B"/>
  </r>
  <r>
    <x v="648"/>
    <n v="12"/>
    <x v="4"/>
    <x v="375"/>
    <x v="1"/>
    <x v="54"/>
    <x v="4"/>
    <x v="3"/>
    <n v="1"/>
    <s v="Dr. Patel"/>
    <n v="43216"/>
    <s v="MedB"/>
    <s v="Yes"/>
    <x v="0"/>
    <d v="2023-10-08T00:00:00"/>
    <d v="2023-10-08T09:00:00"/>
    <x v="0"/>
    <s v="Accepted"/>
    <s v="Night"/>
    <n v="8"/>
    <n v="12"/>
    <s v="Plan C"/>
  </r>
  <r>
    <x v="649"/>
    <n v="74"/>
    <x v="0"/>
    <x v="355"/>
    <x v="1"/>
    <x v="174"/>
    <x v="0"/>
    <x v="1"/>
    <n v="2"/>
    <s v="Dr. Patel"/>
    <n v="24642"/>
    <s v="MedD"/>
    <s v="Yes"/>
    <x v="0"/>
    <d v="2024-06-05T00:00:00"/>
    <d v="2024-06-05T08:00:00"/>
    <x v="0"/>
    <s v="Accepted"/>
    <s v="Night"/>
    <n v="5"/>
    <n v="12"/>
    <s v="Plan A"/>
  </r>
  <r>
    <x v="650"/>
    <n v="16"/>
    <x v="0"/>
    <x v="220"/>
    <x v="1"/>
    <x v="354"/>
    <x v="10"/>
    <x v="2"/>
    <n v="5"/>
    <s v="Dr. Mehta"/>
    <n v="36262"/>
    <s v="MedA"/>
    <s v="No"/>
    <x v="1"/>
    <d v="2023-11-10T00:00:00"/>
    <d v="2023-12-10T14:00:00"/>
    <x v="2"/>
    <s v="Accepted"/>
    <s v="Afternoon"/>
    <n v="11"/>
    <n v="12"/>
    <s v="Plan C"/>
  </r>
  <r>
    <x v="651"/>
    <n v="72"/>
    <x v="5"/>
    <x v="376"/>
    <x v="1"/>
    <x v="368"/>
    <x v="8"/>
    <x v="3"/>
    <n v="3"/>
    <s v="Dr. Mehta"/>
    <n v="35363"/>
    <s v="MedE"/>
    <s v="Yes"/>
    <x v="0"/>
    <s v="21-06-24 0:00"/>
    <s v="22-06-24 23:00"/>
    <x v="0"/>
    <s v="Accepted"/>
    <s v="Morning"/>
    <n v="8"/>
    <n v="12"/>
    <s v="Plan C"/>
  </r>
  <r>
    <x v="652"/>
    <n v="76"/>
    <x v="4"/>
    <x v="377"/>
    <x v="1"/>
    <x v="369"/>
    <x v="14"/>
    <x v="4"/>
    <n v="5"/>
    <s v="Dr. Mehta"/>
    <n v="7107"/>
    <s v="MedC"/>
    <s v="No"/>
    <x v="1"/>
    <s v="14-10-23 0:00"/>
    <s v="15-10-23 1:00"/>
    <x v="4"/>
    <s v="Accepted"/>
    <s v="Morning"/>
    <n v="6"/>
    <n v="10"/>
    <s v="Plan B"/>
  </r>
  <r>
    <x v="653"/>
    <n v="24"/>
    <x v="2"/>
    <x v="201"/>
    <x v="1"/>
    <x v="370"/>
    <x v="12"/>
    <x v="3"/>
    <n v="3"/>
    <s v="Dr. Gupta"/>
    <n v="12928"/>
    <s v="MedA"/>
    <s v="Yes"/>
    <x v="1"/>
    <s v="13-04-23 0:00"/>
    <s v="13-04-23 23:00"/>
    <x v="3"/>
    <s v="Accepted"/>
    <s v="Night"/>
    <n v="5"/>
    <n v="12"/>
    <s v="Plan C"/>
  </r>
  <r>
    <x v="654"/>
    <n v="28"/>
    <x v="3"/>
    <x v="378"/>
    <x v="1"/>
    <x v="371"/>
    <x v="3"/>
    <x v="3"/>
    <n v="2"/>
    <s v="Dr. Patel"/>
    <n v="24317"/>
    <s v="MedC"/>
    <s v="Yes"/>
    <x v="1"/>
    <s v="16-07-23 0:00"/>
    <s v="17-07-23 4:00"/>
    <x v="0"/>
    <s v="Accepted"/>
    <s v="Morning"/>
    <n v="10"/>
    <n v="8"/>
    <s v="Plan B"/>
  </r>
  <r>
    <x v="655"/>
    <n v="8"/>
    <x v="2"/>
    <x v="178"/>
    <x v="1"/>
    <x v="372"/>
    <x v="12"/>
    <x v="0"/>
    <n v="1"/>
    <s v="Dr. Mehta"/>
    <n v="30017"/>
    <s v="MedE"/>
    <s v="Yes"/>
    <x v="1"/>
    <s v="28-10-23 0:00"/>
    <s v="28-10-23 21:00"/>
    <x v="0"/>
    <s v="Accepted"/>
    <s v="Night"/>
    <n v="8"/>
    <n v="10"/>
    <s v="Plan B"/>
  </r>
  <r>
    <x v="656"/>
    <n v="36"/>
    <x v="3"/>
    <x v="379"/>
    <x v="1"/>
    <x v="44"/>
    <x v="1"/>
    <x v="3"/>
    <n v="5"/>
    <s v="Dr. Rao"/>
    <n v="18528"/>
    <s v="MedD"/>
    <s v="Yes"/>
    <x v="0"/>
    <s v="20-08-23 0:00"/>
    <s v="20-08-23 9:00"/>
    <x v="0"/>
    <s v="Accepted"/>
    <s v="Night"/>
    <n v="11"/>
    <n v="10"/>
    <s v="Plan A"/>
  </r>
  <r>
    <x v="657"/>
    <n v="8"/>
    <x v="4"/>
    <x v="380"/>
    <x v="1"/>
    <x v="373"/>
    <x v="3"/>
    <x v="1"/>
    <n v="3"/>
    <s v="Dr. Rao"/>
    <n v="18313"/>
    <s v="MedB"/>
    <s v="No"/>
    <x v="1"/>
    <d v="2024-04-01T00:00:00"/>
    <d v="2024-04-01T16:00:00"/>
    <x v="4"/>
    <s v="Accepted"/>
    <s v="Morning"/>
    <n v="10"/>
    <n v="8"/>
    <s v="Plan A"/>
  </r>
  <r>
    <x v="658"/>
    <n v="58"/>
    <x v="4"/>
    <x v="238"/>
    <x v="1"/>
    <x v="374"/>
    <x v="3"/>
    <x v="3"/>
    <n v="4"/>
    <s v="Dr. Gupta"/>
    <n v="6559"/>
    <s v="MedB"/>
    <s v="Yes"/>
    <x v="0"/>
    <s v="28-06-23 0:00"/>
    <s v="28-06-23 18:00"/>
    <x v="0"/>
    <s v="Accepted"/>
    <s v="Morning"/>
    <n v="4"/>
    <n v="8"/>
    <s v="Plan A"/>
  </r>
  <r>
    <x v="659"/>
    <n v="60"/>
    <x v="4"/>
    <x v="207"/>
    <x v="1"/>
    <x v="375"/>
    <x v="3"/>
    <x v="1"/>
    <n v="2"/>
    <s v="Dr. Gupta"/>
    <n v="20167"/>
    <s v="MedD"/>
    <s v="Yes"/>
    <x v="0"/>
    <d v="2023-01-11T00:00:00"/>
    <d v="2023-02-11T18:00:00"/>
    <x v="0"/>
    <s v="Accepted"/>
    <s v="Morning"/>
    <n v="4"/>
    <n v="12"/>
    <s v="Plan A"/>
  </r>
  <r>
    <x v="660"/>
    <n v="50"/>
    <x v="0"/>
    <x v="381"/>
    <x v="1"/>
    <x v="376"/>
    <x v="13"/>
    <x v="4"/>
    <n v="1"/>
    <s v="Dr. Sharma"/>
    <n v="20343"/>
    <s v="MedA"/>
    <s v="No"/>
    <x v="0"/>
    <d v="2023-10-01T00:00:00"/>
    <d v="2023-10-01T06:00:00"/>
    <x v="3"/>
    <s v="Accepted"/>
    <s v="Afternoon"/>
    <n v="4"/>
    <n v="8"/>
    <s v="Plan B"/>
  </r>
  <r>
    <x v="661"/>
    <n v="28"/>
    <x v="3"/>
    <x v="341"/>
    <x v="1"/>
    <x v="377"/>
    <x v="11"/>
    <x v="1"/>
    <n v="2"/>
    <s v="Dr. Sharma"/>
    <n v="43598"/>
    <s v="MedA"/>
    <s v="Yes"/>
    <x v="1"/>
    <d v="2023-07-05T00:00:00"/>
    <d v="2023-07-05T16:00:00"/>
    <x v="4"/>
    <s v="Accepted"/>
    <s v="Night"/>
    <n v="10"/>
    <n v="10"/>
    <s v="Plan C"/>
  </r>
  <r>
    <x v="662"/>
    <n v="41"/>
    <x v="0"/>
    <x v="382"/>
    <x v="1"/>
    <x v="19"/>
    <x v="14"/>
    <x v="4"/>
    <n v="4"/>
    <s v="Dr. Sharma"/>
    <n v="12523"/>
    <s v="MedC"/>
    <s v="Yes"/>
    <x v="0"/>
    <d v="2023-06-10T00:00:00"/>
    <d v="2023-07-10T12:00:00"/>
    <x v="4"/>
    <s v="Accepted"/>
    <s v="Morning"/>
    <n v="4"/>
    <n v="10"/>
    <s v="Plan A"/>
  </r>
  <r>
    <x v="663"/>
    <n v="64"/>
    <x v="0"/>
    <x v="42"/>
    <x v="1"/>
    <x v="34"/>
    <x v="12"/>
    <x v="4"/>
    <n v="1"/>
    <s v="Dr. Gupta"/>
    <n v="33439"/>
    <s v="MedD"/>
    <s v="No"/>
    <x v="0"/>
    <s v="13-02-23 0:00"/>
    <s v="14-02-23 15:00"/>
    <x v="0"/>
    <s v="Accepted"/>
    <s v="Afternoon"/>
    <n v="9"/>
    <n v="10"/>
    <s v="Plan A"/>
  </r>
  <r>
    <x v="664"/>
    <n v="27"/>
    <x v="1"/>
    <x v="153"/>
    <x v="1"/>
    <x v="378"/>
    <x v="14"/>
    <x v="1"/>
    <n v="4"/>
    <s v="Dr. Gupta"/>
    <n v="20524"/>
    <s v="MedA"/>
    <s v="Yes"/>
    <x v="0"/>
    <s v="22-02-23 0:00"/>
    <s v="23-02-23 15:00"/>
    <x v="4"/>
    <s v="Accepted"/>
    <s v="Morning"/>
    <n v="4"/>
    <n v="12"/>
    <s v="Plan A"/>
  </r>
  <r>
    <x v="665"/>
    <n v="63"/>
    <x v="2"/>
    <x v="383"/>
    <x v="1"/>
    <x v="379"/>
    <x v="8"/>
    <x v="2"/>
    <n v="2"/>
    <s v="Dr. Gupta"/>
    <n v="18285"/>
    <s v="MedD"/>
    <s v="No"/>
    <x v="0"/>
    <s v="24-10-23 0:00"/>
    <s v="25-10-23 23:00"/>
    <x v="1"/>
    <s v="Accepted"/>
    <s v="Night"/>
    <n v="5"/>
    <n v="12"/>
    <s v="Plan C"/>
  </r>
  <r>
    <x v="666"/>
    <n v="17"/>
    <x v="2"/>
    <x v="341"/>
    <x v="1"/>
    <x v="198"/>
    <x v="3"/>
    <x v="5"/>
    <n v="3"/>
    <s v="Dr. Rao"/>
    <n v="15973"/>
    <s v="MedE"/>
    <s v="Yes"/>
    <x v="0"/>
    <d v="2023-07-05T00:00:00"/>
    <d v="2023-08-05T15:00:00"/>
    <x v="4"/>
    <s v="Accepted"/>
    <s v="Afternoon"/>
    <n v="7"/>
    <n v="8"/>
    <s v="Plan A"/>
  </r>
  <r>
    <x v="667"/>
    <n v="73"/>
    <x v="5"/>
    <x v="367"/>
    <x v="1"/>
    <x v="380"/>
    <x v="11"/>
    <x v="3"/>
    <n v="2"/>
    <s v="Dr. Gupta"/>
    <n v="27694"/>
    <s v="MedB"/>
    <s v="No"/>
    <x v="0"/>
    <s v="17-05-24 0:00"/>
    <s v="17-05-24 19:00"/>
    <x v="4"/>
    <s v="Accepted"/>
    <s v="Night"/>
    <n v="9"/>
    <n v="12"/>
    <s v="Plan C"/>
  </r>
  <r>
    <x v="668"/>
    <n v="33"/>
    <x v="0"/>
    <x v="235"/>
    <x v="1"/>
    <x v="251"/>
    <x v="6"/>
    <x v="0"/>
    <n v="2"/>
    <s v="Dr. Rao"/>
    <n v="40774"/>
    <s v="MedB"/>
    <s v="Yes"/>
    <x v="0"/>
    <d v="2023-11-04T00:00:00"/>
    <d v="2023-12-04T21:00:00"/>
    <x v="4"/>
    <s v="Accepted"/>
    <s v="Morning"/>
    <n v="11"/>
    <n v="12"/>
    <s v="Plan B"/>
  </r>
  <r>
    <x v="669"/>
    <n v="84"/>
    <x v="3"/>
    <x v="351"/>
    <x v="1"/>
    <x v="20"/>
    <x v="4"/>
    <x v="5"/>
    <n v="2"/>
    <s v="Dr. Sharma"/>
    <n v="9302"/>
    <s v="MedB"/>
    <s v="No"/>
    <x v="0"/>
    <d v="2023-08-01T00:00:00"/>
    <d v="2023-08-01T02:00:00"/>
    <x v="2"/>
    <s v="Accepted"/>
    <s v="Morning"/>
    <n v="7"/>
    <n v="10"/>
    <s v="Plan B"/>
  </r>
  <r>
    <x v="670"/>
    <n v="77"/>
    <x v="1"/>
    <x v="206"/>
    <x v="1"/>
    <x v="381"/>
    <x v="1"/>
    <x v="3"/>
    <n v="5"/>
    <s v="Dr. Sharma"/>
    <n v="27391"/>
    <s v="MedD"/>
    <s v="Yes"/>
    <x v="1"/>
    <s v="15-10-23 0:00"/>
    <s v="16-10-23 19:00"/>
    <x v="2"/>
    <s v="Accepted"/>
    <s v="Morning"/>
    <n v="5"/>
    <n v="10"/>
    <s v="Plan B"/>
  </r>
  <r>
    <x v="671"/>
    <n v="29"/>
    <x v="1"/>
    <x v="384"/>
    <x v="1"/>
    <x v="382"/>
    <x v="10"/>
    <x v="3"/>
    <n v="4"/>
    <s v="Dr. Sharma"/>
    <n v="9611"/>
    <s v="MedD"/>
    <s v="No"/>
    <x v="0"/>
    <s v="24-04-24 0:00"/>
    <s v="24-04-24 20:00"/>
    <x v="2"/>
    <s v="Accepted"/>
    <s v="Afternoon"/>
    <n v="11"/>
    <n v="8"/>
    <s v="Plan C"/>
  </r>
  <r>
    <x v="672"/>
    <n v="13"/>
    <x v="2"/>
    <x v="385"/>
    <x v="1"/>
    <x v="191"/>
    <x v="0"/>
    <x v="4"/>
    <n v="4"/>
    <s v="Dr. Mehta"/>
    <n v="14372"/>
    <s v="MedC"/>
    <s v="Yes"/>
    <x v="1"/>
    <s v="30-04-24 0:00"/>
    <s v="30-04-24 14:00"/>
    <x v="4"/>
    <s v="Accepted"/>
    <s v="Afternoon"/>
    <n v="5"/>
    <n v="10"/>
    <s v="Plan A"/>
  </r>
  <r>
    <x v="673"/>
    <n v="46"/>
    <x v="0"/>
    <x v="386"/>
    <x v="1"/>
    <x v="299"/>
    <x v="11"/>
    <x v="3"/>
    <n v="4"/>
    <s v="Dr. Mehta"/>
    <n v="29312"/>
    <s v="MedB"/>
    <s v="Yes"/>
    <x v="0"/>
    <s v="25-03-24 0:00"/>
    <s v="26-03-24 10:00"/>
    <x v="1"/>
    <s v="Accepted"/>
    <s v="Afternoon"/>
    <n v="6"/>
    <n v="12"/>
    <s v="Plan A"/>
  </r>
  <r>
    <x v="674"/>
    <n v="35"/>
    <x v="5"/>
    <x v="23"/>
    <x v="1"/>
    <x v="96"/>
    <x v="7"/>
    <x v="0"/>
    <n v="5"/>
    <s v="Dr. Patel"/>
    <n v="19080"/>
    <s v="MedC"/>
    <s v="Yes"/>
    <x v="0"/>
    <s v="15-12-23 0:00"/>
    <s v="16-12-23 15:00"/>
    <x v="4"/>
    <s v="Accepted"/>
    <s v="Afternoon"/>
    <n v="11"/>
    <n v="8"/>
    <s v="Plan A"/>
  </r>
  <r>
    <x v="675"/>
    <n v="6"/>
    <x v="0"/>
    <x v="387"/>
    <x v="1"/>
    <x v="151"/>
    <x v="6"/>
    <x v="3"/>
    <n v="3"/>
    <s v="Dr. Patel"/>
    <n v="20082"/>
    <s v="MedB"/>
    <s v="No"/>
    <x v="0"/>
    <d v="2023-07-07T00:00:00"/>
    <d v="2023-08-07T09:00:00"/>
    <x v="0"/>
    <s v="Accepted"/>
    <s v="Morning"/>
    <n v="9"/>
    <n v="8"/>
    <s v="Plan A"/>
  </r>
  <r>
    <x v="676"/>
    <n v="82"/>
    <x v="4"/>
    <x v="219"/>
    <x v="1"/>
    <x v="190"/>
    <x v="12"/>
    <x v="1"/>
    <n v="2"/>
    <s v="Dr. Patel"/>
    <n v="47861"/>
    <s v="MedC"/>
    <s v="No"/>
    <x v="0"/>
    <s v="18-02-23 0:00"/>
    <s v="18-02-23 13:00"/>
    <x v="1"/>
    <s v="Accepted"/>
    <s v="Morning"/>
    <n v="7"/>
    <n v="10"/>
    <s v="Plan A"/>
  </r>
  <r>
    <x v="677"/>
    <n v="69"/>
    <x v="0"/>
    <x v="336"/>
    <x v="1"/>
    <x v="383"/>
    <x v="5"/>
    <x v="5"/>
    <n v="3"/>
    <s v="Dr. Mehta"/>
    <n v="35677"/>
    <s v="MedC"/>
    <s v="Yes"/>
    <x v="0"/>
    <s v="13-09-23 0:00"/>
    <s v="15-09-23 0:00"/>
    <x v="2"/>
    <s v="Accepted"/>
    <s v="Morning"/>
    <n v="4"/>
    <n v="10"/>
    <s v="Plan C"/>
  </r>
  <r>
    <x v="678"/>
    <n v="47"/>
    <x v="4"/>
    <x v="388"/>
    <x v="1"/>
    <x v="109"/>
    <x v="14"/>
    <x v="1"/>
    <n v="5"/>
    <s v="Dr. Mehta"/>
    <n v="25874"/>
    <s v="MedE"/>
    <s v="Yes"/>
    <x v="0"/>
    <s v="30-04-24 0:00"/>
    <d v="2024-01-05T02:00:00"/>
    <x v="3"/>
    <s v="Rejected"/>
    <s v="Afternoon"/>
    <n v="5"/>
    <n v="10"/>
    <s v="Plan B"/>
  </r>
  <r>
    <x v="679"/>
    <n v="25"/>
    <x v="4"/>
    <x v="389"/>
    <x v="1"/>
    <x v="384"/>
    <x v="11"/>
    <x v="0"/>
    <n v="4"/>
    <s v="Dr. Patel"/>
    <n v="13378"/>
    <s v="MedC"/>
    <s v="No"/>
    <x v="0"/>
    <s v="26-04-23 0:00"/>
    <s v="26-04-23 19:00"/>
    <x v="1"/>
    <s v="Rejected"/>
    <s v="Afternoon"/>
    <n v="4"/>
    <n v="8"/>
    <s v="Plan A"/>
  </r>
  <r>
    <x v="680"/>
    <n v="66"/>
    <x v="5"/>
    <x v="390"/>
    <x v="1"/>
    <x v="119"/>
    <x v="14"/>
    <x v="3"/>
    <n v="2"/>
    <s v="Dr. Patel"/>
    <n v="6597"/>
    <s v="MedD"/>
    <s v="Yes"/>
    <x v="0"/>
    <d v="2023-03-03T00:00:00"/>
    <d v="2023-04-03T18:00:00"/>
    <x v="2"/>
    <s v="Accepted"/>
    <s v="Morning"/>
    <n v="11"/>
    <n v="10"/>
    <s v="Plan B"/>
  </r>
  <r>
    <x v="681"/>
    <n v="10"/>
    <x v="3"/>
    <x v="65"/>
    <x v="1"/>
    <x v="172"/>
    <x v="6"/>
    <x v="0"/>
    <n v="1"/>
    <s v="Dr. Gupta"/>
    <n v="16600"/>
    <s v="MedC"/>
    <s v="No"/>
    <x v="1"/>
    <s v="14-02-24 0:00"/>
    <s v="14-02-24 4:00"/>
    <x v="1"/>
    <s v="Accepted"/>
    <s v="Morning"/>
    <n v="7"/>
    <n v="12"/>
    <s v="Plan C"/>
  </r>
  <r>
    <x v="682"/>
    <n v="56"/>
    <x v="2"/>
    <x v="391"/>
    <x v="1"/>
    <x v="319"/>
    <x v="7"/>
    <x v="4"/>
    <n v="1"/>
    <s v="Dr. Patel"/>
    <n v="8747"/>
    <s v="MedB"/>
    <s v="Yes"/>
    <x v="0"/>
    <s v="18-05-24 0:00"/>
    <s v="18-05-24 16:00"/>
    <x v="1"/>
    <s v="Accepted"/>
    <s v="Afternoon"/>
    <n v="10"/>
    <n v="8"/>
    <s v="Plan C"/>
  </r>
  <r>
    <x v="683"/>
    <n v="30"/>
    <x v="0"/>
    <x v="202"/>
    <x v="1"/>
    <x v="56"/>
    <x v="9"/>
    <x v="1"/>
    <n v="3"/>
    <s v="Dr. Gupta"/>
    <n v="18879"/>
    <s v="MedC"/>
    <s v="No"/>
    <x v="0"/>
    <s v="17-03-23 0:00"/>
    <s v="18-03-23 8:00"/>
    <x v="4"/>
    <s v="Accepted"/>
    <s v="Night"/>
    <n v="9"/>
    <n v="10"/>
    <s v="Plan A"/>
  </r>
  <r>
    <x v="684"/>
    <n v="5"/>
    <x v="4"/>
    <x v="392"/>
    <x v="1"/>
    <x v="385"/>
    <x v="7"/>
    <x v="1"/>
    <n v="4"/>
    <s v="Dr. Rao"/>
    <n v="18017"/>
    <s v="MedA"/>
    <s v="Yes"/>
    <x v="1"/>
    <s v="22-02-23 0:00"/>
    <s v="23-02-23 1:00"/>
    <x v="0"/>
    <s v="Accepted"/>
    <s v="Morning"/>
    <n v="8"/>
    <n v="12"/>
    <s v="Plan C"/>
  </r>
  <r>
    <x v="685"/>
    <n v="33"/>
    <x v="0"/>
    <x v="393"/>
    <x v="1"/>
    <x v="74"/>
    <x v="5"/>
    <x v="2"/>
    <n v="1"/>
    <s v="Dr. Mehta"/>
    <n v="29815"/>
    <s v="MedB"/>
    <s v="Yes"/>
    <x v="0"/>
    <d v="2023-02-06T00:00:00"/>
    <d v="2023-02-06T08:00:00"/>
    <x v="3"/>
    <s v="Rejected"/>
    <s v="Morning"/>
    <n v="10"/>
    <n v="12"/>
    <s v="Plan B"/>
  </r>
  <r>
    <x v="686"/>
    <n v="65"/>
    <x v="3"/>
    <x v="227"/>
    <x v="1"/>
    <x v="298"/>
    <x v="14"/>
    <x v="3"/>
    <n v="3"/>
    <s v="Dr. Patel"/>
    <n v="23964"/>
    <s v="MedA"/>
    <s v="No"/>
    <x v="1"/>
    <s v="28-05-23 0:00"/>
    <s v="28-05-23 16:00"/>
    <x v="2"/>
    <s v="Accepted"/>
    <s v="Morning"/>
    <n v="11"/>
    <n v="10"/>
    <s v="Plan A"/>
  </r>
  <r>
    <x v="687"/>
    <n v="18"/>
    <x v="2"/>
    <x v="274"/>
    <x v="1"/>
    <x v="113"/>
    <x v="14"/>
    <x v="4"/>
    <n v="5"/>
    <s v="Dr. Mehta"/>
    <n v="33812"/>
    <s v="MedB"/>
    <s v="No"/>
    <x v="0"/>
    <d v="2023-03-11T00:00:00"/>
    <d v="2023-04-11T08:00:00"/>
    <x v="1"/>
    <s v="Accepted"/>
    <s v="Afternoon"/>
    <n v="11"/>
    <n v="12"/>
    <s v="Plan A"/>
  </r>
  <r>
    <x v="688"/>
    <n v="49"/>
    <x v="3"/>
    <x v="114"/>
    <x v="1"/>
    <x v="117"/>
    <x v="6"/>
    <x v="1"/>
    <n v="3"/>
    <s v="Dr. Mehta"/>
    <n v="45200"/>
    <s v="MedD"/>
    <s v="No"/>
    <x v="0"/>
    <s v="25-03-23 0:00"/>
    <s v="26-03-23 17:00"/>
    <x v="3"/>
    <s v="Accepted"/>
    <s v="Morning"/>
    <n v="10"/>
    <n v="8"/>
    <s v="Plan B"/>
  </r>
  <r>
    <x v="689"/>
    <n v="11"/>
    <x v="2"/>
    <x v="159"/>
    <x v="1"/>
    <x v="386"/>
    <x v="8"/>
    <x v="1"/>
    <n v="3"/>
    <s v="Dr. Mehta"/>
    <n v="29714"/>
    <s v="MedD"/>
    <s v="Yes"/>
    <x v="0"/>
    <d v="2023-09-09T00:00:00"/>
    <d v="2023-10-09T15:00:00"/>
    <x v="1"/>
    <s v="Accepted"/>
    <s v="Morning"/>
    <n v="8"/>
    <n v="8"/>
    <s v="Plan A"/>
  </r>
  <r>
    <x v="690"/>
    <n v="85"/>
    <x v="1"/>
    <x v="394"/>
    <x v="1"/>
    <x v="387"/>
    <x v="13"/>
    <x v="4"/>
    <n v="3"/>
    <s v="Dr. Rao"/>
    <n v="23890"/>
    <s v="MedD"/>
    <s v="Yes"/>
    <x v="1"/>
    <s v="28-04-23 0:00"/>
    <s v="28-04-23 5:00"/>
    <x v="0"/>
    <s v="Rejected"/>
    <s v="Morning"/>
    <n v="11"/>
    <n v="12"/>
    <s v="Plan A"/>
  </r>
  <r>
    <x v="691"/>
    <n v="26"/>
    <x v="2"/>
    <x v="395"/>
    <x v="1"/>
    <x v="388"/>
    <x v="7"/>
    <x v="0"/>
    <n v="2"/>
    <s v="Dr. Sharma"/>
    <n v="9725"/>
    <s v="MedA"/>
    <s v="Yes"/>
    <x v="1"/>
    <s v="28-02-24 0:00"/>
    <s v="29-02-24 10:00"/>
    <x v="3"/>
    <s v="Accepted"/>
    <s v="Morning"/>
    <n v="11"/>
    <n v="8"/>
    <s v="Plan B"/>
  </r>
  <r>
    <x v="692"/>
    <n v="63"/>
    <x v="5"/>
    <x v="396"/>
    <x v="1"/>
    <x v="17"/>
    <x v="10"/>
    <x v="0"/>
    <n v="3"/>
    <s v="Dr. Patel"/>
    <n v="48205"/>
    <s v="MedE"/>
    <s v="No"/>
    <x v="1"/>
    <s v="19-08-23 0:00"/>
    <s v="19-08-23 1:00"/>
    <x v="2"/>
    <s v="Accepted"/>
    <s v="Morning"/>
    <n v="5"/>
    <n v="10"/>
    <s v="Plan A"/>
  </r>
  <r>
    <x v="693"/>
    <n v="89"/>
    <x v="3"/>
    <x v="192"/>
    <x v="1"/>
    <x v="259"/>
    <x v="0"/>
    <x v="3"/>
    <n v="3"/>
    <s v="Dr. Sharma"/>
    <n v="25684"/>
    <s v="MedB"/>
    <s v="Yes"/>
    <x v="0"/>
    <s v="18-06-24 0:00"/>
    <s v="19-06-24 0:00"/>
    <x v="1"/>
    <s v="Accepted"/>
    <s v="Night"/>
    <n v="6"/>
    <n v="12"/>
    <s v="Plan A"/>
  </r>
  <r>
    <x v="694"/>
    <n v="86"/>
    <x v="4"/>
    <x v="28"/>
    <x v="1"/>
    <x v="389"/>
    <x v="12"/>
    <x v="2"/>
    <n v="2"/>
    <s v="Dr. Sharma"/>
    <n v="31325"/>
    <s v="MedD"/>
    <s v="Yes"/>
    <x v="0"/>
    <s v="22-01-24 0:00"/>
    <s v="22-01-24 21:00"/>
    <x v="0"/>
    <s v="Accepted"/>
    <s v="Night"/>
    <n v="11"/>
    <n v="8"/>
    <s v="Plan B"/>
  </r>
  <r>
    <x v="695"/>
    <n v="59"/>
    <x v="1"/>
    <x v="359"/>
    <x v="1"/>
    <x v="50"/>
    <x v="6"/>
    <x v="1"/>
    <n v="2"/>
    <s v="Dr. Sharma"/>
    <n v="37542"/>
    <s v="MedB"/>
    <s v="Yes"/>
    <x v="0"/>
    <d v="2024-04-04T00:00:00"/>
    <d v="2024-04-04T09:00:00"/>
    <x v="3"/>
    <s v="Accepted"/>
    <s v="Morning"/>
    <n v="4"/>
    <n v="10"/>
    <s v="Plan C"/>
  </r>
  <r>
    <x v="696"/>
    <n v="27"/>
    <x v="5"/>
    <x v="164"/>
    <x v="1"/>
    <x v="390"/>
    <x v="6"/>
    <x v="2"/>
    <n v="5"/>
    <s v="Dr. Mehta"/>
    <n v="18092"/>
    <s v="MedA"/>
    <s v="Yes"/>
    <x v="0"/>
    <s v="28-03-24 0:00"/>
    <s v="29-03-24 1:00"/>
    <x v="1"/>
    <s v="Accepted"/>
    <s v="Morning"/>
    <n v="5"/>
    <n v="10"/>
    <s v="Plan B"/>
  </r>
  <r>
    <x v="697"/>
    <n v="49"/>
    <x v="0"/>
    <x v="397"/>
    <x v="1"/>
    <x v="104"/>
    <x v="14"/>
    <x v="0"/>
    <n v="4"/>
    <s v="Dr. Gupta"/>
    <n v="35382"/>
    <s v="MedE"/>
    <s v="No"/>
    <x v="0"/>
    <s v="30-10-23 0:00"/>
    <s v="31-10-23 13:00"/>
    <x v="1"/>
    <s v="Accepted"/>
    <s v="Morning"/>
    <n v="6"/>
    <n v="8"/>
    <s v="Plan A"/>
  </r>
  <r>
    <x v="698"/>
    <n v="77"/>
    <x v="3"/>
    <x v="398"/>
    <x v="1"/>
    <x v="22"/>
    <x v="5"/>
    <x v="0"/>
    <n v="1"/>
    <s v="Dr. Mehta"/>
    <n v="44770"/>
    <s v="MedA"/>
    <s v="Yes"/>
    <x v="0"/>
    <s v="14-03-24 0:00"/>
    <s v="15-03-24 3:00"/>
    <x v="2"/>
    <s v="Accepted"/>
    <s v="Morning"/>
    <n v="4"/>
    <n v="12"/>
    <s v="Plan B"/>
  </r>
  <r>
    <x v="699"/>
    <n v="33"/>
    <x v="4"/>
    <x v="249"/>
    <x v="1"/>
    <x v="391"/>
    <x v="14"/>
    <x v="5"/>
    <n v="1"/>
    <s v="Dr. Mehta"/>
    <n v="30457"/>
    <s v="MedB"/>
    <s v="Yes"/>
    <x v="0"/>
    <d v="2023-04-11T00:00:00"/>
    <d v="2023-05-11T00:00:00"/>
    <x v="0"/>
    <s v="Accepted"/>
    <s v="Afternoon"/>
    <n v="7"/>
    <n v="10"/>
    <s v="Plan A"/>
  </r>
  <r>
    <x v="700"/>
    <n v="1"/>
    <x v="2"/>
    <x v="399"/>
    <x v="1"/>
    <x v="378"/>
    <x v="1"/>
    <x v="3"/>
    <n v="3"/>
    <s v="Dr. Sharma"/>
    <n v="11131"/>
    <s v="MedE"/>
    <s v="Yes"/>
    <x v="0"/>
    <d v="2023-03-03T00:00:00"/>
    <d v="2023-04-03T11:00:00"/>
    <x v="4"/>
    <s v="Accepted"/>
    <s v="Afternoon"/>
    <n v="10"/>
    <n v="10"/>
    <s v="Plan A"/>
  </r>
  <r>
    <x v="701"/>
    <n v="21"/>
    <x v="4"/>
    <x v="400"/>
    <x v="1"/>
    <x v="10"/>
    <x v="9"/>
    <x v="5"/>
    <n v="5"/>
    <s v="Dr. Mehta"/>
    <n v="30215"/>
    <s v="MedE"/>
    <s v="Yes"/>
    <x v="0"/>
    <d v="2023-12-04T00:00:00"/>
    <s v="13-04-23 20:00"/>
    <x v="1"/>
    <s v="Accepted"/>
    <s v="Afternoon"/>
    <n v="10"/>
    <n v="10"/>
    <s v="Plan B"/>
  </r>
  <r>
    <x v="702"/>
    <n v="55"/>
    <x v="0"/>
    <x v="401"/>
    <x v="1"/>
    <x v="71"/>
    <x v="9"/>
    <x v="5"/>
    <n v="3"/>
    <s v="Dr. Sharma"/>
    <n v="17612"/>
    <s v="MedA"/>
    <s v="Yes"/>
    <x v="1"/>
    <s v="27-07-23 0:00"/>
    <s v="27-07-23 12:00"/>
    <x v="3"/>
    <s v="Accepted"/>
    <s v="Night"/>
    <n v="8"/>
    <n v="10"/>
    <s v="Plan A"/>
  </r>
  <r>
    <x v="703"/>
    <n v="6"/>
    <x v="1"/>
    <x v="68"/>
    <x v="1"/>
    <x v="126"/>
    <x v="1"/>
    <x v="5"/>
    <n v="1"/>
    <s v="Dr. Gupta"/>
    <n v="42305"/>
    <s v="MedD"/>
    <s v="Yes"/>
    <x v="1"/>
    <d v="2023-02-08T00:00:00"/>
    <d v="2023-03-08T07:00:00"/>
    <x v="2"/>
    <s v="Accepted"/>
    <s v="Morning"/>
    <n v="6"/>
    <n v="12"/>
    <s v="Plan C"/>
  </r>
  <r>
    <x v="704"/>
    <n v="81"/>
    <x v="1"/>
    <x v="32"/>
    <x v="1"/>
    <x v="392"/>
    <x v="3"/>
    <x v="3"/>
    <n v="2"/>
    <s v="Dr. Patel"/>
    <n v="18091"/>
    <s v="MedB"/>
    <s v="No"/>
    <x v="0"/>
    <s v="24-09-23 0:00"/>
    <s v="24-09-23 5:00"/>
    <x v="2"/>
    <s v="Rejected"/>
    <s v="Afternoon"/>
    <n v="4"/>
    <n v="8"/>
    <s v="Plan A"/>
  </r>
  <r>
    <x v="705"/>
    <n v="69"/>
    <x v="3"/>
    <x v="191"/>
    <x v="1"/>
    <x v="7"/>
    <x v="13"/>
    <x v="3"/>
    <n v="4"/>
    <s v="Dr. Sharma"/>
    <n v="40103"/>
    <s v="MedC"/>
    <s v="Yes"/>
    <x v="1"/>
    <s v="25-03-23 0:00"/>
    <s v="25-03-23 2:00"/>
    <x v="1"/>
    <s v="Accepted"/>
    <s v="Morning"/>
    <n v="11"/>
    <n v="8"/>
    <s v="Plan B"/>
  </r>
  <r>
    <x v="706"/>
    <n v="5"/>
    <x v="1"/>
    <x v="402"/>
    <x v="1"/>
    <x v="100"/>
    <x v="7"/>
    <x v="4"/>
    <n v="5"/>
    <s v="Dr. Gupta"/>
    <n v="42089"/>
    <s v="MedC"/>
    <s v="Yes"/>
    <x v="0"/>
    <d v="2023-09-06T00:00:00"/>
    <d v="2023-10-06T14:00:00"/>
    <x v="1"/>
    <s v="Accepted"/>
    <s v="Morning"/>
    <n v="5"/>
    <n v="8"/>
    <s v="Plan C"/>
  </r>
  <r>
    <x v="707"/>
    <n v="3"/>
    <x v="3"/>
    <x v="111"/>
    <x v="1"/>
    <x v="92"/>
    <x v="14"/>
    <x v="2"/>
    <n v="2"/>
    <s v="Dr. Patel"/>
    <n v="34759"/>
    <s v="MedA"/>
    <s v="Yes"/>
    <x v="0"/>
    <d v="2023-02-09T00:00:00"/>
    <d v="2023-02-09T05:00:00"/>
    <x v="1"/>
    <s v="Accepted"/>
    <s v="Night"/>
    <n v="4"/>
    <n v="10"/>
    <s v="Plan C"/>
  </r>
  <r>
    <x v="708"/>
    <n v="53"/>
    <x v="3"/>
    <x v="403"/>
    <x v="1"/>
    <x v="250"/>
    <x v="12"/>
    <x v="2"/>
    <n v="4"/>
    <s v="Dr. Rao"/>
    <n v="5559"/>
    <s v="MedB"/>
    <s v="No"/>
    <x v="0"/>
    <s v="27-06-23 0:00"/>
    <s v="27-06-23 1:00"/>
    <x v="4"/>
    <s v="Accepted"/>
    <s v="Night"/>
    <n v="5"/>
    <n v="12"/>
    <s v="Plan A"/>
  </r>
  <r>
    <x v="709"/>
    <n v="23"/>
    <x v="3"/>
    <x v="404"/>
    <x v="1"/>
    <x v="119"/>
    <x v="3"/>
    <x v="4"/>
    <n v="5"/>
    <s v="Dr. Sharma"/>
    <n v="5713"/>
    <s v="MedB"/>
    <s v="Yes"/>
    <x v="0"/>
    <s v="18-03-23 0:00"/>
    <s v="18-03-23 17:00"/>
    <x v="1"/>
    <s v="Accepted"/>
    <s v="Afternoon"/>
    <n v="10"/>
    <n v="8"/>
    <s v="Plan B"/>
  </r>
  <r>
    <x v="710"/>
    <n v="53"/>
    <x v="2"/>
    <x v="402"/>
    <x v="1"/>
    <x v="25"/>
    <x v="13"/>
    <x v="4"/>
    <n v="5"/>
    <s v="Dr. Sharma"/>
    <n v="42361"/>
    <s v="MedA"/>
    <s v="No"/>
    <x v="1"/>
    <d v="2023-06-06T00:00:00"/>
    <d v="2023-06-06T14:00:00"/>
    <x v="0"/>
    <s v="Accepted"/>
    <s v="Afternoon"/>
    <n v="8"/>
    <n v="12"/>
    <s v="Plan A"/>
  </r>
  <r>
    <x v="711"/>
    <n v="37"/>
    <x v="5"/>
    <x v="172"/>
    <x v="1"/>
    <x v="271"/>
    <x v="5"/>
    <x v="0"/>
    <n v="1"/>
    <s v="Dr. Rao"/>
    <n v="20184"/>
    <s v="MedB"/>
    <s v="Yes"/>
    <x v="0"/>
    <d v="2023-03-01T00:00:00"/>
    <d v="2023-03-01T03:00:00"/>
    <x v="3"/>
    <s v="Accepted"/>
    <s v="Night"/>
    <n v="11"/>
    <n v="8"/>
    <s v="Plan A"/>
  </r>
  <r>
    <x v="712"/>
    <n v="74"/>
    <x v="3"/>
    <x v="267"/>
    <x v="1"/>
    <x v="341"/>
    <x v="4"/>
    <x v="5"/>
    <n v="2"/>
    <s v="Dr. Rao"/>
    <n v="20261"/>
    <s v="MedD"/>
    <s v="No"/>
    <x v="0"/>
    <s v="20-02-24 0:00"/>
    <s v="20-02-24 4:00"/>
    <x v="1"/>
    <s v="Accepted"/>
    <s v="Night"/>
    <n v="8"/>
    <n v="10"/>
    <s v="Plan B"/>
  </r>
  <r>
    <x v="713"/>
    <n v="74"/>
    <x v="3"/>
    <x v="359"/>
    <x v="1"/>
    <x v="286"/>
    <x v="0"/>
    <x v="4"/>
    <n v="5"/>
    <s v="Dr. Sharma"/>
    <n v="25372"/>
    <s v="MedA"/>
    <s v="Yes"/>
    <x v="0"/>
    <d v="2024-02-04T00:00:00"/>
    <d v="2024-03-04T02:00:00"/>
    <x v="4"/>
    <s v="Accepted"/>
    <s v="Morning"/>
    <n v="4"/>
    <n v="8"/>
    <s v="Plan B"/>
  </r>
  <r>
    <x v="714"/>
    <n v="83"/>
    <x v="5"/>
    <x v="244"/>
    <x v="1"/>
    <x v="393"/>
    <x v="6"/>
    <x v="1"/>
    <n v="5"/>
    <s v="Dr. Rao"/>
    <n v="37140"/>
    <s v="MedD"/>
    <s v="No"/>
    <x v="0"/>
    <s v="21-04-24 0:00"/>
    <s v="22-04-24 9:00"/>
    <x v="3"/>
    <s v="Accepted"/>
    <s v="Morning"/>
    <n v="4"/>
    <n v="10"/>
    <s v="Plan A"/>
  </r>
  <r>
    <x v="715"/>
    <n v="17"/>
    <x v="4"/>
    <x v="405"/>
    <x v="1"/>
    <x v="375"/>
    <x v="13"/>
    <x v="2"/>
    <n v="4"/>
    <s v="Dr. Mehta"/>
    <n v="38024"/>
    <s v="MedB"/>
    <s v="Yes"/>
    <x v="0"/>
    <s v="21-10-23 0:00"/>
    <s v="21-10-23 19:00"/>
    <x v="2"/>
    <s v="Accepted"/>
    <s v="Afternoon"/>
    <n v="5"/>
    <n v="10"/>
    <s v="Plan C"/>
  </r>
  <r>
    <x v="716"/>
    <n v="85"/>
    <x v="3"/>
    <x v="406"/>
    <x v="1"/>
    <x v="394"/>
    <x v="10"/>
    <x v="4"/>
    <n v="1"/>
    <s v="Dr. Patel"/>
    <n v="37544"/>
    <s v="MedA"/>
    <s v="Yes"/>
    <x v="0"/>
    <d v="2023-03-02T00:00:00"/>
    <d v="2023-04-02T17:00:00"/>
    <x v="1"/>
    <s v="Accepted"/>
    <s v="Afternoon"/>
    <n v="5"/>
    <n v="8"/>
    <s v="Plan A"/>
  </r>
  <r>
    <x v="717"/>
    <n v="78"/>
    <x v="2"/>
    <x v="407"/>
    <x v="1"/>
    <x v="114"/>
    <x v="9"/>
    <x v="1"/>
    <n v="3"/>
    <s v="Dr. Patel"/>
    <n v="5037"/>
    <s v="MedB"/>
    <s v="No"/>
    <x v="0"/>
    <s v="25-08-23 0:00"/>
    <s v="26-08-23 22:00"/>
    <x v="3"/>
    <s v="Accepted"/>
    <s v="Night"/>
    <n v="6"/>
    <n v="12"/>
    <s v="Plan C"/>
  </r>
  <r>
    <x v="718"/>
    <n v="73"/>
    <x v="1"/>
    <x v="408"/>
    <x v="1"/>
    <x v="395"/>
    <x v="8"/>
    <x v="1"/>
    <n v="1"/>
    <s v="Dr. Patel"/>
    <n v="48032"/>
    <s v="MedA"/>
    <s v="Yes"/>
    <x v="1"/>
    <s v="18-10-23 0:00"/>
    <s v="19-10-23 9:00"/>
    <x v="2"/>
    <s v="Accepted"/>
    <s v="Afternoon"/>
    <n v="10"/>
    <n v="10"/>
    <s v="Plan A"/>
  </r>
  <r>
    <x v="719"/>
    <n v="1"/>
    <x v="1"/>
    <x v="377"/>
    <x v="1"/>
    <x v="49"/>
    <x v="2"/>
    <x v="1"/>
    <n v="3"/>
    <s v="Dr. Mehta"/>
    <n v="17697"/>
    <s v="MedB"/>
    <s v="No"/>
    <x v="0"/>
    <s v="17-10-23 0:00"/>
    <s v="18-10-23 3:00"/>
    <x v="4"/>
    <s v="Rejected"/>
    <s v="Morning"/>
    <n v="6"/>
    <n v="12"/>
    <s v="Plan B"/>
  </r>
  <r>
    <x v="720"/>
    <n v="51"/>
    <x v="0"/>
    <x v="47"/>
    <x v="1"/>
    <x v="35"/>
    <x v="11"/>
    <x v="0"/>
    <n v="2"/>
    <s v="Dr. Rao"/>
    <n v="46420"/>
    <s v="MedD"/>
    <s v="Yes"/>
    <x v="0"/>
    <d v="2024-06-04T00:00:00"/>
    <d v="2024-07-04T04:00:00"/>
    <x v="0"/>
    <s v="Accepted"/>
    <s v="Night"/>
    <n v="6"/>
    <n v="8"/>
    <s v="Plan C"/>
  </r>
  <r>
    <x v="721"/>
    <n v="45"/>
    <x v="0"/>
    <x v="135"/>
    <x v="1"/>
    <x v="199"/>
    <x v="13"/>
    <x v="0"/>
    <n v="2"/>
    <s v="Dr. Gupta"/>
    <n v="36707"/>
    <s v="MedD"/>
    <s v="No"/>
    <x v="0"/>
    <d v="2023-11-03T00:00:00"/>
    <d v="2023-12-03T21:00:00"/>
    <x v="1"/>
    <s v="Accepted"/>
    <s v="Morning"/>
    <n v="4"/>
    <n v="10"/>
    <s v="Plan B"/>
  </r>
  <r>
    <x v="722"/>
    <n v="77"/>
    <x v="1"/>
    <x v="409"/>
    <x v="1"/>
    <x v="396"/>
    <x v="9"/>
    <x v="1"/>
    <n v="5"/>
    <s v="Dr. Rao"/>
    <n v="31016"/>
    <s v="MedB"/>
    <s v="No"/>
    <x v="0"/>
    <s v="27-08-23 0:00"/>
    <s v="28-08-23 2:00"/>
    <x v="0"/>
    <s v="Accepted"/>
    <s v="Night"/>
    <n v="9"/>
    <n v="12"/>
    <s v="Plan B"/>
  </r>
  <r>
    <x v="723"/>
    <n v="4"/>
    <x v="1"/>
    <x v="32"/>
    <x v="1"/>
    <x v="181"/>
    <x v="13"/>
    <x v="0"/>
    <n v="2"/>
    <s v="Dr. Sharma"/>
    <n v="39600"/>
    <s v="MedA"/>
    <s v="No"/>
    <x v="0"/>
    <s v="24-09-23 0:00"/>
    <s v="24-09-23 6:00"/>
    <x v="4"/>
    <s v="Accepted"/>
    <s v="Night"/>
    <n v="9"/>
    <n v="10"/>
    <s v="Plan B"/>
  </r>
  <r>
    <x v="724"/>
    <n v="62"/>
    <x v="2"/>
    <x v="410"/>
    <x v="1"/>
    <x v="367"/>
    <x v="2"/>
    <x v="5"/>
    <n v="5"/>
    <s v="Dr. Patel"/>
    <n v="28984"/>
    <s v="MedC"/>
    <s v="No"/>
    <x v="0"/>
    <s v="21-07-23 0:00"/>
    <s v="22-07-23 17:00"/>
    <x v="3"/>
    <s v="Accepted"/>
    <s v="Morning"/>
    <n v="9"/>
    <n v="8"/>
    <s v="Plan B"/>
  </r>
  <r>
    <x v="725"/>
    <n v="65"/>
    <x v="5"/>
    <x v="293"/>
    <x v="1"/>
    <x v="16"/>
    <x v="5"/>
    <x v="1"/>
    <n v="1"/>
    <s v="Dr. Rao"/>
    <n v="10167"/>
    <s v="MedD"/>
    <s v="No"/>
    <x v="0"/>
    <d v="2024-11-03T00:00:00"/>
    <d v="2024-12-03T11:00:00"/>
    <x v="3"/>
    <s v="Accepted"/>
    <s v="Afternoon"/>
    <n v="9"/>
    <n v="10"/>
    <s v="Plan B"/>
  </r>
  <r>
    <x v="726"/>
    <n v="32"/>
    <x v="0"/>
    <x v="93"/>
    <x v="1"/>
    <x v="243"/>
    <x v="2"/>
    <x v="5"/>
    <n v="2"/>
    <s v="Dr. Gupta"/>
    <n v="5432"/>
    <s v="MedD"/>
    <s v="No"/>
    <x v="1"/>
    <s v="27-04-23 0:00"/>
    <s v="28-04-23 11:00"/>
    <x v="4"/>
    <s v="Accepted"/>
    <s v="Afternoon"/>
    <n v="6"/>
    <n v="8"/>
    <s v="Plan A"/>
  </r>
  <r>
    <x v="727"/>
    <n v="34"/>
    <x v="5"/>
    <x v="130"/>
    <x v="1"/>
    <x v="397"/>
    <x v="14"/>
    <x v="5"/>
    <n v="1"/>
    <s v="Dr. Sharma"/>
    <n v="9151"/>
    <s v="MedC"/>
    <s v="Yes"/>
    <x v="0"/>
    <s v="15-08-23 0:00"/>
    <s v="16-08-23 16:00"/>
    <x v="4"/>
    <s v="Accepted"/>
    <s v="Afternoon"/>
    <n v="4"/>
    <n v="12"/>
    <s v="Plan C"/>
  </r>
  <r>
    <x v="728"/>
    <n v="72"/>
    <x v="2"/>
    <x v="227"/>
    <x v="1"/>
    <x v="398"/>
    <x v="3"/>
    <x v="1"/>
    <n v="1"/>
    <s v="Dr. Mehta"/>
    <n v="11411"/>
    <s v="MedB"/>
    <s v="Yes"/>
    <x v="1"/>
    <s v="31-05-23 0:00"/>
    <s v="31-05-23 10:00"/>
    <x v="1"/>
    <s v="Accepted"/>
    <s v="Afternoon"/>
    <n v="9"/>
    <n v="10"/>
    <s v="Plan A"/>
  </r>
  <r>
    <x v="729"/>
    <n v="39"/>
    <x v="1"/>
    <x v="411"/>
    <x v="1"/>
    <x v="62"/>
    <x v="5"/>
    <x v="2"/>
    <n v="2"/>
    <s v="Dr. Mehta"/>
    <n v="35788"/>
    <s v="MedA"/>
    <s v="No"/>
    <x v="1"/>
    <s v="29-09-23 0:00"/>
    <s v="29-09-23 18:00"/>
    <x v="2"/>
    <s v="Rejected"/>
    <s v="Morning"/>
    <n v="11"/>
    <n v="12"/>
    <s v="Plan A"/>
  </r>
  <r>
    <x v="730"/>
    <n v="26"/>
    <x v="3"/>
    <x v="412"/>
    <x v="1"/>
    <x v="399"/>
    <x v="6"/>
    <x v="1"/>
    <n v="1"/>
    <s v="Dr. Gupta"/>
    <n v="31623"/>
    <s v="MedB"/>
    <s v="No"/>
    <x v="0"/>
    <s v="21-05-23 0:00"/>
    <s v="21-05-23 6:00"/>
    <x v="0"/>
    <s v="Accepted"/>
    <s v="Night"/>
    <n v="8"/>
    <n v="8"/>
    <s v="Plan A"/>
  </r>
  <r>
    <x v="731"/>
    <n v="34"/>
    <x v="5"/>
    <x v="54"/>
    <x v="1"/>
    <x v="38"/>
    <x v="8"/>
    <x v="1"/>
    <n v="2"/>
    <s v="Dr. Sharma"/>
    <n v="27104"/>
    <s v="MedE"/>
    <s v="No"/>
    <x v="0"/>
    <d v="2023-11-03T00:00:00"/>
    <d v="2023-11-03T20:00:00"/>
    <x v="0"/>
    <s v="Accepted"/>
    <s v="Morning"/>
    <n v="7"/>
    <n v="8"/>
    <s v="Plan B"/>
  </r>
  <r>
    <x v="732"/>
    <n v="54"/>
    <x v="1"/>
    <x v="399"/>
    <x v="1"/>
    <x v="400"/>
    <x v="9"/>
    <x v="0"/>
    <n v="2"/>
    <s v="Dr. Patel"/>
    <n v="5256"/>
    <s v="MedD"/>
    <s v="No"/>
    <x v="0"/>
    <d v="2023-01-03T00:00:00"/>
    <d v="2023-01-03T06:00:00"/>
    <x v="3"/>
    <s v="Accepted"/>
    <s v="Afternoon"/>
    <n v="8"/>
    <n v="12"/>
    <s v="Plan A"/>
  </r>
  <r>
    <x v="733"/>
    <n v="3"/>
    <x v="1"/>
    <x v="120"/>
    <x v="1"/>
    <x v="401"/>
    <x v="3"/>
    <x v="1"/>
    <n v="2"/>
    <s v="Dr. Rao"/>
    <n v="38439"/>
    <s v="MedE"/>
    <s v="No"/>
    <x v="1"/>
    <s v="15-06-23 0:00"/>
    <s v="16-06-23 9:00"/>
    <x v="3"/>
    <s v="Rejected"/>
    <s v="Afternoon"/>
    <n v="4"/>
    <n v="12"/>
    <s v="Plan C"/>
  </r>
  <r>
    <x v="734"/>
    <n v="50"/>
    <x v="4"/>
    <x v="110"/>
    <x v="1"/>
    <x v="296"/>
    <x v="13"/>
    <x v="2"/>
    <n v="3"/>
    <s v="Dr. Sharma"/>
    <n v="38257"/>
    <s v="MedD"/>
    <s v="Yes"/>
    <x v="0"/>
    <d v="2023-07-11T00:00:00"/>
    <d v="2023-07-11T14:00:00"/>
    <x v="1"/>
    <s v="Accepted"/>
    <s v="Morning"/>
    <n v="4"/>
    <n v="8"/>
    <s v="Plan A"/>
  </r>
  <r>
    <x v="735"/>
    <n v="12"/>
    <x v="5"/>
    <x v="408"/>
    <x v="1"/>
    <x v="369"/>
    <x v="1"/>
    <x v="0"/>
    <n v="1"/>
    <s v="Dr. Mehta"/>
    <n v="44657"/>
    <s v="MedD"/>
    <s v="Yes"/>
    <x v="0"/>
    <s v="18-10-23 0:00"/>
    <s v="18-10-23 10:00"/>
    <x v="4"/>
    <s v="Accepted"/>
    <s v="Night"/>
    <n v="7"/>
    <n v="12"/>
    <s v="Plan B"/>
  </r>
  <r>
    <x v="736"/>
    <n v="65"/>
    <x v="3"/>
    <x v="413"/>
    <x v="1"/>
    <x v="78"/>
    <x v="2"/>
    <x v="3"/>
    <n v="4"/>
    <s v="Dr. Gupta"/>
    <n v="49674"/>
    <s v="MedE"/>
    <s v="Yes"/>
    <x v="0"/>
    <s v="23-03-24 0:00"/>
    <s v="24-03-24 11:00"/>
    <x v="0"/>
    <s v="Accepted"/>
    <s v="Morning"/>
    <n v="5"/>
    <n v="8"/>
    <s v="Plan C"/>
  </r>
  <r>
    <x v="737"/>
    <n v="54"/>
    <x v="5"/>
    <x v="35"/>
    <x v="1"/>
    <x v="402"/>
    <x v="8"/>
    <x v="3"/>
    <n v="2"/>
    <s v="Dr. Gupta"/>
    <n v="23066"/>
    <s v="MedE"/>
    <s v="Yes"/>
    <x v="0"/>
    <d v="2023-07-05T00:00:00"/>
    <d v="2023-07-05T21:00:00"/>
    <x v="1"/>
    <s v="Accepted"/>
    <s v="Morning"/>
    <n v="5"/>
    <n v="12"/>
    <s v="Plan C"/>
  </r>
  <r>
    <x v="738"/>
    <n v="5"/>
    <x v="1"/>
    <x v="90"/>
    <x v="1"/>
    <x v="60"/>
    <x v="7"/>
    <x v="5"/>
    <n v="1"/>
    <s v="Dr. Rao"/>
    <n v="37746"/>
    <s v="MedB"/>
    <s v="Yes"/>
    <x v="0"/>
    <s v="22-04-24 0:00"/>
    <s v="23-04-24 2:00"/>
    <x v="3"/>
    <s v="Rejected"/>
    <s v="Morning"/>
    <n v="11"/>
    <n v="8"/>
    <s v="Plan C"/>
  </r>
  <r>
    <x v="739"/>
    <n v="57"/>
    <x v="3"/>
    <x v="274"/>
    <x v="1"/>
    <x v="391"/>
    <x v="13"/>
    <x v="5"/>
    <n v="5"/>
    <s v="Dr. Gupta"/>
    <n v="7460"/>
    <s v="MedE"/>
    <s v="No"/>
    <x v="0"/>
    <d v="2023-07-11T00:00:00"/>
    <d v="2023-08-11T14:00:00"/>
    <x v="3"/>
    <s v="Accepted"/>
    <s v="Night"/>
    <n v="5"/>
    <n v="8"/>
    <s v="Plan C"/>
  </r>
  <r>
    <x v="740"/>
    <n v="17"/>
    <x v="2"/>
    <x v="156"/>
    <x v="1"/>
    <x v="157"/>
    <x v="6"/>
    <x v="2"/>
    <n v="2"/>
    <s v="Dr. Gupta"/>
    <n v="42297"/>
    <s v="MedB"/>
    <s v="No"/>
    <x v="0"/>
    <d v="2024-12-02T00:00:00"/>
    <s v="13-02-24 17:00"/>
    <x v="0"/>
    <s v="Accepted"/>
    <s v="Morning"/>
    <n v="6"/>
    <n v="10"/>
    <s v="Plan A"/>
  </r>
  <r>
    <x v="741"/>
    <n v="47"/>
    <x v="4"/>
    <x v="214"/>
    <x v="1"/>
    <x v="19"/>
    <x v="8"/>
    <x v="4"/>
    <n v="2"/>
    <s v="Dr. Sharma"/>
    <n v="39743"/>
    <s v="MedB"/>
    <s v="Yes"/>
    <x v="1"/>
    <d v="2023-02-10T00:00:00"/>
    <d v="2023-03-10T18:00:00"/>
    <x v="3"/>
    <s v="Accepted"/>
    <s v="Morning"/>
    <n v="5"/>
    <n v="8"/>
    <s v="Plan B"/>
  </r>
  <r>
    <x v="742"/>
    <n v="23"/>
    <x v="1"/>
    <x v="98"/>
    <x v="1"/>
    <x v="403"/>
    <x v="10"/>
    <x v="3"/>
    <n v="4"/>
    <s v="Dr. Patel"/>
    <n v="8216"/>
    <s v="MedB"/>
    <s v="Yes"/>
    <x v="0"/>
    <s v="26-05-24 0:00"/>
    <s v="27-05-24 20:00"/>
    <x v="3"/>
    <s v="Accepted"/>
    <s v="Afternoon"/>
    <n v="10"/>
    <n v="8"/>
    <s v="Plan C"/>
  </r>
  <r>
    <x v="743"/>
    <n v="79"/>
    <x v="0"/>
    <x v="82"/>
    <x v="1"/>
    <x v="221"/>
    <x v="8"/>
    <x v="5"/>
    <n v="3"/>
    <s v="Dr. Rao"/>
    <n v="19267"/>
    <s v="MedD"/>
    <s v="Yes"/>
    <x v="0"/>
    <s v="17-05-24 0:00"/>
    <s v="18-05-24 18:00"/>
    <x v="2"/>
    <s v="Accepted"/>
    <s v="Morning"/>
    <n v="6"/>
    <n v="10"/>
    <s v="Plan C"/>
  </r>
  <r>
    <x v="744"/>
    <n v="85"/>
    <x v="0"/>
    <x v="125"/>
    <x v="1"/>
    <x v="353"/>
    <x v="4"/>
    <x v="3"/>
    <n v="3"/>
    <s v="Dr. Sharma"/>
    <n v="14581"/>
    <s v="MedD"/>
    <s v="Yes"/>
    <x v="0"/>
    <s v="22-03-24 0:00"/>
    <s v="22-03-24 5:00"/>
    <x v="4"/>
    <s v="Accepted"/>
    <s v="Afternoon"/>
    <n v="6"/>
    <n v="10"/>
    <s v="Plan B"/>
  </r>
  <r>
    <x v="745"/>
    <n v="14"/>
    <x v="4"/>
    <x v="185"/>
    <x v="1"/>
    <x v="404"/>
    <x v="1"/>
    <x v="2"/>
    <n v="2"/>
    <s v="Dr. Patel"/>
    <n v="9515"/>
    <s v="MedE"/>
    <s v="Yes"/>
    <x v="1"/>
    <s v="22-03-23 0:00"/>
    <s v="22-03-23 20:00"/>
    <x v="3"/>
    <s v="Accepted"/>
    <s v="Afternoon"/>
    <n v="11"/>
    <n v="12"/>
    <s v="Plan A"/>
  </r>
  <r>
    <x v="746"/>
    <n v="66"/>
    <x v="2"/>
    <x v="190"/>
    <x v="1"/>
    <x v="229"/>
    <x v="4"/>
    <x v="2"/>
    <n v="1"/>
    <s v="Dr. Sharma"/>
    <n v="27076"/>
    <s v="MedD"/>
    <s v="Yes"/>
    <x v="0"/>
    <d v="2023-10-02T00:00:00"/>
    <d v="2023-11-02T21:00:00"/>
    <x v="2"/>
    <s v="Accepted"/>
    <s v="Afternoon"/>
    <n v="5"/>
    <n v="12"/>
    <s v="Plan C"/>
  </r>
  <r>
    <x v="747"/>
    <n v="75"/>
    <x v="1"/>
    <x v="414"/>
    <x v="1"/>
    <x v="353"/>
    <x v="1"/>
    <x v="4"/>
    <n v="5"/>
    <s v="Dr. Sharma"/>
    <n v="49816"/>
    <s v="MedE"/>
    <s v="Yes"/>
    <x v="0"/>
    <s v="14-03-24 0:00"/>
    <s v="15-03-24 4:00"/>
    <x v="1"/>
    <s v="Rejected"/>
    <s v="Night"/>
    <n v="5"/>
    <n v="8"/>
    <s v="Plan A"/>
  </r>
  <r>
    <x v="748"/>
    <n v="51"/>
    <x v="5"/>
    <x v="356"/>
    <x v="1"/>
    <x v="405"/>
    <x v="9"/>
    <x v="4"/>
    <n v="5"/>
    <s v="Dr. Gupta"/>
    <n v="14776"/>
    <s v="MedD"/>
    <s v="Yes"/>
    <x v="0"/>
    <s v="23-11-23 0:00"/>
    <s v="24-11-23 23:00"/>
    <x v="3"/>
    <s v="Accepted"/>
    <s v="Afternoon"/>
    <n v="11"/>
    <n v="12"/>
    <s v="Plan A"/>
  </r>
  <r>
    <x v="749"/>
    <n v="38"/>
    <x v="4"/>
    <x v="415"/>
    <x v="1"/>
    <x v="166"/>
    <x v="10"/>
    <x v="0"/>
    <n v="1"/>
    <s v="Dr. Patel"/>
    <n v="26947"/>
    <s v="MedA"/>
    <s v="No"/>
    <x v="1"/>
    <d v="2023-09-09T00:00:00"/>
    <d v="2023-09-09T16:00:00"/>
    <x v="1"/>
    <s v="Accepted"/>
    <s v="Morning"/>
    <n v="7"/>
    <n v="12"/>
    <s v="Plan A"/>
  </r>
  <r>
    <x v="750"/>
    <n v="64"/>
    <x v="2"/>
    <x v="346"/>
    <x v="1"/>
    <x v="406"/>
    <x v="7"/>
    <x v="2"/>
    <n v="2"/>
    <s v="Dr. Rao"/>
    <n v="7963"/>
    <s v="MedA"/>
    <s v="Yes"/>
    <x v="0"/>
    <s v="26-01-23 0:00"/>
    <s v="26-01-23 4:00"/>
    <x v="3"/>
    <s v="Accepted"/>
    <s v="Morning"/>
    <n v="9"/>
    <n v="8"/>
    <s v="Plan A"/>
  </r>
  <r>
    <x v="751"/>
    <n v="38"/>
    <x v="5"/>
    <x v="83"/>
    <x v="1"/>
    <x v="407"/>
    <x v="1"/>
    <x v="5"/>
    <n v="5"/>
    <s v="Dr. Rao"/>
    <n v="11786"/>
    <s v="MedE"/>
    <s v="Yes"/>
    <x v="0"/>
    <s v="30-03-23 0:00"/>
    <s v="30-03-23 16:00"/>
    <x v="0"/>
    <s v="Accepted"/>
    <s v="Afternoon"/>
    <n v="11"/>
    <n v="10"/>
    <s v="Plan C"/>
  </r>
  <r>
    <x v="752"/>
    <n v="50"/>
    <x v="0"/>
    <x v="63"/>
    <x v="1"/>
    <x v="408"/>
    <x v="2"/>
    <x v="3"/>
    <n v="3"/>
    <s v="Dr. Patel"/>
    <n v="18866"/>
    <s v="MedD"/>
    <s v="Yes"/>
    <x v="0"/>
    <s v="18-08-23 0:00"/>
    <s v="18-08-23 6:00"/>
    <x v="2"/>
    <s v="Accepted"/>
    <s v="Afternoon"/>
    <n v="7"/>
    <n v="10"/>
    <s v="Plan C"/>
  </r>
  <r>
    <x v="753"/>
    <n v="82"/>
    <x v="0"/>
    <x v="132"/>
    <x v="1"/>
    <x v="110"/>
    <x v="10"/>
    <x v="1"/>
    <n v="1"/>
    <s v="Dr. Gupta"/>
    <n v="43968"/>
    <s v="MedD"/>
    <s v="Yes"/>
    <x v="1"/>
    <s v="19-01-23 0:00"/>
    <s v="20-01-23 4:00"/>
    <x v="2"/>
    <s v="Accepted"/>
    <s v="Morning"/>
    <n v="6"/>
    <n v="8"/>
    <s v="Plan A"/>
  </r>
  <r>
    <x v="754"/>
    <n v="30"/>
    <x v="5"/>
    <x v="416"/>
    <x v="1"/>
    <x v="409"/>
    <x v="7"/>
    <x v="4"/>
    <n v="4"/>
    <s v="Dr. Mehta"/>
    <n v="37305"/>
    <s v="MedB"/>
    <s v="No"/>
    <x v="0"/>
    <s v="29-09-23 0:00"/>
    <s v="29-09-23 8:00"/>
    <x v="0"/>
    <s v="Accepted"/>
    <s v="Afternoon"/>
    <n v="7"/>
    <n v="8"/>
    <s v="Plan A"/>
  </r>
  <r>
    <x v="755"/>
    <n v="79"/>
    <x v="4"/>
    <x v="339"/>
    <x v="1"/>
    <x v="410"/>
    <x v="4"/>
    <x v="1"/>
    <n v="2"/>
    <s v="Dr. Sharma"/>
    <n v="22360"/>
    <s v="MedC"/>
    <s v="No"/>
    <x v="0"/>
    <d v="2023-08-02T00:00:00"/>
    <d v="2023-09-02T06:00:00"/>
    <x v="4"/>
    <s v="Accepted"/>
    <s v="Night"/>
    <n v="6"/>
    <n v="8"/>
    <s v="Plan B"/>
  </r>
  <r>
    <x v="756"/>
    <n v="51"/>
    <x v="0"/>
    <x v="417"/>
    <x v="1"/>
    <x v="270"/>
    <x v="10"/>
    <x v="5"/>
    <n v="1"/>
    <s v="Dr. Gupta"/>
    <n v="45113"/>
    <s v="MedE"/>
    <s v="Yes"/>
    <x v="1"/>
    <s v="29-06-23 0:00"/>
    <s v="30-06-23 16:00"/>
    <x v="2"/>
    <s v="Rejected"/>
    <s v="Afternoon"/>
    <n v="4"/>
    <n v="8"/>
    <s v="Plan B"/>
  </r>
  <r>
    <x v="757"/>
    <n v="63"/>
    <x v="1"/>
    <x v="244"/>
    <x v="1"/>
    <x v="277"/>
    <x v="8"/>
    <x v="4"/>
    <n v="5"/>
    <s v="Dr. Patel"/>
    <n v="37813"/>
    <s v="MedC"/>
    <s v="No"/>
    <x v="1"/>
    <s v="24-04-24 0:00"/>
    <s v="25-04-24 15:00"/>
    <x v="1"/>
    <s v="Accepted"/>
    <s v="Night"/>
    <n v="6"/>
    <n v="8"/>
    <s v="Plan B"/>
  </r>
  <r>
    <x v="758"/>
    <n v="52"/>
    <x v="3"/>
    <x v="418"/>
    <x v="1"/>
    <x v="411"/>
    <x v="2"/>
    <x v="1"/>
    <n v="2"/>
    <s v="Dr. Sharma"/>
    <n v="6193"/>
    <s v="MedC"/>
    <s v="Yes"/>
    <x v="0"/>
    <d v="2024-10-06T00:00:00"/>
    <d v="2024-10-06T04:00:00"/>
    <x v="2"/>
    <s v="Accepted"/>
    <s v="Night"/>
    <n v="6"/>
    <n v="8"/>
    <s v="Plan C"/>
  </r>
  <r>
    <x v="759"/>
    <n v="38"/>
    <x v="5"/>
    <x v="225"/>
    <x v="1"/>
    <x v="412"/>
    <x v="13"/>
    <x v="5"/>
    <n v="3"/>
    <s v="Dr. Rao"/>
    <n v="9512"/>
    <s v="MedE"/>
    <s v="No"/>
    <x v="1"/>
    <s v="23-03-24 0:00"/>
    <s v="23-03-24 20:00"/>
    <x v="4"/>
    <s v="Rejected"/>
    <s v="Night"/>
    <n v="7"/>
    <n v="12"/>
    <s v="Plan B"/>
  </r>
  <r>
    <x v="760"/>
    <n v="88"/>
    <x v="5"/>
    <x v="20"/>
    <x v="1"/>
    <x v="413"/>
    <x v="11"/>
    <x v="3"/>
    <n v="2"/>
    <s v="Dr. Mehta"/>
    <n v="27666"/>
    <s v="MedD"/>
    <s v="Yes"/>
    <x v="1"/>
    <d v="2023-09-10T00:00:00"/>
    <d v="2023-10-10T19:00:00"/>
    <x v="1"/>
    <s v="Accepted"/>
    <s v="Afternoon"/>
    <n v="9"/>
    <n v="12"/>
    <s v="Plan C"/>
  </r>
  <r>
    <x v="761"/>
    <n v="79"/>
    <x v="0"/>
    <x v="419"/>
    <x v="1"/>
    <x v="151"/>
    <x v="0"/>
    <x v="5"/>
    <n v="2"/>
    <s v="Dr. Rao"/>
    <n v="21630"/>
    <s v="MedE"/>
    <s v="Yes"/>
    <x v="0"/>
    <d v="2023-01-07T00:00:00"/>
    <d v="2023-03-07T00:00:00"/>
    <x v="1"/>
    <s v="Accepted"/>
    <s v="Night"/>
    <n v="4"/>
    <n v="12"/>
    <s v="Plan C"/>
  </r>
  <r>
    <x v="762"/>
    <n v="30"/>
    <x v="4"/>
    <x v="259"/>
    <x v="1"/>
    <x v="152"/>
    <x v="10"/>
    <x v="0"/>
    <n v="3"/>
    <s v="Dr. Patel"/>
    <n v="13983"/>
    <s v="MedC"/>
    <s v="No"/>
    <x v="0"/>
    <s v="20-03-24 0:00"/>
    <s v="21-03-24 19:00"/>
    <x v="0"/>
    <s v="Accepted"/>
    <s v="Night"/>
    <n v="8"/>
    <n v="10"/>
    <s v="Plan C"/>
  </r>
  <r>
    <x v="763"/>
    <n v="51"/>
    <x v="1"/>
    <x v="391"/>
    <x v="1"/>
    <x v="414"/>
    <x v="14"/>
    <x v="4"/>
    <n v="3"/>
    <s v="Dr. Sharma"/>
    <n v="5636"/>
    <s v="MedD"/>
    <s v="No"/>
    <x v="1"/>
    <s v="13-05-24 0:00"/>
    <s v="15-05-24 0:00"/>
    <x v="3"/>
    <s v="Accepted"/>
    <s v="Afternoon"/>
    <n v="8"/>
    <n v="8"/>
    <s v="Plan C"/>
  </r>
  <r>
    <x v="764"/>
    <n v="81"/>
    <x v="4"/>
    <x v="83"/>
    <x v="1"/>
    <x v="46"/>
    <x v="3"/>
    <x v="2"/>
    <n v="2"/>
    <s v="Dr. Patel"/>
    <n v="8775"/>
    <s v="MedA"/>
    <s v="No"/>
    <x v="0"/>
    <d v="2023-01-04T00:00:00"/>
    <d v="2023-01-04T12:00:00"/>
    <x v="0"/>
    <s v="Accepted"/>
    <s v="Night"/>
    <n v="9"/>
    <n v="8"/>
    <s v="Plan B"/>
  </r>
  <r>
    <x v="765"/>
    <n v="5"/>
    <x v="2"/>
    <x v="244"/>
    <x v="1"/>
    <x v="331"/>
    <x v="3"/>
    <x v="3"/>
    <n v="3"/>
    <s v="Dr. Sharma"/>
    <n v="7421"/>
    <s v="MedE"/>
    <s v="Yes"/>
    <x v="1"/>
    <s v="23-04-24 0:00"/>
    <s v="23-04-24 8:00"/>
    <x v="3"/>
    <s v="Accepted"/>
    <s v="Afternoon"/>
    <n v="8"/>
    <n v="12"/>
    <s v="Plan A"/>
  </r>
  <r>
    <x v="766"/>
    <n v="29"/>
    <x v="2"/>
    <x v="420"/>
    <x v="1"/>
    <x v="32"/>
    <x v="4"/>
    <x v="1"/>
    <n v="1"/>
    <s v="Dr. Gupta"/>
    <n v="18025"/>
    <s v="MedE"/>
    <s v="Yes"/>
    <x v="1"/>
    <s v="22-12-23 0:00"/>
    <s v="22-12-23 1:00"/>
    <x v="0"/>
    <s v="Accepted"/>
    <s v="Morning"/>
    <n v="4"/>
    <n v="10"/>
    <s v="Plan A"/>
  </r>
  <r>
    <x v="767"/>
    <n v="4"/>
    <x v="3"/>
    <x v="267"/>
    <x v="1"/>
    <x v="79"/>
    <x v="5"/>
    <x v="4"/>
    <n v="3"/>
    <s v="Dr. Mehta"/>
    <n v="14280"/>
    <s v="MedD"/>
    <s v="No"/>
    <x v="1"/>
    <s v="21-02-24 0:00"/>
    <s v="22-02-24 22:00"/>
    <x v="3"/>
    <s v="Accepted"/>
    <s v="Night"/>
    <n v="5"/>
    <n v="12"/>
    <s v="Plan A"/>
  </r>
  <r>
    <x v="768"/>
    <n v="10"/>
    <x v="0"/>
    <x v="222"/>
    <x v="1"/>
    <x v="134"/>
    <x v="8"/>
    <x v="2"/>
    <n v="3"/>
    <s v="Dr. Gupta"/>
    <n v="41951"/>
    <s v="MedA"/>
    <s v="Yes"/>
    <x v="0"/>
    <d v="2023-05-12T00:00:00"/>
    <d v="2023-05-12T09:00:00"/>
    <x v="2"/>
    <s v="Accepted"/>
    <s v="Afternoon"/>
    <n v="4"/>
    <n v="8"/>
    <s v="Plan B"/>
  </r>
  <r>
    <x v="769"/>
    <n v="56"/>
    <x v="0"/>
    <x v="421"/>
    <x v="1"/>
    <x v="415"/>
    <x v="13"/>
    <x v="5"/>
    <n v="2"/>
    <s v="Dr. Gupta"/>
    <n v="16351"/>
    <s v="MedA"/>
    <s v="Yes"/>
    <x v="1"/>
    <s v="24-11-23 0:00"/>
    <s v="25-11-23 21:00"/>
    <x v="1"/>
    <s v="Accepted"/>
    <s v="Morning"/>
    <n v="7"/>
    <n v="8"/>
    <s v="Plan A"/>
  </r>
  <r>
    <x v="770"/>
    <n v="17"/>
    <x v="0"/>
    <x v="422"/>
    <x v="1"/>
    <x v="159"/>
    <x v="6"/>
    <x v="2"/>
    <n v="1"/>
    <s v="Dr. Patel"/>
    <n v="43091"/>
    <s v="MedD"/>
    <s v="Yes"/>
    <x v="1"/>
    <s v="14-04-23 0:00"/>
    <s v="14-04-23 1:00"/>
    <x v="3"/>
    <s v="Accepted"/>
    <s v="Night"/>
    <n v="11"/>
    <n v="12"/>
    <s v="Plan B"/>
  </r>
  <r>
    <x v="771"/>
    <n v="74"/>
    <x v="3"/>
    <x v="423"/>
    <x v="1"/>
    <x v="212"/>
    <x v="11"/>
    <x v="4"/>
    <n v="4"/>
    <s v="Dr. Mehta"/>
    <n v="35171"/>
    <s v="MedB"/>
    <s v="Yes"/>
    <x v="0"/>
    <d v="2023-11-06T00:00:00"/>
    <d v="2023-11-06T11:00:00"/>
    <x v="2"/>
    <s v="Accepted"/>
    <s v="Night"/>
    <n v="10"/>
    <n v="12"/>
    <s v="Plan B"/>
  </r>
  <r>
    <x v="772"/>
    <n v="17"/>
    <x v="2"/>
    <x v="424"/>
    <x v="1"/>
    <x v="360"/>
    <x v="13"/>
    <x v="4"/>
    <n v="4"/>
    <s v="Dr. Sharma"/>
    <n v="8644"/>
    <s v="MedE"/>
    <s v="Yes"/>
    <x v="0"/>
    <d v="2023-03-12T00:00:00"/>
    <d v="2023-04-12T08:00:00"/>
    <x v="4"/>
    <s v="Accepted"/>
    <s v="Afternoon"/>
    <n v="6"/>
    <n v="8"/>
    <s v="Plan B"/>
  </r>
  <r>
    <x v="773"/>
    <n v="84"/>
    <x v="4"/>
    <x v="240"/>
    <x v="1"/>
    <x v="416"/>
    <x v="3"/>
    <x v="0"/>
    <n v="5"/>
    <s v="Dr. Sharma"/>
    <n v="21142"/>
    <s v="MedE"/>
    <s v="Yes"/>
    <x v="1"/>
    <s v="25-02-24 0:00"/>
    <s v="25-02-24 23:00"/>
    <x v="0"/>
    <s v="Accepted"/>
    <s v="Morning"/>
    <n v="6"/>
    <n v="12"/>
    <s v="Plan A"/>
  </r>
  <r>
    <x v="774"/>
    <n v="88"/>
    <x v="3"/>
    <x v="425"/>
    <x v="1"/>
    <x v="221"/>
    <x v="14"/>
    <x v="0"/>
    <n v="3"/>
    <s v="Dr. Rao"/>
    <n v="12773"/>
    <s v="MedC"/>
    <s v="Yes"/>
    <x v="0"/>
    <s v="20-05-24 0:00"/>
    <s v="21-05-24 10:00"/>
    <x v="4"/>
    <s v="Accepted"/>
    <s v="Afternoon"/>
    <n v="11"/>
    <n v="8"/>
    <s v="Plan A"/>
  </r>
  <r>
    <x v="775"/>
    <n v="69"/>
    <x v="3"/>
    <x v="408"/>
    <x v="1"/>
    <x v="417"/>
    <x v="11"/>
    <x v="2"/>
    <n v="3"/>
    <s v="Dr. Sharma"/>
    <n v="33466"/>
    <s v="MedD"/>
    <s v="No"/>
    <x v="1"/>
    <s v="18-10-23 0:00"/>
    <s v="19-10-23 10:00"/>
    <x v="2"/>
    <s v="Accepted"/>
    <s v="Night"/>
    <n v="7"/>
    <n v="12"/>
    <s v="Plan A"/>
  </r>
  <r>
    <x v="776"/>
    <n v="34"/>
    <x v="4"/>
    <x v="65"/>
    <x v="1"/>
    <x v="172"/>
    <x v="6"/>
    <x v="5"/>
    <n v="1"/>
    <s v="Dr. Patel"/>
    <n v="15778"/>
    <s v="MedC"/>
    <s v="Yes"/>
    <x v="0"/>
    <s v="14-02-24 0:00"/>
    <s v="15-02-24 23:00"/>
    <x v="4"/>
    <s v="Accepted"/>
    <s v="Night"/>
    <n v="7"/>
    <n v="10"/>
    <s v="Plan C"/>
  </r>
  <r>
    <x v="777"/>
    <n v="6"/>
    <x v="0"/>
    <x v="426"/>
    <x v="1"/>
    <x v="65"/>
    <x v="6"/>
    <x v="2"/>
    <n v="4"/>
    <s v="Dr. Gupta"/>
    <n v="17501"/>
    <s v="MedC"/>
    <s v="Yes"/>
    <x v="0"/>
    <d v="2023-04-02T00:00:00"/>
    <d v="2023-04-02T17:00:00"/>
    <x v="4"/>
    <s v="Rejected"/>
    <s v="Night"/>
    <n v="10"/>
    <n v="8"/>
    <s v="Plan B"/>
  </r>
  <r>
    <x v="778"/>
    <n v="53"/>
    <x v="1"/>
    <x v="174"/>
    <x v="1"/>
    <x v="418"/>
    <x v="12"/>
    <x v="4"/>
    <n v="5"/>
    <s v="Dr. Gupta"/>
    <n v="7108"/>
    <s v="MedA"/>
    <s v="Yes"/>
    <x v="0"/>
    <d v="2024-10-04T00:00:00"/>
    <d v="2024-10-04T11:00:00"/>
    <x v="2"/>
    <s v="Accepted"/>
    <s v="Night"/>
    <n v="10"/>
    <n v="10"/>
    <s v="Plan C"/>
  </r>
  <r>
    <x v="779"/>
    <n v="66"/>
    <x v="4"/>
    <x v="427"/>
    <x v="1"/>
    <x v="419"/>
    <x v="4"/>
    <x v="4"/>
    <n v="1"/>
    <s v="Dr. Gupta"/>
    <n v="34369"/>
    <s v="MedE"/>
    <s v="Yes"/>
    <x v="0"/>
    <s v="28-03-23 0:00"/>
    <s v="29-03-23 0:00"/>
    <x v="1"/>
    <s v="Accepted"/>
    <s v="Morning"/>
    <n v="6"/>
    <n v="12"/>
    <s v="Plan B"/>
  </r>
  <r>
    <x v="780"/>
    <n v="77"/>
    <x v="2"/>
    <x v="69"/>
    <x v="1"/>
    <x v="366"/>
    <x v="8"/>
    <x v="1"/>
    <n v="3"/>
    <s v="Dr. Mehta"/>
    <n v="41382"/>
    <s v="MedC"/>
    <s v="Yes"/>
    <x v="0"/>
    <s v="16-11-23 0:00"/>
    <s v="16-11-23 9:00"/>
    <x v="3"/>
    <s v="Accepted"/>
    <s v="Morning"/>
    <n v="10"/>
    <n v="10"/>
    <s v="Plan A"/>
  </r>
  <r>
    <x v="781"/>
    <n v="43"/>
    <x v="5"/>
    <x v="336"/>
    <x v="1"/>
    <x v="420"/>
    <x v="2"/>
    <x v="0"/>
    <n v="4"/>
    <s v="Dr. Sharma"/>
    <n v="30818"/>
    <s v="MedA"/>
    <s v="No"/>
    <x v="1"/>
    <s v="13-09-23 0:00"/>
    <s v="15-09-23 0:00"/>
    <x v="0"/>
    <s v="Rejected"/>
    <s v="Afternoon"/>
    <n v="10"/>
    <n v="12"/>
    <s v="Plan B"/>
  </r>
  <r>
    <x v="782"/>
    <n v="75"/>
    <x v="5"/>
    <x v="106"/>
    <x v="1"/>
    <x v="421"/>
    <x v="4"/>
    <x v="1"/>
    <n v="5"/>
    <s v="Dr. Patel"/>
    <n v="15251"/>
    <s v="MedD"/>
    <s v="Yes"/>
    <x v="0"/>
    <s v="24-11-23 0:00"/>
    <s v="24-11-23 18:00"/>
    <x v="3"/>
    <s v="Accepted"/>
    <s v="Afternoon"/>
    <n v="10"/>
    <n v="10"/>
    <s v="Plan B"/>
  </r>
  <r>
    <x v="783"/>
    <n v="23"/>
    <x v="3"/>
    <x v="212"/>
    <x v="1"/>
    <x v="111"/>
    <x v="5"/>
    <x v="3"/>
    <n v="2"/>
    <s v="Dr. Mehta"/>
    <n v="28341"/>
    <s v="MedC"/>
    <s v="No"/>
    <x v="1"/>
    <s v="25-04-23 0:00"/>
    <s v="26-04-23 23:00"/>
    <x v="0"/>
    <s v="Accepted"/>
    <s v="Afternoon"/>
    <n v="11"/>
    <n v="10"/>
    <s v="Plan C"/>
  </r>
  <r>
    <x v="784"/>
    <n v="55"/>
    <x v="5"/>
    <x v="188"/>
    <x v="1"/>
    <x v="422"/>
    <x v="7"/>
    <x v="4"/>
    <n v="4"/>
    <s v="Dr. Rao"/>
    <n v="16678"/>
    <s v="MedE"/>
    <s v="Yes"/>
    <x v="0"/>
    <s v="17-02-24 0:00"/>
    <s v="17-02-24 8:00"/>
    <x v="3"/>
    <s v="Accepted"/>
    <s v="Night"/>
    <n v="9"/>
    <n v="10"/>
    <s v="Plan B"/>
  </r>
  <r>
    <x v="785"/>
    <n v="80"/>
    <x v="1"/>
    <x v="139"/>
    <x v="1"/>
    <x v="351"/>
    <x v="13"/>
    <x v="1"/>
    <n v="5"/>
    <s v="Dr. Patel"/>
    <n v="19367"/>
    <s v="MedC"/>
    <s v="Yes"/>
    <x v="0"/>
    <d v="2024-07-06T00:00:00"/>
    <d v="2024-07-06T02:00:00"/>
    <x v="4"/>
    <s v="Accepted"/>
    <s v="Afternoon"/>
    <n v="5"/>
    <n v="8"/>
    <s v="Plan A"/>
  </r>
  <r>
    <x v="786"/>
    <n v="75"/>
    <x v="0"/>
    <x v="262"/>
    <x v="1"/>
    <x v="101"/>
    <x v="3"/>
    <x v="2"/>
    <n v="1"/>
    <s v="Dr. Patel"/>
    <n v="34672"/>
    <s v="MedD"/>
    <s v="No"/>
    <x v="0"/>
    <d v="2023-01-01T00:00:00"/>
    <d v="2023-01-01T22:00:00"/>
    <x v="1"/>
    <s v="Rejected"/>
    <s v="Morning"/>
    <n v="10"/>
    <n v="10"/>
    <s v="Plan B"/>
  </r>
  <r>
    <x v="787"/>
    <n v="16"/>
    <x v="2"/>
    <x v="57"/>
    <x v="1"/>
    <x v="91"/>
    <x v="9"/>
    <x v="0"/>
    <n v="2"/>
    <s v="Dr. Patel"/>
    <n v="9332"/>
    <s v="MedC"/>
    <s v="Yes"/>
    <x v="0"/>
    <s v="16-04-24 0:00"/>
    <s v="17-04-24 4:00"/>
    <x v="4"/>
    <s v="Accepted"/>
    <s v="Afternoon"/>
    <n v="5"/>
    <n v="12"/>
    <s v="Plan B"/>
  </r>
  <r>
    <x v="788"/>
    <n v="8"/>
    <x v="1"/>
    <x v="428"/>
    <x v="1"/>
    <x v="347"/>
    <x v="11"/>
    <x v="0"/>
    <n v="5"/>
    <s v="Dr. Gupta"/>
    <n v="17002"/>
    <s v="MedE"/>
    <s v="Yes"/>
    <x v="0"/>
    <s v="27-02-24 0:00"/>
    <s v="27-02-24 18:00"/>
    <x v="1"/>
    <s v="Accepted"/>
    <s v="Afternoon"/>
    <n v="5"/>
    <n v="12"/>
    <s v="Plan B"/>
  </r>
  <r>
    <x v="789"/>
    <n v="4"/>
    <x v="2"/>
    <x v="153"/>
    <x v="1"/>
    <x v="311"/>
    <x v="12"/>
    <x v="5"/>
    <n v="5"/>
    <s v="Dr. Patel"/>
    <n v="25284"/>
    <s v="MedA"/>
    <s v="Yes"/>
    <x v="0"/>
    <s v="23-02-23 0:00"/>
    <s v="24-02-23 10:00"/>
    <x v="2"/>
    <s v="Accepted"/>
    <s v="Morning"/>
    <n v="7"/>
    <n v="8"/>
    <s v="Plan C"/>
  </r>
  <r>
    <x v="790"/>
    <n v="4"/>
    <x v="2"/>
    <x v="429"/>
    <x v="1"/>
    <x v="371"/>
    <x v="9"/>
    <x v="2"/>
    <n v="3"/>
    <s v="Dr. Sharma"/>
    <n v="20700"/>
    <s v="MedE"/>
    <s v="Yes"/>
    <x v="1"/>
    <d v="2023-07-07T00:00:00"/>
    <d v="2023-07-07T05:00:00"/>
    <x v="0"/>
    <s v="Accepted"/>
    <s v="Morning"/>
    <n v="10"/>
    <n v="8"/>
    <s v="Plan B"/>
  </r>
  <r>
    <x v="791"/>
    <n v="56"/>
    <x v="0"/>
    <x v="295"/>
    <x v="1"/>
    <x v="276"/>
    <x v="1"/>
    <x v="5"/>
    <n v="4"/>
    <s v="Dr. Patel"/>
    <n v="18769"/>
    <s v="MedA"/>
    <s v="Yes"/>
    <x v="0"/>
    <s v="14-06-24 0:00"/>
    <s v="14-06-24 17:00"/>
    <x v="0"/>
    <s v="Accepted"/>
    <s v="Night"/>
    <n v="6"/>
    <n v="12"/>
    <s v="Plan B"/>
  </r>
  <r>
    <x v="792"/>
    <n v="25"/>
    <x v="3"/>
    <x v="39"/>
    <x v="1"/>
    <x v="373"/>
    <x v="2"/>
    <x v="1"/>
    <n v="3"/>
    <s v="Dr. Gupta"/>
    <n v="34318"/>
    <s v="MedB"/>
    <s v="Yes"/>
    <x v="0"/>
    <d v="2024-03-01T00:00:00"/>
    <d v="2024-04-01T22:00:00"/>
    <x v="2"/>
    <s v="Accepted"/>
    <s v="Morning"/>
    <n v="9"/>
    <n v="10"/>
    <s v="Plan C"/>
  </r>
  <r>
    <x v="793"/>
    <n v="67"/>
    <x v="5"/>
    <x v="430"/>
    <x v="1"/>
    <x v="423"/>
    <x v="14"/>
    <x v="3"/>
    <n v="2"/>
    <s v="Dr. Patel"/>
    <n v="29323"/>
    <s v="MedE"/>
    <s v="Yes"/>
    <x v="0"/>
    <s v="23-05-24 0:00"/>
    <s v="24-05-24 13:00"/>
    <x v="3"/>
    <s v="Accepted"/>
    <s v="Morning"/>
    <n v="6"/>
    <n v="12"/>
    <s v="Plan C"/>
  </r>
  <r>
    <x v="794"/>
    <n v="67"/>
    <x v="0"/>
    <x v="225"/>
    <x v="1"/>
    <x v="348"/>
    <x v="5"/>
    <x v="2"/>
    <n v="5"/>
    <s v="Dr. Rao"/>
    <n v="32610"/>
    <s v="MedE"/>
    <s v="Yes"/>
    <x v="0"/>
    <s v="28-03-24 0:00"/>
    <s v="29-03-24 17:00"/>
    <x v="2"/>
    <s v="Accepted"/>
    <s v="Afternoon"/>
    <n v="10"/>
    <n v="8"/>
    <s v="Plan C"/>
  </r>
  <r>
    <x v="795"/>
    <n v="27"/>
    <x v="1"/>
    <x v="219"/>
    <x v="1"/>
    <x v="34"/>
    <x v="7"/>
    <x v="2"/>
    <n v="3"/>
    <s v="Dr. Rao"/>
    <n v="11963"/>
    <s v="MedD"/>
    <s v="No"/>
    <x v="1"/>
    <s v="18-02-23 0:00"/>
    <s v="18-02-23 5:00"/>
    <x v="2"/>
    <s v="Accepted"/>
    <s v="Morning"/>
    <n v="6"/>
    <n v="8"/>
    <s v="Plan C"/>
  </r>
  <r>
    <x v="796"/>
    <n v="32"/>
    <x v="3"/>
    <x v="218"/>
    <x v="1"/>
    <x v="424"/>
    <x v="5"/>
    <x v="2"/>
    <n v="4"/>
    <s v="Dr. Gupta"/>
    <n v="12838"/>
    <s v="MedC"/>
    <s v="No"/>
    <x v="0"/>
    <s v="23-07-23 0:00"/>
    <s v="24-07-23 8:00"/>
    <x v="1"/>
    <s v="Accepted"/>
    <s v="Night"/>
    <n v="10"/>
    <n v="12"/>
    <s v="Plan A"/>
  </r>
  <r>
    <x v="797"/>
    <n v="50"/>
    <x v="1"/>
    <x v="53"/>
    <x v="1"/>
    <x v="55"/>
    <x v="2"/>
    <x v="5"/>
    <n v="2"/>
    <s v="Dr. Sharma"/>
    <n v="17243"/>
    <s v="MedA"/>
    <s v="No"/>
    <x v="0"/>
    <s v="30-09-23 0:00"/>
    <d v="2023-01-10T06:00:00"/>
    <x v="2"/>
    <s v="Accepted"/>
    <s v="Afternoon"/>
    <n v="9"/>
    <n v="10"/>
    <s v="Plan A"/>
  </r>
  <r>
    <x v="798"/>
    <n v="61"/>
    <x v="3"/>
    <x v="196"/>
    <x v="1"/>
    <x v="387"/>
    <x v="4"/>
    <x v="1"/>
    <n v="1"/>
    <s v="Dr. Sharma"/>
    <n v="32939"/>
    <s v="MedA"/>
    <s v="Yes"/>
    <x v="1"/>
    <s v="15-05-23 0:00"/>
    <s v="16-05-23 9:00"/>
    <x v="0"/>
    <s v="Accepted"/>
    <s v="Night"/>
    <n v="4"/>
    <n v="10"/>
    <s v="Plan B"/>
  </r>
  <r>
    <x v="799"/>
    <n v="51"/>
    <x v="1"/>
    <x v="431"/>
    <x v="1"/>
    <x v="381"/>
    <x v="7"/>
    <x v="2"/>
    <n v="3"/>
    <s v="Dr. Mehta"/>
    <n v="6845"/>
    <s v="MedD"/>
    <s v="No"/>
    <x v="0"/>
    <s v="20-10-23 0:00"/>
    <s v="21-10-23 0:00"/>
    <x v="4"/>
    <s v="Accepted"/>
    <s v="Morning"/>
    <n v="9"/>
    <n v="8"/>
    <s v="Plan A"/>
  </r>
  <r>
    <x v="800"/>
    <n v="19"/>
    <x v="0"/>
    <x v="125"/>
    <x v="1"/>
    <x v="257"/>
    <x v="1"/>
    <x v="2"/>
    <n v="2"/>
    <s v="Dr. Gupta"/>
    <n v="21766"/>
    <s v="MedD"/>
    <s v="No"/>
    <x v="0"/>
    <s v="21-03-24 0:00"/>
    <s v="21-03-24 4:00"/>
    <x v="1"/>
    <s v="Accepted"/>
    <s v="Night"/>
    <n v="11"/>
    <n v="12"/>
    <s v="Plan B"/>
  </r>
  <r>
    <x v="801"/>
    <n v="21"/>
    <x v="3"/>
    <x v="308"/>
    <x v="1"/>
    <x v="319"/>
    <x v="0"/>
    <x v="0"/>
    <n v="1"/>
    <s v="Dr. Patel"/>
    <n v="41880"/>
    <s v="MedC"/>
    <s v="No"/>
    <x v="0"/>
    <d v="2024-06-05T00:00:00"/>
    <d v="2024-07-05T08:00:00"/>
    <x v="1"/>
    <s v="Accepted"/>
    <s v="Night"/>
    <n v="4"/>
    <n v="12"/>
    <s v="Plan A"/>
  </r>
  <r>
    <x v="802"/>
    <n v="5"/>
    <x v="3"/>
    <x v="297"/>
    <x v="1"/>
    <x v="425"/>
    <x v="14"/>
    <x v="3"/>
    <n v="3"/>
    <s v="Dr. Gupta"/>
    <n v="17780"/>
    <s v="MedC"/>
    <s v="Yes"/>
    <x v="0"/>
    <d v="2023-01-05T00:00:00"/>
    <d v="2023-02-05T13:00:00"/>
    <x v="3"/>
    <s v="Accepted"/>
    <s v="Morning"/>
    <n v="8"/>
    <n v="8"/>
    <s v="Plan C"/>
  </r>
  <r>
    <x v="803"/>
    <n v="82"/>
    <x v="2"/>
    <x v="325"/>
    <x v="1"/>
    <x v="394"/>
    <x v="12"/>
    <x v="0"/>
    <n v="2"/>
    <s v="Dr. Mehta"/>
    <n v="47856"/>
    <s v="MedE"/>
    <s v="Yes"/>
    <x v="1"/>
    <s v="26-01-23 0:00"/>
    <s v="26-01-23 11:00"/>
    <x v="4"/>
    <s v="Accepted"/>
    <s v="Morning"/>
    <n v="4"/>
    <n v="12"/>
    <s v="Plan C"/>
  </r>
  <r>
    <x v="804"/>
    <n v="42"/>
    <x v="2"/>
    <x v="111"/>
    <x v="1"/>
    <x v="3"/>
    <x v="6"/>
    <x v="0"/>
    <n v="2"/>
    <s v="Dr. Gupta"/>
    <n v="6509"/>
    <s v="MedB"/>
    <s v="No"/>
    <x v="0"/>
    <d v="2023-03-09T00:00:00"/>
    <d v="2023-04-09T00:00:00"/>
    <x v="1"/>
    <s v="Accepted"/>
    <s v="Afternoon"/>
    <n v="5"/>
    <n v="8"/>
    <s v="Plan A"/>
  </r>
  <r>
    <x v="805"/>
    <n v="61"/>
    <x v="4"/>
    <x v="304"/>
    <x v="1"/>
    <x v="100"/>
    <x v="2"/>
    <x v="3"/>
    <n v="3"/>
    <s v="Dr. Gupta"/>
    <n v="28957"/>
    <s v="MedC"/>
    <s v="Yes"/>
    <x v="0"/>
    <d v="2023-12-06T00:00:00"/>
    <d v="2023-12-06T11:00:00"/>
    <x v="2"/>
    <s v="Accepted"/>
    <s v="Afternoon"/>
    <n v="11"/>
    <n v="10"/>
    <s v="Plan A"/>
  </r>
  <r>
    <x v="806"/>
    <n v="22"/>
    <x v="1"/>
    <x v="345"/>
    <x v="1"/>
    <x v="205"/>
    <x v="2"/>
    <x v="1"/>
    <n v="2"/>
    <s v="Dr. Mehta"/>
    <n v="39346"/>
    <s v="MedD"/>
    <s v="Yes"/>
    <x v="0"/>
    <s v="14-11-23 0:00"/>
    <s v="14-11-23 17:00"/>
    <x v="1"/>
    <s v="Accepted"/>
    <s v="Afternoon"/>
    <n v="5"/>
    <n v="10"/>
    <s v="Plan B"/>
  </r>
  <r>
    <x v="807"/>
    <n v="21"/>
    <x v="2"/>
    <x v="381"/>
    <x v="1"/>
    <x v="376"/>
    <x v="13"/>
    <x v="0"/>
    <n v="5"/>
    <s v="Dr. Sharma"/>
    <n v="22263"/>
    <s v="MedC"/>
    <s v="No"/>
    <x v="0"/>
    <d v="2023-11-01T00:00:00"/>
    <d v="2023-11-01T07:00:00"/>
    <x v="1"/>
    <s v="Rejected"/>
    <s v="Morning"/>
    <n v="11"/>
    <n v="12"/>
    <s v="Plan B"/>
  </r>
  <r>
    <x v="808"/>
    <n v="70"/>
    <x v="4"/>
    <x v="315"/>
    <x v="1"/>
    <x v="426"/>
    <x v="8"/>
    <x v="1"/>
    <n v="3"/>
    <s v="Dr. Patel"/>
    <n v="31148"/>
    <s v="MedA"/>
    <s v="No"/>
    <x v="1"/>
    <s v="17-02-24 0:00"/>
    <s v="18-02-24 13:00"/>
    <x v="1"/>
    <s v="Accepted"/>
    <s v="Night"/>
    <n v="9"/>
    <n v="10"/>
    <s v="Plan B"/>
  </r>
  <r>
    <x v="809"/>
    <n v="1"/>
    <x v="2"/>
    <x v="11"/>
    <x v="1"/>
    <x v="427"/>
    <x v="6"/>
    <x v="0"/>
    <n v="2"/>
    <s v="Dr. Mehta"/>
    <n v="36533"/>
    <s v="MedB"/>
    <s v="No"/>
    <x v="1"/>
    <d v="2023-01-04T00:00:00"/>
    <d v="2023-02-04T20:00:00"/>
    <x v="3"/>
    <s v="Rejected"/>
    <s v="Night"/>
    <n v="5"/>
    <n v="10"/>
    <s v="Plan C"/>
  </r>
  <r>
    <x v="810"/>
    <n v="5"/>
    <x v="1"/>
    <x v="130"/>
    <x v="1"/>
    <x v="281"/>
    <x v="12"/>
    <x v="4"/>
    <n v="1"/>
    <s v="Dr. Rao"/>
    <n v="47608"/>
    <s v="MedE"/>
    <s v="No"/>
    <x v="0"/>
    <s v="15-08-23 0:00"/>
    <s v="16-08-23 23:00"/>
    <x v="1"/>
    <s v="Accepted"/>
    <s v="Afternoon"/>
    <n v="5"/>
    <n v="8"/>
    <s v="Plan C"/>
  </r>
  <r>
    <x v="811"/>
    <n v="12"/>
    <x v="3"/>
    <x v="389"/>
    <x v="1"/>
    <x v="0"/>
    <x v="9"/>
    <x v="3"/>
    <n v="1"/>
    <s v="Dr. Sharma"/>
    <n v="17931"/>
    <s v="MedA"/>
    <s v="Yes"/>
    <x v="0"/>
    <s v="26-04-23 0:00"/>
    <s v="26-04-23 8:00"/>
    <x v="1"/>
    <s v="Accepted"/>
    <s v="Afternoon"/>
    <n v="8"/>
    <n v="8"/>
    <s v="Plan C"/>
  </r>
  <r>
    <x v="812"/>
    <n v="46"/>
    <x v="5"/>
    <x v="330"/>
    <x v="1"/>
    <x v="206"/>
    <x v="4"/>
    <x v="0"/>
    <n v="5"/>
    <s v="Dr. Rao"/>
    <n v="6359"/>
    <s v="MedA"/>
    <s v="Yes"/>
    <x v="0"/>
    <s v="14-04-24 0:00"/>
    <s v="14-04-24 15:00"/>
    <x v="3"/>
    <s v="Accepted"/>
    <s v="Morning"/>
    <n v="5"/>
    <n v="12"/>
    <s v="Plan C"/>
  </r>
  <r>
    <x v="813"/>
    <n v="34"/>
    <x v="1"/>
    <x v="432"/>
    <x v="1"/>
    <x v="36"/>
    <x v="0"/>
    <x v="4"/>
    <n v="3"/>
    <s v="Dr. Sharma"/>
    <n v="29532"/>
    <s v="MedB"/>
    <s v="Yes"/>
    <x v="1"/>
    <s v="30-04-23 0:00"/>
    <d v="2023-02-05T00:00:00"/>
    <x v="4"/>
    <s v="Accepted"/>
    <s v="Night"/>
    <n v="7"/>
    <n v="8"/>
    <s v="Plan B"/>
  </r>
  <r>
    <x v="814"/>
    <n v="49"/>
    <x v="0"/>
    <x v="433"/>
    <x v="1"/>
    <x v="87"/>
    <x v="9"/>
    <x v="5"/>
    <n v="2"/>
    <s v="Dr. Patel"/>
    <n v="25344"/>
    <s v="MedE"/>
    <s v="Yes"/>
    <x v="0"/>
    <d v="2023-05-06T00:00:00"/>
    <d v="2023-06-06T09:00:00"/>
    <x v="0"/>
    <s v="Accepted"/>
    <s v="Afternoon"/>
    <n v="7"/>
    <n v="12"/>
    <s v="Plan C"/>
  </r>
  <r>
    <x v="815"/>
    <n v="78"/>
    <x v="2"/>
    <x v="430"/>
    <x v="1"/>
    <x v="221"/>
    <x v="12"/>
    <x v="4"/>
    <n v="2"/>
    <s v="Dr. Patel"/>
    <n v="9242"/>
    <s v="MedD"/>
    <s v="Yes"/>
    <x v="0"/>
    <s v="23-05-24 0:00"/>
    <s v="23-05-24 1:00"/>
    <x v="3"/>
    <s v="Accepted"/>
    <s v="Morning"/>
    <n v="7"/>
    <n v="12"/>
    <s v="Plan C"/>
  </r>
  <r>
    <x v="816"/>
    <n v="45"/>
    <x v="2"/>
    <x v="405"/>
    <x v="1"/>
    <x v="369"/>
    <x v="7"/>
    <x v="2"/>
    <n v="1"/>
    <s v="Dr. Gupta"/>
    <n v="25601"/>
    <s v="MedE"/>
    <s v="Yes"/>
    <x v="0"/>
    <s v="26-10-23 0:00"/>
    <s v="26-10-23 3:00"/>
    <x v="3"/>
    <s v="Accepted"/>
    <s v="Afternoon"/>
    <n v="4"/>
    <n v="8"/>
    <s v="Plan C"/>
  </r>
  <r>
    <x v="817"/>
    <n v="27"/>
    <x v="3"/>
    <x v="81"/>
    <x v="1"/>
    <x v="411"/>
    <x v="11"/>
    <x v="0"/>
    <n v="5"/>
    <s v="Dr. Rao"/>
    <n v="24116"/>
    <s v="MedC"/>
    <s v="Yes"/>
    <x v="1"/>
    <d v="2024-04-06T00:00:00"/>
    <d v="2024-04-06T01:00:00"/>
    <x v="1"/>
    <s v="Accepted"/>
    <s v="Morning"/>
    <n v="9"/>
    <n v="10"/>
    <s v="Plan C"/>
  </r>
  <r>
    <x v="818"/>
    <n v="73"/>
    <x v="0"/>
    <x v="324"/>
    <x v="1"/>
    <x v="428"/>
    <x v="3"/>
    <x v="4"/>
    <n v="1"/>
    <s v="Dr. Sharma"/>
    <n v="40477"/>
    <s v="MedA"/>
    <s v="No"/>
    <x v="0"/>
    <d v="2023-06-10T00:00:00"/>
    <d v="2023-06-10T16:00:00"/>
    <x v="1"/>
    <s v="Accepted"/>
    <s v="Night"/>
    <n v="9"/>
    <n v="10"/>
    <s v="Plan A"/>
  </r>
  <r>
    <x v="819"/>
    <n v="26"/>
    <x v="3"/>
    <x v="317"/>
    <x v="1"/>
    <x v="388"/>
    <x v="5"/>
    <x v="1"/>
    <n v="1"/>
    <s v="Dr. Patel"/>
    <n v="35782"/>
    <s v="MedC"/>
    <s v="No"/>
    <x v="0"/>
    <s v="25-02-24 0:00"/>
    <s v="25-02-24 3:00"/>
    <x v="0"/>
    <s v="Accepted"/>
    <s v="Morning"/>
    <n v="6"/>
    <n v="10"/>
    <s v="Plan B"/>
  </r>
  <r>
    <x v="820"/>
    <n v="47"/>
    <x v="0"/>
    <x v="434"/>
    <x v="1"/>
    <x v="191"/>
    <x v="1"/>
    <x v="5"/>
    <n v="5"/>
    <s v="Dr. Mehta"/>
    <n v="23880"/>
    <s v="MedD"/>
    <s v="No"/>
    <x v="0"/>
    <d v="2024-09-05T00:00:00"/>
    <d v="2024-10-05T07:00:00"/>
    <x v="1"/>
    <s v="Accepted"/>
    <s v="Afternoon"/>
    <n v="8"/>
    <n v="10"/>
    <s v="Plan B"/>
  </r>
  <r>
    <x v="821"/>
    <n v="86"/>
    <x v="5"/>
    <x v="435"/>
    <x v="1"/>
    <x v="331"/>
    <x v="4"/>
    <x v="0"/>
    <n v="3"/>
    <s v="Dr. Patel"/>
    <n v="8499"/>
    <s v="MedC"/>
    <s v="No"/>
    <x v="0"/>
    <s v="23-04-24 0:00"/>
    <s v="24-04-24 0:00"/>
    <x v="2"/>
    <s v="Accepted"/>
    <s v="Afternoon"/>
    <n v="7"/>
    <n v="12"/>
    <s v="Plan C"/>
  </r>
  <r>
    <x v="822"/>
    <n v="56"/>
    <x v="2"/>
    <x v="291"/>
    <x v="1"/>
    <x v="116"/>
    <x v="12"/>
    <x v="2"/>
    <n v="2"/>
    <s v="Dr. Mehta"/>
    <n v="36587"/>
    <s v="MedE"/>
    <s v="Yes"/>
    <x v="0"/>
    <d v="2023-04-09T00:00:00"/>
    <d v="2023-05-09T01:00:00"/>
    <x v="1"/>
    <s v="Accepted"/>
    <s v="Night"/>
    <n v="7"/>
    <n v="10"/>
    <s v="Plan A"/>
  </r>
  <r>
    <x v="823"/>
    <n v="63"/>
    <x v="2"/>
    <x v="298"/>
    <x v="1"/>
    <x v="206"/>
    <x v="10"/>
    <x v="4"/>
    <n v="3"/>
    <s v="Dr. Sharma"/>
    <n v="49458"/>
    <s v="MedC"/>
    <s v="No"/>
    <x v="0"/>
    <d v="2024-11-04T00:00:00"/>
    <d v="2024-11-04T10:00:00"/>
    <x v="1"/>
    <s v="Accepted"/>
    <s v="Night"/>
    <n v="5"/>
    <n v="12"/>
    <s v="Plan B"/>
  </r>
  <r>
    <x v="824"/>
    <n v="48"/>
    <x v="5"/>
    <x v="436"/>
    <x v="1"/>
    <x v="429"/>
    <x v="7"/>
    <x v="5"/>
    <n v="4"/>
    <s v="Dr. Patel"/>
    <n v="31020"/>
    <s v="MedD"/>
    <s v="Yes"/>
    <x v="0"/>
    <s v="24-05-23 0:00"/>
    <s v="24-05-23 12:00"/>
    <x v="2"/>
    <s v="Accepted"/>
    <s v="Afternoon"/>
    <n v="7"/>
    <n v="8"/>
    <s v="Plan B"/>
  </r>
  <r>
    <x v="825"/>
    <n v="61"/>
    <x v="4"/>
    <x v="314"/>
    <x v="1"/>
    <x v="314"/>
    <x v="12"/>
    <x v="0"/>
    <n v="4"/>
    <s v="Dr. Patel"/>
    <n v="13080"/>
    <s v="MedD"/>
    <s v="No"/>
    <x v="1"/>
    <s v="24-01-24 0:00"/>
    <s v="24-01-24 3:00"/>
    <x v="0"/>
    <s v="Accepted"/>
    <s v="Afternoon"/>
    <n v="5"/>
    <n v="8"/>
    <s v="Plan C"/>
  </r>
  <r>
    <x v="826"/>
    <n v="81"/>
    <x v="3"/>
    <x v="364"/>
    <x v="1"/>
    <x v="41"/>
    <x v="1"/>
    <x v="5"/>
    <n v="4"/>
    <s v="Dr. Sharma"/>
    <n v="28207"/>
    <s v="MedD"/>
    <s v="No"/>
    <x v="0"/>
    <d v="2023-10-07T00:00:00"/>
    <d v="2023-11-07T12:00:00"/>
    <x v="2"/>
    <s v="Accepted"/>
    <s v="Afternoon"/>
    <n v="5"/>
    <n v="12"/>
    <s v="Plan C"/>
  </r>
  <r>
    <x v="827"/>
    <n v="26"/>
    <x v="5"/>
    <x v="184"/>
    <x v="1"/>
    <x v="423"/>
    <x v="3"/>
    <x v="2"/>
    <n v="5"/>
    <s v="Dr. Patel"/>
    <n v="38957"/>
    <s v="MedE"/>
    <s v="No"/>
    <x v="1"/>
    <d v="2024-03-06T00:00:00"/>
    <d v="2024-04-06T22:00:00"/>
    <x v="3"/>
    <s v="Accepted"/>
    <s v="Night"/>
    <n v="6"/>
    <n v="10"/>
    <s v="Plan B"/>
  </r>
  <r>
    <x v="828"/>
    <n v="36"/>
    <x v="3"/>
    <x v="437"/>
    <x v="1"/>
    <x v="162"/>
    <x v="0"/>
    <x v="4"/>
    <n v="1"/>
    <s v="Dr. Mehta"/>
    <n v="18908"/>
    <s v="MedD"/>
    <s v="Yes"/>
    <x v="0"/>
    <s v="17-05-23 0:00"/>
    <s v="19-05-23 0:00"/>
    <x v="2"/>
    <s v="Accepted"/>
    <s v="Afternoon"/>
    <n v="4"/>
    <n v="12"/>
    <s v="Plan B"/>
  </r>
  <r>
    <x v="829"/>
    <n v="1"/>
    <x v="1"/>
    <x v="41"/>
    <x v="1"/>
    <x v="138"/>
    <x v="0"/>
    <x v="5"/>
    <n v="3"/>
    <s v="Dr. Patel"/>
    <n v="35652"/>
    <s v="MedA"/>
    <s v="Yes"/>
    <x v="0"/>
    <d v="2023-12-03T00:00:00"/>
    <s v="13-03-23 18:00"/>
    <x v="4"/>
    <s v="Accepted"/>
    <s v="Night"/>
    <n v="5"/>
    <n v="10"/>
    <s v="Plan A"/>
  </r>
  <r>
    <x v="830"/>
    <n v="8"/>
    <x v="2"/>
    <x v="362"/>
    <x v="1"/>
    <x v="181"/>
    <x v="2"/>
    <x v="5"/>
    <n v="2"/>
    <s v="Dr. Rao"/>
    <n v="35344"/>
    <s v="MedD"/>
    <s v="Yes"/>
    <x v="0"/>
    <d v="2023-06-10T00:00:00"/>
    <d v="2023-07-10T03:00:00"/>
    <x v="3"/>
    <s v="Accepted"/>
    <s v="Afternoon"/>
    <n v="5"/>
    <n v="10"/>
    <s v="Plan B"/>
  </r>
  <r>
    <x v="831"/>
    <n v="52"/>
    <x v="3"/>
    <x v="287"/>
    <x v="1"/>
    <x v="310"/>
    <x v="9"/>
    <x v="3"/>
    <n v="4"/>
    <s v="Dr. Gupta"/>
    <n v="30034"/>
    <s v="MedC"/>
    <s v="Yes"/>
    <x v="0"/>
    <s v="27-02-24 0:00"/>
    <s v="27-02-24 15:00"/>
    <x v="1"/>
    <s v="Accepted"/>
    <s v="Morning"/>
    <n v="9"/>
    <n v="12"/>
    <s v="Plan B"/>
  </r>
  <r>
    <x v="832"/>
    <n v="79"/>
    <x v="0"/>
    <x v="23"/>
    <x v="1"/>
    <x v="430"/>
    <x v="10"/>
    <x v="5"/>
    <n v="3"/>
    <s v="Dr. Mehta"/>
    <n v="30788"/>
    <s v="MedC"/>
    <s v="Yes"/>
    <x v="1"/>
    <s v="13-12-23 0:00"/>
    <s v="13-12-23 21:00"/>
    <x v="3"/>
    <s v="Accepted"/>
    <s v="Morning"/>
    <n v="6"/>
    <n v="12"/>
    <s v="Plan C"/>
  </r>
  <r>
    <x v="833"/>
    <n v="47"/>
    <x v="3"/>
    <x v="100"/>
    <x v="1"/>
    <x v="72"/>
    <x v="2"/>
    <x v="3"/>
    <n v="4"/>
    <s v="Dr. Rao"/>
    <n v="17751"/>
    <s v="MedC"/>
    <s v="Yes"/>
    <x v="0"/>
    <s v="31-05-24 0:00"/>
    <s v="31-05-24 16:00"/>
    <x v="0"/>
    <s v="Accepted"/>
    <s v="Afternoon"/>
    <n v="5"/>
    <n v="10"/>
    <s v="Plan B"/>
  </r>
  <r>
    <x v="834"/>
    <n v="56"/>
    <x v="1"/>
    <x v="53"/>
    <x v="1"/>
    <x v="428"/>
    <x v="9"/>
    <x v="4"/>
    <n v="4"/>
    <s v="Dr. Sharma"/>
    <n v="38793"/>
    <s v="MedE"/>
    <s v="Yes"/>
    <x v="0"/>
    <s v="28-09-23 0:00"/>
    <s v="29-09-23 3:00"/>
    <x v="0"/>
    <s v="Accepted"/>
    <s v="Morning"/>
    <n v="8"/>
    <n v="12"/>
    <s v="Plan C"/>
  </r>
  <r>
    <x v="835"/>
    <n v="86"/>
    <x v="2"/>
    <x v="172"/>
    <x v="1"/>
    <x v="431"/>
    <x v="9"/>
    <x v="0"/>
    <n v="2"/>
    <s v="Dr. Mehta"/>
    <n v="37839"/>
    <s v="MedC"/>
    <s v="Yes"/>
    <x v="1"/>
    <s v="30-12-22 0:00"/>
    <s v="31-12-22 23:00"/>
    <x v="2"/>
    <s v="Accepted"/>
    <s v="Night"/>
    <n v="4"/>
    <n v="10"/>
    <s v="Plan B"/>
  </r>
  <r>
    <x v="836"/>
    <n v="14"/>
    <x v="5"/>
    <x v="377"/>
    <x v="1"/>
    <x v="381"/>
    <x v="9"/>
    <x v="0"/>
    <n v="5"/>
    <s v="Dr. Gupta"/>
    <n v="43314"/>
    <s v="MedE"/>
    <s v="No"/>
    <x v="0"/>
    <d v="2023-12-10T00:00:00"/>
    <d v="2023-12-10T21:00:00"/>
    <x v="3"/>
    <s v="Accepted"/>
    <s v="Morning"/>
    <n v="11"/>
    <n v="12"/>
    <s v="Plan B"/>
  </r>
  <r>
    <x v="837"/>
    <n v="28"/>
    <x v="1"/>
    <x v="102"/>
    <x v="1"/>
    <x v="432"/>
    <x v="14"/>
    <x v="4"/>
    <n v="1"/>
    <s v="Dr. Gupta"/>
    <n v="40453"/>
    <s v="MedE"/>
    <s v="Yes"/>
    <x v="1"/>
    <s v="31-10-23 0:00"/>
    <s v="31-10-23 18:00"/>
    <x v="1"/>
    <s v="Rejected"/>
    <s v="Morning"/>
    <n v="8"/>
    <n v="8"/>
    <s v="Plan B"/>
  </r>
  <r>
    <x v="838"/>
    <n v="87"/>
    <x v="2"/>
    <x v="352"/>
    <x v="1"/>
    <x v="222"/>
    <x v="9"/>
    <x v="4"/>
    <n v="5"/>
    <s v="Dr. Sharma"/>
    <n v="14385"/>
    <s v="MedD"/>
    <s v="No"/>
    <x v="0"/>
    <s v="14-05-24 0:00"/>
    <s v="14-05-24 5:00"/>
    <x v="0"/>
    <s v="Accepted"/>
    <s v="Night"/>
    <n v="7"/>
    <n v="10"/>
    <s v="Plan A"/>
  </r>
  <r>
    <x v="839"/>
    <n v="78"/>
    <x v="3"/>
    <x v="227"/>
    <x v="1"/>
    <x v="433"/>
    <x v="9"/>
    <x v="1"/>
    <n v="3"/>
    <s v="Dr. Sharma"/>
    <n v="23232"/>
    <s v="MedA"/>
    <s v="No"/>
    <x v="0"/>
    <s v="31-05-23 0:00"/>
    <d v="2023-01-06T13:00:00"/>
    <x v="1"/>
    <s v="Accepted"/>
    <s v="Morning"/>
    <n v="4"/>
    <n v="8"/>
    <s v="Plan C"/>
  </r>
  <r>
    <x v="840"/>
    <n v="88"/>
    <x v="4"/>
    <x v="438"/>
    <x v="1"/>
    <x v="302"/>
    <x v="4"/>
    <x v="4"/>
    <n v="5"/>
    <s v="Dr. Mehta"/>
    <n v="48344"/>
    <s v="MedD"/>
    <s v="Yes"/>
    <x v="1"/>
    <s v="31-03-24 0:00"/>
    <d v="2024-01-04T00:00:00"/>
    <x v="4"/>
    <s v="Accepted"/>
    <s v="Morning"/>
    <n v="7"/>
    <n v="12"/>
    <s v="Plan A"/>
  </r>
  <r>
    <x v="841"/>
    <n v="2"/>
    <x v="4"/>
    <x v="355"/>
    <x v="1"/>
    <x v="109"/>
    <x v="1"/>
    <x v="5"/>
    <n v="3"/>
    <s v="Dr. Patel"/>
    <n v="39790"/>
    <s v="MedD"/>
    <s v="No"/>
    <x v="0"/>
    <d v="2024-06-05T00:00:00"/>
    <d v="2024-06-05T08:00:00"/>
    <x v="0"/>
    <s v="Accepted"/>
    <s v="Afternoon"/>
    <n v="9"/>
    <n v="8"/>
    <s v="Plan B"/>
  </r>
  <r>
    <x v="842"/>
    <n v="26"/>
    <x v="0"/>
    <x v="258"/>
    <x v="1"/>
    <x v="434"/>
    <x v="13"/>
    <x v="0"/>
    <n v="3"/>
    <s v="Dr. Sharma"/>
    <n v="20831"/>
    <s v="MedE"/>
    <s v="Yes"/>
    <x v="1"/>
    <s v="17-12-23 0:00"/>
    <s v="18-12-23 9:00"/>
    <x v="2"/>
    <s v="Accepted"/>
    <s v="Night"/>
    <n v="10"/>
    <n v="12"/>
    <s v="Plan A"/>
  </r>
  <r>
    <x v="843"/>
    <n v="14"/>
    <x v="2"/>
    <x v="239"/>
    <x v="1"/>
    <x v="242"/>
    <x v="6"/>
    <x v="2"/>
    <n v="1"/>
    <s v="Dr. Patel"/>
    <n v="25125"/>
    <s v="MedE"/>
    <s v="Yes"/>
    <x v="1"/>
    <d v="2023-04-12T00:00:00"/>
    <d v="2023-05-12T20:00:00"/>
    <x v="4"/>
    <s v="Accepted"/>
    <s v="Night"/>
    <n v="10"/>
    <n v="10"/>
    <s v="Plan C"/>
  </r>
  <r>
    <x v="844"/>
    <n v="59"/>
    <x v="4"/>
    <x v="439"/>
    <x v="1"/>
    <x v="435"/>
    <x v="4"/>
    <x v="0"/>
    <n v="2"/>
    <s v="Dr. Rao"/>
    <n v="22682"/>
    <s v="MedC"/>
    <s v="Yes"/>
    <x v="1"/>
    <s v="22-01-24 0:00"/>
    <s v="22-01-24 4:00"/>
    <x v="3"/>
    <s v="Accepted"/>
    <s v="Afternoon"/>
    <n v="10"/>
    <n v="12"/>
    <s v="Plan B"/>
  </r>
  <r>
    <x v="845"/>
    <n v="56"/>
    <x v="5"/>
    <x v="286"/>
    <x v="1"/>
    <x v="436"/>
    <x v="0"/>
    <x v="3"/>
    <n v="1"/>
    <s v="Dr. Gupta"/>
    <n v="41870"/>
    <s v="MedC"/>
    <s v="Yes"/>
    <x v="0"/>
    <d v="2024-06-04T00:00:00"/>
    <d v="2024-06-04T12:00:00"/>
    <x v="1"/>
    <s v="Accepted"/>
    <s v="Afternoon"/>
    <n v="5"/>
    <n v="12"/>
    <s v="Plan A"/>
  </r>
  <r>
    <x v="846"/>
    <n v="7"/>
    <x v="2"/>
    <x v="276"/>
    <x v="1"/>
    <x v="355"/>
    <x v="1"/>
    <x v="0"/>
    <n v="5"/>
    <s v="Dr. Patel"/>
    <n v="22288"/>
    <s v="MedD"/>
    <s v="Yes"/>
    <x v="0"/>
    <s v="23-11-23 0:00"/>
    <s v="23-11-23 15:00"/>
    <x v="0"/>
    <s v="Accepted"/>
    <s v="Morning"/>
    <n v="6"/>
    <n v="10"/>
    <s v="Plan A"/>
  </r>
  <r>
    <x v="847"/>
    <n v="3"/>
    <x v="5"/>
    <x v="440"/>
    <x v="1"/>
    <x v="164"/>
    <x v="10"/>
    <x v="1"/>
    <n v="3"/>
    <s v="Dr. Gupta"/>
    <n v="40794"/>
    <s v="MedB"/>
    <s v="Yes"/>
    <x v="0"/>
    <d v="2023-11-07T00:00:00"/>
    <d v="2023-12-07T10:00:00"/>
    <x v="4"/>
    <s v="Accepted"/>
    <s v="Morning"/>
    <n v="8"/>
    <n v="12"/>
    <s v="Plan C"/>
  </r>
  <r>
    <x v="848"/>
    <n v="23"/>
    <x v="5"/>
    <x v="195"/>
    <x v="1"/>
    <x v="47"/>
    <x v="5"/>
    <x v="4"/>
    <n v="4"/>
    <s v="Dr. Patel"/>
    <n v="44477"/>
    <s v="MedB"/>
    <s v="Yes"/>
    <x v="1"/>
    <d v="2023-01-09T00:00:00"/>
    <d v="2023-01-09T03:00:00"/>
    <x v="4"/>
    <s v="Accepted"/>
    <s v="Morning"/>
    <n v="7"/>
    <n v="10"/>
    <s v="Plan A"/>
  </r>
  <r>
    <x v="849"/>
    <n v="18"/>
    <x v="4"/>
    <x v="314"/>
    <x v="1"/>
    <x v="437"/>
    <x v="11"/>
    <x v="4"/>
    <n v="4"/>
    <s v="Dr. Rao"/>
    <n v="29405"/>
    <s v="MedC"/>
    <s v="Yes"/>
    <x v="1"/>
    <s v="26-01-24 0:00"/>
    <s v="27-01-24 2:00"/>
    <x v="0"/>
    <s v="Rejected"/>
    <s v="Afternoon"/>
    <n v="5"/>
    <n v="12"/>
    <s v="Plan C"/>
  </r>
  <r>
    <x v="850"/>
    <n v="38"/>
    <x v="2"/>
    <x v="409"/>
    <x v="1"/>
    <x v="281"/>
    <x v="4"/>
    <x v="0"/>
    <n v="3"/>
    <s v="Dr. Sharma"/>
    <n v="43737"/>
    <s v="MedB"/>
    <s v="Yes"/>
    <x v="0"/>
    <s v="26-08-23 0:00"/>
    <s v="26-08-23 5:00"/>
    <x v="3"/>
    <s v="Accepted"/>
    <s v="Night"/>
    <n v="10"/>
    <n v="10"/>
    <s v="Plan B"/>
  </r>
  <r>
    <x v="851"/>
    <n v="15"/>
    <x v="3"/>
    <x v="151"/>
    <x v="1"/>
    <x v="264"/>
    <x v="10"/>
    <x v="2"/>
    <n v="1"/>
    <s v="Dr. Rao"/>
    <n v="7620"/>
    <s v="MedC"/>
    <s v="Yes"/>
    <x v="0"/>
    <s v="22-02-24 0:00"/>
    <s v="23-02-24 6:00"/>
    <x v="3"/>
    <s v="Accepted"/>
    <s v="Morning"/>
    <n v="8"/>
    <n v="8"/>
    <s v="Plan B"/>
  </r>
  <r>
    <x v="852"/>
    <n v="64"/>
    <x v="1"/>
    <x v="33"/>
    <x v="1"/>
    <x v="43"/>
    <x v="14"/>
    <x v="2"/>
    <n v="2"/>
    <s v="Dr. Sharma"/>
    <n v="40414"/>
    <s v="MedE"/>
    <s v="Yes"/>
    <x v="0"/>
    <s v="14-02-23 0:00"/>
    <s v="14-02-23 19:00"/>
    <x v="2"/>
    <s v="Accepted"/>
    <s v="Afternoon"/>
    <n v="8"/>
    <n v="12"/>
    <s v="Plan A"/>
  </r>
  <r>
    <x v="853"/>
    <n v="89"/>
    <x v="4"/>
    <x v="441"/>
    <x v="1"/>
    <x v="188"/>
    <x v="2"/>
    <x v="1"/>
    <n v="1"/>
    <s v="Dr. Sharma"/>
    <n v="42633"/>
    <s v="MedD"/>
    <s v="Yes"/>
    <x v="1"/>
    <s v="18-11-23 0:00"/>
    <s v="18-11-23 20:00"/>
    <x v="3"/>
    <s v="Accepted"/>
    <s v="Night"/>
    <n v="9"/>
    <n v="12"/>
    <s v="Plan B"/>
  </r>
  <r>
    <x v="854"/>
    <n v="28"/>
    <x v="4"/>
    <x v="144"/>
    <x v="1"/>
    <x v="154"/>
    <x v="10"/>
    <x v="3"/>
    <n v="3"/>
    <s v="Dr. Gupta"/>
    <n v="40057"/>
    <s v="MedA"/>
    <s v="Yes"/>
    <x v="0"/>
    <s v="28-04-24 0:00"/>
    <s v="28-04-24 21:00"/>
    <x v="2"/>
    <s v="Accepted"/>
    <s v="Afternoon"/>
    <n v="9"/>
    <n v="12"/>
    <s v="Plan B"/>
  </r>
  <r>
    <x v="855"/>
    <n v="74"/>
    <x v="3"/>
    <x v="89"/>
    <x v="1"/>
    <x v="438"/>
    <x v="7"/>
    <x v="0"/>
    <n v="3"/>
    <s v="Dr. Rao"/>
    <n v="45138"/>
    <s v="MedD"/>
    <s v="Yes"/>
    <x v="0"/>
    <s v="21-01-24 0:00"/>
    <s v="21-01-24 6:00"/>
    <x v="4"/>
    <s v="Accepted"/>
    <s v="Morning"/>
    <n v="10"/>
    <n v="10"/>
    <s v="Plan A"/>
  </r>
  <r>
    <x v="856"/>
    <n v="39"/>
    <x v="2"/>
    <x v="442"/>
    <x v="1"/>
    <x v="439"/>
    <x v="11"/>
    <x v="4"/>
    <n v="2"/>
    <s v="Dr. Patel"/>
    <n v="18854"/>
    <s v="MedC"/>
    <s v="Yes"/>
    <x v="0"/>
    <s v="30-01-24 0:00"/>
    <s v="31-01-24 12:00"/>
    <x v="0"/>
    <s v="Accepted"/>
    <s v="Afternoon"/>
    <n v="7"/>
    <n v="12"/>
    <s v="Plan B"/>
  </r>
  <r>
    <x v="857"/>
    <n v="57"/>
    <x v="2"/>
    <x v="393"/>
    <x v="1"/>
    <x v="87"/>
    <x v="0"/>
    <x v="0"/>
    <n v="5"/>
    <s v="Dr. Rao"/>
    <n v="14677"/>
    <s v="MedC"/>
    <s v="No"/>
    <x v="0"/>
    <d v="2023-05-06T00:00:00"/>
    <d v="2023-06-06T06:00:00"/>
    <x v="3"/>
    <s v="Accepted"/>
    <s v="Afternoon"/>
    <n v="10"/>
    <n v="10"/>
    <s v="Plan A"/>
  </r>
  <r>
    <x v="858"/>
    <n v="17"/>
    <x v="5"/>
    <x v="425"/>
    <x v="1"/>
    <x v="403"/>
    <x v="0"/>
    <x v="1"/>
    <n v="5"/>
    <s v="Dr. Gupta"/>
    <n v="49111"/>
    <s v="MedD"/>
    <s v="Yes"/>
    <x v="1"/>
    <s v="20-05-24 0:00"/>
    <s v="20-05-24 1:00"/>
    <x v="2"/>
    <s v="Accepted"/>
    <s v="Afternoon"/>
    <n v="10"/>
    <n v="12"/>
    <s v="Plan C"/>
  </r>
  <r>
    <x v="859"/>
    <n v="86"/>
    <x v="3"/>
    <x v="426"/>
    <x v="1"/>
    <x v="394"/>
    <x v="2"/>
    <x v="5"/>
    <n v="2"/>
    <s v="Dr. Sharma"/>
    <n v="29074"/>
    <s v="MedC"/>
    <s v="No"/>
    <x v="0"/>
    <d v="2023-03-02T00:00:00"/>
    <d v="2023-04-02T00:00:00"/>
    <x v="4"/>
    <s v="Accepted"/>
    <s v="Afternoon"/>
    <n v="5"/>
    <n v="8"/>
    <s v="Plan C"/>
  </r>
  <r>
    <x v="860"/>
    <n v="44"/>
    <x v="3"/>
    <x v="341"/>
    <x v="1"/>
    <x v="402"/>
    <x v="14"/>
    <x v="5"/>
    <n v="5"/>
    <s v="Dr. Gupta"/>
    <n v="22824"/>
    <s v="MedB"/>
    <s v="No"/>
    <x v="0"/>
    <d v="2023-06-05T00:00:00"/>
    <d v="2023-06-05T13:00:00"/>
    <x v="3"/>
    <s v="Accepted"/>
    <s v="Night"/>
    <n v="6"/>
    <n v="12"/>
    <s v="Plan C"/>
  </r>
  <r>
    <x v="861"/>
    <n v="25"/>
    <x v="2"/>
    <x v="183"/>
    <x v="1"/>
    <x v="13"/>
    <x v="12"/>
    <x v="1"/>
    <n v="4"/>
    <s v="Dr. Mehta"/>
    <n v="5765"/>
    <s v="MedB"/>
    <s v="Yes"/>
    <x v="0"/>
    <s v="25-05-24 0:00"/>
    <s v="25-05-24 19:00"/>
    <x v="1"/>
    <s v="Accepted"/>
    <s v="Morning"/>
    <n v="10"/>
    <n v="8"/>
    <s v="Plan A"/>
  </r>
  <r>
    <x v="862"/>
    <n v="17"/>
    <x v="5"/>
    <x v="255"/>
    <x v="1"/>
    <x v="360"/>
    <x v="11"/>
    <x v="4"/>
    <n v="5"/>
    <s v="Dr. Mehta"/>
    <n v="36615"/>
    <s v="MedC"/>
    <s v="Yes"/>
    <x v="0"/>
    <d v="2023-01-12T00:00:00"/>
    <d v="2023-02-12T13:00:00"/>
    <x v="4"/>
    <s v="Accepted"/>
    <s v="Night"/>
    <n v="7"/>
    <n v="10"/>
    <s v="Plan A"/>
  </r>
  <r>
    <x v="863"/>
    <n v="13"/>
    <x v="4"/>
    <x v="201"/>
    <x v="1"/>
    <x v="159"/>
    <x v="14"/>
    <x v="1"/>
    <n v="5"/>
    <s v="Dr. Patel"/>
    <n v="41860"/>
    <s v="MedC"/>
    <s v="No"/>
    <x v="0"/>
    <d v="2023-10-04T00:00:00"/>
    <d v="2023-10-04T20:00:00"/>
    <x v="3"/>
    <s v="Accepted"/>
    <s v="Afternoon"/>
    <n v="8"/>
    <n v="8"/>
    <s v="Plan B"/>
  </r>
  <r>
    <x v="864"/>
    <n v="84"/>
    <x v="0"/>
    <x v="309"/>
    <x v="1"/>
    <x v="440"/>
    <x v="10"/>
    <x v="4"/>
    <n v="5"/>
    <s v="Dr. Gupta"/>
    <n v="17975"/>
    <s v="MedB"/>
    <s v="No"/>
    <x v="0"/>
    <s v="24-03-24 0:00"/>
    <s v="26-03-24 0:00"/>
    <x v="4"/>
    <s v="Accepted"/>
    <s v="Afternoon"/>
    <n v="8"/>
    <n v="12"/>
    <s v="Plan B"/>
  </r>
  <r>
    <x v="865"/>
    <n v="25"/>
    <x v="1"/>
    <x v="201"/>
    <x v="1"/>
    <x v="169"/>
    <x v="3"/>
    <x v="2"/>
    <n v="4"/>
    <s v="Dr. Patel"/>
    <n v="14341"/>
    <s v="MedC"/>
    <s v="Yes"/>
    <x v="1"/>
    <d v="2023-12-04T00:00:00"/>
    <s v="13-04-23 16:00"/>
    <x v="0"/>
    <s v="Rejected"/>
    <s v="Morning"/>
    <n v="11"/>
    <n v="12"/>
    <s v="Plan B"/>
  </r>
  <r>
    <x v="866"/>
    <n v="68"/>
    <x v="4"/>
    <x v="443"/>
    <x v="1"/>
    <x v="441"/>
    <x v="4"/>
    <x v="1"/>
    <n v="5"/>
    <s v="Dr. Patel"/>
    <n v="33141"/>
    <s v="MedC"/>
    <s v="No"/>
    <x v="0"/>
    <s v="21-06-24 0:00"/>
    <s v="21-06-24 16:00"/>
    <x v="0"/>
    <s v="Accepted"/>
    <s v="Morning"/>
    <n v="4"/>
    <n v="10"/>
    <s v="Plan B"/>
  </r>
  <r>
    <x v="867"/>
    <n v="10"/>
    <x v="2"/>
    <x v="298"/>
    <x v="1"/>
    <x v="206"/>
    <x v="10"/>
    <x v="4"/>
    <n v="4"/>
    <s v="Dr. Mehta"/>
    <n v="17334"/>
    <s v="MedD"/>
    <s v="No"/>
    <x v="0"/>
    <d v="2024-10-04T00:00:00"/>
    <d v="2024-11-04T06:00:00"/>
    <x v="0"/>
    <s v="Accepted"/>
    <s v="Night"/>
    <n v="10"/>
    <n v="12"/>
    <s v="Plan B"/>
  </r>
  <r>
    <x v="868"/>
    <n v="67"/>
    <x v="1"/>
    <x v="166"/>
    <x v="1"/>
    <x v="135"/>
    <x v="9"/>
    <x v="1"/>
    <n v="2"/>
    <s v="Dr. Patel"/>
    <n v="20835"/>
    <s v="MedA"/>
    <s v="Yes"/>
    <x v="0"/>
    <s v="15-01-23 0:00"/>
    <s v="16-01-23 0:00"/>
    <x v="1"/>
    <s v="Accepted"/>
    <s v="Night"/>
    <n v="11"/>
    <n v="12"/>
    <s v="Plan A"/>
  </r>
  <r>
    <x v="869"/>
    <n v="18"/>
    <x v="0"/>
    <x v="444"/>
    <x v="1"/>
    <x v="399"/>
    <x v="10"/>
    <x v="1"/>
    <n v="1"/>
    <s v="Dr. Mehta"/>
    <n v="31548"/>
    <s v="MedB"/>
    <s v="No"/>
    <x v="0"/>
    <s v="25-05-23 0:00"/>
    <s v="26-05-23 14:00"/>
    <x v="0"/>
    <s v="Accepted"/>
    <s v="Morning"/>
    <n v="11"/>
    <n v="10"/>
    <s v="Plan A"/>
  </r>
  <r>
    <x v="870"/>
    <n v="86"/>
    <x v="0"/>
    <x v="445"/>
    <x v="1"/>
    <x v="310"/>
    <x v="13"/>
    <x v="4"/>
    <n v="2"/>
    <s v="Dr. Sharma"/>
    <n v="40434"/>
    <s v="MedD"/>
    <s v="Yes"/>
    <x v="1"/>
    <s v="20-02-24 0:00"/>
    <s v="21-02-24 8:00"/>
    <x v="1"/>
    <s v="Accepted"/>
    <s v="Night"/>
    <n v="5"/>
    <n v="10"/>
    <s v="Plan C"/>
  </r>
  <r>
    <x v="871"/>
    <n v="34"/>
    <x v="5"/>
    <x v="177"/>
    <x v="1"/>
    <x v="86"/>
    <x v="0"/>
    <x v="4"/>
    <n v="1"/>
    <s v="Dr. Gupta"/>
    <n v="30039"/>
    <s v="MedA"/>
    <s v="Yes"/>
    <x v="0"/>
    <d v="2023-07-06T00:00:00"/>
    <d v="2023-07-06T13:00:00"/>
    <x v="0"/>
    <s v="Rejected"/>
    <s v="Afternoon"/>
    <n v="4"/>
    <n v="8"/>
    <s v="Plan C"/>
  </r>
  <r>
    <x v="872"/>
    <n v="8"/>
    <x v="1"/>
    <x v="404"/>
    <x v="1"/>
    <x v="119"/>
    <x v="3"/>
    <x v="3"/>
    <n v="2"/>
    <s v="Dr. Patel"/>
    <n v="37530"/>
    <s v="MedC"/>
    <s v="No"/>
    <x v="0"/>
    <s v="15-03-23 0:00"/>
    <s v="16-03-23 23:00"/>
    <x v="4"/>
    <s v="Accepted"/>
    <s v="Afternoon"/>
    <n v="9"/>
    <n v="10"/>
    <s v="Plan C"/>
  </r>
  <r>
    <x v="873"/>
    <n v="40"/>
    <x v="5"/>
    <x v="384"/>
    <x v="1"/>
    <x v="363"/>
    <x v="13"/>
    <x v="1"/>
    <n v="1"/>
    <s v="Dr. Mehta"/>
    <n v="43736"/>
    <s v="MedC"/>
    <s v="No"/>
    <x v="1"/>
    <s v="21-04-24 0:00"/>
    <s v="22-04-24 11:00"/>
    <x v="3"/>
    <s v="Accepted"/>
    <s v="Morning"/>
    <n v="6"/>
    <n v="12"/>
    <s v="Plan C"/>
  </r>
  <r>
    <x v="874"/>
    <n v="83"/>
    <x v="4"/>
    <x v="75"/>
    <x v="1"/>
    <x v="181"/>
    <x v="14"/>
    <x v="5"/>
    <n v="1"/>
    <s v="Dr. Rao"/>
    <n v="45409"/>
    <s v="MedD"/>
    <s v="Yes"/>
    <x v="0"/>
    <s v="24-09-23 0:00"/>
    <s v="24-09-23 16:00"/>
    <x v="3"/>
    <s v="Accepted"/>
    <s v="Night"/>
    <n v="7"/>
    <n v="10"/>
    <s v="Plan A"/>
  </r>
  <r>
    <x v="875"/>
    <n v="42"/>
    <x v="3"/>
    <x v="131"/>
    <x v="1"/>
    <x v="32"/>
    <x v="0"/>
    <x v="1"/>
    <n v="3"/>
    <s v="Dr. Patel"/>
    <n v="23565"/>
    <s v="MedC"/>
    <s v="Yes"/>
    <x v="1"/>
    <d v="2023-08-12T00:00:00"/>
    <d v="2023-08-12T10:00:00"/>
    <x v="0"/>
    <s v="Accepted"/>
    <s v="Afternoon"/>
    <n v="10"/>
    <n v="12"/>
    <s v="Plan A"/>
  </r>
  <r>
    <x v="876"/>
    <n v="41"/>
    <x v="3"/>
    <x v="446"/>
    <x v="1"/>
    <x v="197"/>
    <x v="6"/>
    <x v="1"/>
    <n v="1"/>
    <s v="Dr. Sharma"/>
    <n v="14834"/>
    <s v="MedE"/>
    <s v="Yes"/>
    <x v="0"/>
    <d v="2024-10-02T00:00:00"/>
    <d v="2024-10-02T01:00:00"/>
    <x v="3"/>
    <s v="Accepted"/>
    <s v="Morning"/>
    <n v="8"/>
    <n v="8"/>
    <s v="Plan A"/>
  </r>
  <r>
    <x v="877"/>
    <n v="6"/>
    <x v="3"/>
    <x v="185"/>
    <x v="1"/>
    <x v="442"/>
    <x v="11"/>
    <x v="4"/>
    <n v="1"/>
    <s v="Dr. Sharma"/>
    <n v="41656"/>
    <s v="MedD"/>
    <s v="No"/>
    <x v="0"/>
    <s v="22-03-23 0:00"/>
    <s v="23-03-23 3:00"/>
    <x v="0"/>
    <s v="Accepted"/>
    <s v="Night"/>
    <n v="5"/>
    <n v="10"/>
    <s v="Plan B"/>
  </r>
  <r>
    <x v="878"/>
    <n v="52"/>
    <x v="1"/>
    <x v="252"/>
    <x v="1"/>
    <x v="142"/>
    <x v="6"/>
    <x v="1"/>
    <n v="3"/>
    <s v="Dr. Rao"/>
    <n v="5840"/>
    <s v="MedA"/>
    <s v="No"/>
    <x v="0"/>
    <s v="30-11-23 0:00"/>
    <s v="30-11-23 2:00"/>
    <x v="0"/>
    <s v="Accepted"/>
    <s v="Afternoon"/>
    <n v="8"/>
    <n v="12"/>
    <s v="Plan B"/>
  </r>
  <r>
    <x v="879"/>
    <n v="26"/>
    <x v="3"/>
    <x v="28"/>
    <x v="1"/>
    <x v="178"/>
    <x v="0"/>
    <x v="0"/>
    <n v="5"/>
    <s v="Dr. Mehta"/>
    <n v="18873"/>
    <s v="MedD"/>
    <s v="No"/>
    <x v="0"/>
    <s v="20-01-24 0:00"/>
    <s v="20-01-24 15:00"/>
    <x v="2"/>
    <s v="Accepted"/>
    <s v="Night"/>
    <n v="10"/>
    <n v="10"/>
    <s v="Plan C"/>
  </r>
  <r>
    <x v="880"/>
    <n v="64"/>
    <x v="4"/>
    <x v="300"/>
    <x v="1"/>
    <x v="188"/>
    <x v="3"/>
    <x v="1"/>
    <n v="5"/>
    <s v="Dr. Patel"/>
    <n v="36568"/>
    <s v="MedB"/>
    <s v="No"/>
    <x v="0"/>
    <s v="16-11-23 0:00"/>
    <s v="17-11-23 11:00"/>
    <x v="2"/>
    <s v="Accepted"/>
    <s v="Night"/>
    <n v="9"/>
    <n v="10"/>
    <s v="Plan B"/>
  </r>
  <r>
    <x v="881"/>
    <n v="59"/>
    <x v="5"/>
    <x v="323"/>
    <x v="1"/>
    <x v="443"/>
    <x v="14"/>
    <x v="0"/>
    <n v="3"/>
    <s v="Dr. Mehta"/>
    <n v="15846"/>
    <s v="MedD"/>
    <s v="Yes"/>
    <x v="0"/>
    <d v="2024-09-05T00:00:00"/>
    <d v="2024-09-05T23:00:00"/>
    <x v="2"/>
    <s v="Accepted"/>
    <s v="Night"/>
    <n v="4"/>
    <n v="10"/>
    <s v="Plan A"/>
  </r>
  <r>
    <x v="882"/>
    <n v="56"/>
    <x v="1"/>
    <x v="228"/>
    <x v="1"/>
    <x v="394"/>
    <x v="3"/>
    <x v="5"/>
    <n v="4"/>
    <s v="Dr. Sharma"/>
    <n v="10899"/>
    <s v="MedC"/>
    <s v="Yes"/>
    <x v="0"/>
    <d v="2023-03-02T00:00:00"/>
    <d v="2023-04-02T17:00:00"/>
    <x v="1"/>
    <s v="Accepted"/>
    <s v="Morning"/>
    <n v="10"/>
    <n v="10"/>
    <s v="Plan C"/>
  </r>
  <r>
    <x v="883"/>
    <n v="59"/>
    <x v="5"/>
    <x v="116"/>
    <x v="1"/>
    <x v="189"/>
    <x v="2"/>
    <x v="4"/>
    <n v="1"/>
    <s v="Dr. Mehta"/>
    <n v="25502"/>
    <s v="MedC"/>
    <s v="Yes"/>
    <x v="0"/>
    <d v="2023-09-03T00:00:00"/>
    <d v="2023-10-03T21:00:00"/>
    <x v="2"/>
    <s v="Accepted"/>
    <s v="Afternoon"/>
    <n v="4"/>
    <n v="8"/>
    <s v="Plan C"/>
  </r>
  <r>
    <x v="884"/>
    <n v="70"/>
    <x v="1"/>
    <x v="187"/>
    <x v="1"/>
    <x v="144"/>
    <x v="11"/>
    <x v="1"/>
    <n v="1"/>
    <s v="Dr. Sharma"/>
    <n v="5565"/>
    <s v="MedE"/>
    <s v="No"/>
    <x v="0"/>
    <s v="28-08-23 0:00"/>
    <s v="28-08-23 1:00"/>
    <x v="0"/>
    <s v="Accepted"/>
    <s v="Morning"/>
    <n v="7"/>
    <n v="12"/>
    <s v="Plan B"/>
  </r>
  <r>
    <x v="885"/>
    <n v="33"/>
    <x v="5"/>
    <x v="431"/>
    <x v="1"/>
    <x v="417"/>
    <x v="14"/>
    <x v="0"/>
    <n v="3"/>
    <s v="Dr. Mehta"/>
    <n v="43773"/>
    <s v="MedE"/>
    <s v="Yes"/>
    <x v="1"/>
    <s v="17-10-23 0:00"/>
    <s v="17-10-23 22:00"/>
    <x v="4"/>
    <s v="Accepted"/>
    <s v="Afternoon"/>
    <n v="5"/>
    <n v="10"/>
    <s v="Plan C"/>
  </r>
  <r>
    <x v="886"/>
    <n v="53"/>
    <x v="0"/>
    <x v="379"/>
    <x v="1"/>
    <x v="281"/>
    <x v="6"/>
    <x v="0"/>
    <n v="3"/>
    <s v="Dr. Rao"/>
    <n v="46924"/>
    <s v="MedE"/>
    <s v="Yes"/>
    <x v="0"/>
    <s v="19-08-23 0:00"/>
    <s v="19-08-23 1:00"/>
    <x v="2"/>
    <s v="Accepted"/>
    <s v="Afternoon"/>
    <n v="9"/>
    <n v="12"/>
    <s v="Plan B"/>
  </r>
  <r>
    <x v="887"/>
    <n v="22"/>
    <x v="5"/>
    <x v="447"/>
    <x v="1"/>
    <x v="305"/>
    <x v="4"/>
    <x v="0"/>
    <n v="4"/>
    <s v="Dr. Gupta"/>
    <n v="48242"/>
    <s v="MedA"/>
    <s v="Yes"/>
    <x v="1"/>
    <d v="2023-02-04T00:00:00"/>
    <d v="2023-03-04T19:00:00"/>
    <x v="2"/>
    <s v="Accepted"/>
    <s v="Morning"/>
    <n v="5"/>
    <n v="8"/>
    <s v="Plan B"/>
  </r>
  <r>
    <x v="888"/>
    <n v="21"/>
    <x v="3"/>
    <x v="257"/>
    <x v="1"/>
    <x v="353"/>
    <x v="5"/>
    <x v="2"/>
    <n v="5"/>
    <s v="Dr. Rao"/>
    <n v="14187"/>
    <s v="MedE"/>
    <s v="Yes"/>
    <x v="0"/>
    <s v="19-03-24 0:00"/>
    <s v="20-03-24 1:00"/>
    <x v="4"/>
    <s v="Accepted"/>
    <s v="Morning"/>
    <n v="7"/>
    <n v="12"/>
    <s v="Plan C"/>
  </r>
  <r>
    <x v="889"/>
    <n v="70"/>
    <x v="0"/>
    <x v="154"/>
    <x v="1"/>
    <x v="156"/>
    <x v="7"/>
    <x v="3"/>
    <n v="2"/>
    <s v="Dr. Rao"/>
    <n v="12226"/>
    <s v="MedA"/>
    <s v="Yes"/>
    <x v="0"/>
    <d v="2023-06-04T00:00:00"/>
    <d v="2023-08-04T00:00:00"/>
    <x v="0"/>
    <s v="Accepted"/>
    <s v="Afternoon"/>
    <n v="9"/>
    <n v="12"/>
    <s v="Plan B"/>
  </r>
  <r>
    <x v="890"/>
    <n v="70"/>
    <x v="5"/>
    <x v="201"/>
    <x v="1"/>
    <x v="427"/>
    <x v="4"/>
    <x v="5"/>
    <n v="5"/>
    <s v="Dr. Gupta"/>
    <n v="47147"/>
    <s v="MedE"/>
    <s v="Yes"/>
    <x v="0"/>
    <d v="2023-09-04T00:00:00"/>
    <d v="2023-10-04T23:00:00"/>
    <x v="1"/>
    <s v="Accepted"/>
    <s v="Afternoon"/>
    <n v="11"/>
    <n v="8"/>
    <s v="Plan B"/>
  </r>
  <r>
    <x v="891"/>
    <n v="4"/>
    <x v="1"/>
    <x v="448"/>
    <x v="1"/>
    <x v="161"/>
    <x v="14"/>
    <x v="1"/>
    <n v="1"/>
    <s v="Dr. Gupta"/>
    <n v="43658"/>
    <s v="MedA"/>
    <s v="Yes"/>
    <x v="0"/>
    <s v="27-03-24 0:00"/>
    <s v="27-03-24 20:00"/>
    <x v="2"/>
    <s v="Accepted"/>
    <s v="Afternoon"/>
    <n v="9"/>
    <n v="10"/>
    <s v="Plan B"/>
  </r>
  <r>
    <x v="892"/>
    <n v="75"/>
    <x v="1"/>
    <x v="168"/>
    <x v="1"/>
    <x v="25"/>
    <x v="7"/>
    <x v="2"/>
    <n v="3"/>
    <s v="Dr. Patel"/>
    <n v="9311"/>
    <s v="MedD"/>
    <s v="Yes"/>
    <x v="0"/>
    <s v="19-06-23 0:00"/>
    <s v="19-06-23 7:00"/>
    <x v="4"/>
    <s v="Accepted"/>
    <s v="Night"/>
    <n v="4"/>
    <n v="12"/>
    <s v="Plan B"/>
  </r>
  <r>
    <x v="893"/>
    <n v="62"/>
    <x v="1"/>
    <x v="209"/>
    <x v="1"/>
    <x v="342"/>
    <x v="8"/>
    <x v="1"/>
    <n v="4"/>
    <s v="Dr. Patel"/>
    <n v="49214"/>
    <s v="MedD"/>
    <s v="Yes"/>
    <x v="0"/>
    <s v="30-10-23 0:00"/>
    <s v="30-10-23 14:00"/>
    <x v="0"/>
    <s v="Accepted"/>
    <s v="Afternoon"/>
    <n v="4"/>
    <n v="12"/>
    <s v="Plan C"/>
  </r>
  <r>
    <x v="894"/>
    <n v="62"/>
    <x v="2"/>
    <x v="325"/>
    <x v="1"/>
    <x v="406"/>
    <x v="4"/>
    <x v="1"/>
    <n v="5"/>
    <s v="Dr. Rao"/>
    <n v="46616"/>
    <s v="MedC"/>
    <s v="Yes"/>
    <x v="1"/>
    <s v="25-01-23 0:00"/>
    <s v="26-01-23 10:00"/>
    <x v="3"/>
    <s v="Accepted"/>
    <s v="Morning"/>
    <n v="4"/>
    <n v="10"/>
    <s v="Plan A"/>
  </r>
  <r>
    <x v="895"/>
    <n v="24"/>
    <x v="4"/>
    <x v="285"/>
    <x v="1"/>
    <x v="344"/>
    <x v="10"/>
    <x v="4"/>
    <n v="4"/>
    <s v="Dr. Rao"/>
    <n v="30689"/>
    <s v="MedA"/>
    <s v="Yes"/>
    <x v="1"/>
    <s v="17-02-23 0:00"/>
    <s v="17-02-23 16:00"/>
    <x v="1"/>
    <s v="Accepted"/>
    <s v="Morning"/>
    <n v="8"/>
    <n v="10"/>
    <s v="Plan A"/>
  </r>
  <r>
    <x v="896"/>
    <n v="55"/>
    <x v="1"/>
    <x v="61"/>
    <x v="1"/>
    <x v="444"/>
    <x v="8"/>
    <x v="4"/>
    <n v="5"/>
    <s v="Dr. Sharma"/>
    <n v="11083"/>
    <s v="MedB"/>
    <s v="No"/>
    <x v="1"/>
    <s v="25-11-23 0:00"/>
    <s v="26-11-23 3:00"/>
    <x v="4"/>
    <s v="Accepted"/>
    <s v="Morning"/>
    <n v="11"/>
    <n v="12"/>
    <s v="Plan B"/>
  </r>
  <r>
    <x v="897"/>
    <n v="9"/>
    <x v="0"/>
    <x v="62"/>
    <x v="1"/>
    <x v="190"/>
    <x v="5"/>
    <x v="4"/>
    <n v="1"/>
    <s v="Dr. Sharma"/>
    <n v="17598"/>
    <s v="MedC"/>
    <s v="Yes"/>
    <x v="0"/>
    <s v="27-02-23 0:00"/>
    <s v="28-02-23 8:00"/>
    <x v="4"/>
    <s v="Accepted"/>
    <s v="Afternoon"/>
    <n v="6"/>
    <n v="8"/>
    <s v="Plan B"/>
  </r>
  <r>
    <x v="898"/>
    <n v="3"/>
    <x v="1"/>
    <x v="38"/>
    <x v="1"/>
    <x v="186"/>
    <x v="9"/>
    <x v="2"/>
    <n v="2"/>
    <s v="Dr. Patel"/>
    <n v="21940"/>
    <s v="MedD"/>
    <s v="No"/>
    <x v="1"/>
    <s v="28-10-23 0:00"/>
    <s v="28-10-23 4:00"/>
    <x v="4"/>
    <s v="Accepted"/>
    <s v="Afternoon"/>
    <n v="10"/>
    <n v="10"/>
    <s v="Plan B"/>
  </r>
  <r>
    <x v="899"/>
    <n v="31"/>
    <x v="2"/>
    <x v="30"/>
    <x v="1"/>
    <x v="31"/>
    <x v="1"/>
    <x v="1"/>
    <n v="4"/>
    <s v="Dr. Patel"/>
    <n v="31880"/>
    <s v="MedA"/>
    <s v="No"/>
    <x v="0"/>
    <s v="29-12-23 0:00"/>
    <s v="29-12-23 10:00"/>
    <x v="2"/>
    <s v="Accepted"/>
    <s v="Night"/>
    <n v="4"/>
    <n v="10"/>
    <s v="Plan A"/>
  </r>
  <r>
    <x v="900"/>
    <n v="40"/>
    <x v="3"/>
    <x v="449"/>
    <x v="1"/>
    <x v="30"/>
    <x v="13"/>
    <x v="3"/>
    <n v="4"/>
    <s v="Dr. Sharma"/>
    <n v="7580"/>
    <s v="MedE"/>
    <s v="Yes"/>
    <x v="0"/>
    <s v="19-01-24 0:00"/>
    <s v="20-01-24 22:00"/>
    <x v="3"/>
    <s v="Accepted"/>
    <s v="Night"/>
    <n v="6"/>
    <n v="8"/>
    <s v="Plan B"/>
  </r>
  <r>
    <x v="901"/>
    <n v="36"/>
    <x v="0"/>
    <x v="149"/>
    <x v="1"/>
    <x v="445"/>
    <x v="9"/>
    <x v="5"/>
    <n v="2"/>
    <s v="Dr. Sharma"/>
    <n v="47321"/>
    <s v="MedB"/>
    <s v="Yes"/>
    <x v="1"/>
    <s v="17-03-24 0:00"/>
    <s v="17-03-24 18:00"/>
    <x v="1"/>
    <s v="Accepted"/>
    <s v="Morning"/>
    <n v="6"/>
    <n v="12"/>
    <s v="Plan C"/>
  </r>
  <r>
    <x v="902"/>
    <n v="24"/>
    <x v="2"/>
    <x v="450"/>
    <x v="1"/>
    <x v="230"/>
    <x v="6"/>
    <x v="4"/>
    <n v="4"/>
    <s v="Dr. Mehta"/>
    <n v="14386"/>
    <s v="MedD"/>
    <s v="No"/>
    <x v="0"/>
    <s v="27-05-23 0:00"/>
    <s v="27-05-23 6:00"/>
    <x v="0"/>
    <s v="Rejected"/>
    <s v="Night"/>
    <n v="5"/>
    <n v="10"/>
    <s v="Plan C"/>
  </r>
  <r>
    <x v="903"/>
    <n v="6"/>
    <x v="3"/>
    <x v="3"/>
    <x v="1"/>
    <x v="364"/>
    <x v="5"/>
    <x v="4"/>
    <n v="4"/>
    <s v="Dr. Mehta"/>
    <n v="24522"/>
    <s v="MedC"/>
    <s v="No"/>
    <x v="0"/>
    <d v="2023-07-09T00:00:00"/>
    <d v="2023-07-09T03:00:00"/>
    <x v="0"/>
    <s v="Accepted"/>
    <s v="Night"/>
    <n v="7"/>
    <n v="12"/>
    <s v="Plan C"/>
  </r>
  <r>
    <x v="904"/>
    <n v="66"/>
    <x v="0"/>
    <x v="240"/>
    <x v="1"/>
    <x v="446"/>
    <x v="4"/>
    <x v="1"/>
    <n v="5"/>
    <s v="Dr. Sharma"/>
    <n v="31224"/>
    <s v="MedA"/>
    <s v="No"/>
    <x v="1"/>
    <s v="21-02-24 0:00"/>
    <s v="21-02-24 15:00"/>
    <x v="3"/>
    <s v="Accepted"/>
    <s v="Morning"/>
    <n v="8"/>
    <n v="12"/>
    <s v="Plan A"/>
  </r>
  <r>
    <x v="905"/>
    <n v="84"/>
    <x v="5"/>
    <x v="451"/>
    <x v="1"/>
    <x v="447"/>
    <x v="14"/>
    <x v="1"/>
    <n v="5"/>
    <s v="Dr. Mehta"/>
    <n v="19635"/>
    <s v="MedB"/>
    <s v="No"/>
    <x v="0"/>
    <d v="2023-03-07T00:00:00"/>
    <d v="2023-04-07T10:00:00"/>
    <x v="4"/>
    <s v="Accepted"/>
    <s v="Afternoon"/>
    <n v="6"/>
    <n v="12"/>
    <s v="Plan B"/>
  </r>
  <r>
    <x v="906"/>
    <n v="75"/>
    <x v="4"/>
    <x v="452"/>
    <x v="1"/>
    <x v="270"/>
    <x v="0"/>
    <x v="2"/>
    <n v="2"/>
    <s v="Dr. Gupta"/>
    <n v="5671"/>
    <s v="MedA"/>
    <s v="Yes"/>
    <x v="0"/>
    <s v="24-06-23 0:00"/>
    <s v="25-06-23 3:00"/>
    <x v="4"/>
    <s v="Accepted"/>
    <s v="Night"/>
    <n v="10"/>
    <n v="8"/>
    <s v="Plan B"/>
  </r>
  <r>
    <x v="907"/>
    <n v="4"/>
    <x v="4"/>
    <x v="417"/>
    <x v="1"/>
    <x v="324"/>
    <x v="7"/>
    <x v="2"/>
    <n v="1"/>
    <s v="Dr. Patel"/>
    <n v="38545"/>
    <s v="MedE"/>
    <s v="Yes"/>
    <x v="0"/>
    <s v="24-06-23 0:00"/>
    <s v="25-06-23 21:00"/>
    <x v="4"/>
    <s v="Accepted"/>
    <s v="Afternoon"/>
    <n v="8"/>
    <n v="12"/>
    <s v="Plan B"/>
  </r>
  <r>
    <x v="908"/>
    <n v="79"/>
    <x v="2"/>
    <x v="37"/>
    <x v="1"/>
    <x v="333"/>
    <x v="5"/>
    <x v="4"/>
    <n v="4"/>
    <s v="Dr. Patel"/>
    <n v="31855"/>
    <s v="MedC"/>
    <s v="Yes"/>
    <x v="0"/>
    <s v="21-03-23 0:00"/>
    <s v="22-03-23 0:00"/>
    <x v="4"/>
    <s v="Accepted"/>
    <s v="Morning"/>
    <n v="5"/>
    <n v="12"/>
    <s v="Plan A"/>
  </r>
  <r>
    <x v="909"/>
    <n v="6"/>
    <x v="3"/>
    <x v="242"/>
    <x v="1"/>
    <x v="30"/>
    <x v="10"/>
    <x v="1"/>
    <n v="1"/>
    <s v="Dr. Sharma"/>
    <n v="40790"/>
    <s v="MedA"/>
    <s v="Yes"/>
    <x v="0"/>
    <s v="27-01-24 0:00"/>
    <s v="28-01-24 6:00"/>
    <x v="4"/>
    <s v="Accepted"/>
    <s v="Morning"/>
    <n v="4"/>
    <n v="10"/>
    <s v="Plan A"/>
  </r>
  <r>
    <x v="910"/>
    <n v="51"/>
    <x v="4"/>
    <x v="113"/>
    <x v="1"/>
    <x v="420"/>
    <x v="13"/>
    <x v="3"/>
    <n v="2"/>
    <s v="Dr. Rao"/>
    <n v="19260"/>
    <s v="MedD"/>
    <s v="Yes"/>
    <x v="0"/>
    <d v="2023-03-09T00:00:00"/>
    <d v="2023-05-09T00:00:00"/>
    <x v="3"/>
    <s v="Accepted"/>
    <s v="Night"/>
    <n v="9"/>
    <n v="10"/>
    <s v="Plan A"/>
  </r>
  <r>
    <x v="911"/>
    <n v="62"/>
    <x v="3"/>
    <x v="453"/>
    <x v="1"/>
    <x v="448"/>
    <x v="14"/>
    <x v="5"/>
    <n v="2"/>
    <s v="Dr. Sharma"/>
    <n v="6074"/>
    <s v="MedC"/>
    <s v="No"/>
    <x v="1"/>
    <s v="20-05-24 0:00"/>
    <s v="20-05-24 6:00"/>
    <x v="2"/>
    <s v="Accepted"/>
    <s v="Morning"/>
    <n v="6"/>
    <n v="8"/>
    <s v="Plan A"/>
  </r>
  <r>
    <x v="912"/>
    <n v="57"/>
    <x v="3"/>
    <x v="74"/>
    <x v="1"/>
    <x v="449"/>
    <x v="4"/>
    <x v="1"/>
    <n v="5"/>
    <s v="Dr. Mehta"/>
    <n v="47676"/>
    <s v="MedD"/>
    <s v="Yes"/>
    <x v="0"/>
    <s v="24-05-23 0:00"/>
    <s v="25-05-23 14:00"/>
    <x v="1"/>
    <s v="Accepted"/>
    <s v="Morning"/>
    <n v="7"/>
    <n v="8"/>
    <s v="Plan C"/>
  </r>
  <r>
    <x v="913"/>
    <n v="66"/>
    <x v="2"/>
    <x v="407"/>
    <x v="1"/>
    <x v="450"/>
    <x v="13"/>
    <x v="1"/>
    <n v="4"/>
    <s v="Dr. Rao"/>
    <n v="14475"/>
    <s v="MedA"/>
    <s v="Yes"/>
    <x v="0"/>
    <s v="24-08-23 0:00"/>
    <s v="24-08-23 7:00"/>
    <x v="4"/>
    <s v="Accepted"/>
    <s v="Morning"/>
    <n v="9"/>
    <n v="10"/>
    <s v="Plan A"/>
  </r>
  <r>
    <x v="914"/>
    <n v="79"/>
    <x v="2"/>
    <x v="330"/>
    <x v="1"/>
    <x v="60"/>
    <x v="0"/>
    <x v="0"/>
    <n v="3"/>
    <s v="Dr. Mehta"/>
    <n v="17878"/>
    <s v="MedC"/>
    <s v="No"/>
    <x v="1"/>
    <s v="17-04-24 0:00"/>
    <s v="18-04-24 9:00"/>
    <x v="2"/>
    <s v="Accepted"/>
    <s v="Night"/>
    <n v="5"/>
    <n v="10"/>
    <s v="Plan A"/>
  </r>
  <r>
    <x v="915"/>
    <n v="75"/>
    <x v="2"/>
    <x v="261"/>
    <x v="1"/>
    <x v="301"/>
    <x v="10"/>
    <x v="2"/>
    <n v="2"/>
    <s v="Dr. Gupta"/>
    <n v="20120"/>
    <s v="MedD"/>
    <s v="No"/>
    <x v="0"/>
    <s v="14-09-23 0:00"/>
    <s v="14-09-23 9:00"/>
    <x v="0"/>
    <s v="Accepted"/>
    <s v="Night"/>
    <n v="8"/>
    <n v="8"/>
    <s v="Plan A"/>
  </r>
  <r>
    <x v="916"/>
    <n v="8"/>
    <x v="4"/>
    <x v="34"/>
    <x v="1"/>
    <x v="418"/>
    <x v="5"/>
    <x v="5"/>
    <n v="4"/>
    <s v="Dr. Mehta"/>
    <n v="28147"/>
    <s v="MedE"/>
    <s v="Yes"/>
    <x v="0"/>
    <d v="2024-10-04T00:00:00"/>
    <d v="2024-11-04T17:00:00"/>
    <x v="3"/>
    <s v="Accepted"/>
    <s v="Night"/>
    <n v="10"/>
    <n v="12"/>
    <s v="Plan B"/>
  </r>
  <r>
    <x v="917"/>
    <n v="26"/>
    <x v="2"/>
    <x v="454"/>
    <x v="1"/>
    <x v="383"/>
    <x v="2"/>
    <x v="4"/>
    <n v="1"/>
    <s v="Dr. Gupta"/>
    <n v="6986"/>
    <s v="MedE"/>
    <s v="No"/>
    <x v="0"/>
    <s v="14-09-23 0:00"/>
    <s v="15-09-23 2:00"/>
    <x v="2"/>
    <s v="Rejected"/>
    <s v="Morning"/>
    <n v="11"/>
    <n v="8"/>
    <s v="Plan B"/>
  </r>
  <r>
    <x v="918"/>
    <n v="51"/>
    <x v="4"/>
    <x v="200"/>
    <x v="1"/>
    <x v="207"/>
    <x v="14"/>
    <x v="1"/>
    <n v="5"/>
    <s v="Dr. Gupta"/>
    <n v="48593"/>
    <s v="MedA"/>
    <s v="No"/>
    <x v="0"/>
    <d v="2023-06-01T00:00:00"/>
    <d v="2023-06-01T05:00:00"/>
    <x v="4"/>
    <s v="Accepted"/>
    <s v="Afternoon"/>
    <n v="4"/>
    <n v="12"/>
    <s v="Plan B"/>
  </r>
  <r>
    <x v="919"/>
    <n v="45"/>
    <x v="2"/>
    <x v="277"/>
    <x v="1"/>
    <x v="91"/>
    <x v="10"/>
    <x v="4"/>
    <n v="1"/>
    <s v="Dr. Mehta"/>
    <n v="37430"/>
    <s v="MedC"/>
    <s v="Yes"/>
    <x v="0"/>
    <s v="18-04-24 0:00"/>
    <s v="19-04-24 14:00"/>
    <x v="4"/>
    <s v="Accepted"/>
    <s v="Morning"/>
    <n v="8"/>
    <n v="10"/>
    <s v="Plan C"/>
  </r>
  <r>
    <x v="920"/>
    <n v="44"/>
    <x v="1"/>
    <x v="431"/>
    <x v="1"/>
    <x v="183"/>
    <x v="1"/>
    <x v="1"/>
    <n v="2"/>
    <s v="Dr. Mehta"/>
    <n v="46961"/>
    <s v="MedB"/>
    <s v="Yes"/>
    <x v="0"/>
    <s v="17-10-23 0:00"/>
    <s v="18-10-23 13:00"/>
    <x v="4"/>
    <s v="Accepted"/>
    <s v="Night"/>
    <n v="7"/>
    <n v="10"/>
    <s v="Plan C"/>
  </r>
  <r>
    <x v="921"/>
    <n v="5"/>
    <x v="3"/>
    <x v="96"/>
    <x v="1"/>
    <x v="212"/>
    <x v="8"/>
    <x v="4"/>
    <n v="2"/>
    <s v="Dr. Gupta"/>
    <n v="22430"/>
    <s v="MedC"/>
    <s v="Yes"/>
    <x v="0"/>
    <d v="2023-08-06T00:00:00"/>
    <d v="2023-08-06T04:00:00"/>
    <x v="2"/>
    <s v="Rejected"/>
    <s v="Afternoon"/>
    <n v="6"/>
    <n v="10"/>
    <s v="Plan A"/>
  </r>
  <r>
    <x v="922"/>
    <n v="70"/>
    <x v="2"/>
    <x v="202"/>
    <x v="1"/>
    <x v="138"/>
    <x v="1"/>
    <x v="5"/>
    <n v="1"/>
    <s v="Dr. Rao"/>
    <n v="7176"/>
    <s v="MedE"/>
    <s v="Yes"/>
    <x v="0"/>
    <s v="17-03-23 0:00"/>
    <s v="18-03-23 4:00"/>
    <x v="4"/>
    <s v="Accepted"/>
    <s v="Afternoon"/>
    <n v="7"/>
    <n v="12"/>
    <s v="Plan B"/>
  </r>
  <r>
    <x v="923"/>
    <n v="26"/>
    <x v="0"/>
    <x v="225"/>
    <x v="1"/>
    <x v="168"/>
    <x v="11"/>
    <x v="2"/>
    <n v="2"/>
    <s v="Dr. Gupta"/>
    <n v="23722"/>
    <s v="MedD"/>
    <s v="Yes"/>
    <x v="0"/>
    <s v="28-03-24 0:00"/>
    <s v="29-03-24 19:00"/>
    <x v="2"/>
    <s v="Accepted"/>
    <s v="Night"/>
    <n v="8"/>
    <n v="8"/>
    <s v="Plan C"/>
  </r>
  <r>
    <x v="924"/>
    <n v="68"/>
    <x v="3"/>
    <x v="258"/>
    <x v="1"/>
    <x v="253"/>
    <x v="6"/>
    <x v="5"/>
    <n v="4"/>
    <s v="Dr. Patel"/>
    <n v="47815"/>
    <s v="MedB"/>
    <s v="No"/>
    <x v="0"/>
    <s v="16-12-23 0:00"/>
    <s v="16-12-23 9:00"/>
    <x v="4"/>
    <s v="Accepted"/>
    <s v="Afternoon"/>
    <n v="8"/>
    <n v="12"/>
    <s v="Plan B"/>
  </r>
  <r>
    <x v="925"/>
    <n v="19"/>
    <x v="3"/>
    <x v="209"/>
    <x v="1"/>
    <x v="342"/>
    <x v="8"/>
    <x v="0"/>
    <n v="2"/>
    <s v="Dr. Gupta"/>
    <n v="23617"/>
    <s v="MedA"/>
    <s v="No"/>
    <x v="0"/>
    <s v="30-10-23 0:00"/>
    <s v="30-10-23 16:00"/>
    <x v="0"/>
    <s v="Accepted"/>
    <s v="Afternoon"/>
    <n v="9"/>
    <n v="8"/>
    <s v="Plan C"/>
  </r>
  <r>
    <x v="926"/>
    <n v="84"/>
    <x v="2"/>
    <x v="455"/>
    <x v="1"/>
    <x v="272"/>
    <x v="1"/>
    <x v="3"/>
    <n v="5"/>
    <s v="Dr. Rao"/>
    <n v="32115"/>
    <s v="MedB"/>
    <s v="No"/>
    <x v="0"/>
    <d v="2024-07-03T00:00:00"/>
    <d v="2024-07-03T19:00:00"/>
    <x v="0"/>
    <s v="Accepted"/>
    <s v="Night"/>
    <n v="7"/>
    <n v="8"/>
    <s v="Plan C"/>
  </r>
  <r>
    <x v="927"/>
    <n v="20"/>
    <x v="5"/>
    <x v="415"/>
    <x v="1"/>
    <x v="166"/>
    <x v="10"/>
    <x v="2"/>
    <n v="4"/>
    <s v="Dr. Patel"/>
    <n v="42376"/>
    <s v="MedA"/>
    <s v="No"/>
    <x v="0"/>
    <s v="14-09-23 0:00"/>
    <s v="14-09-23 17:00"/>
    <x v="1"/>
    <s v="Accepted"/>
    <s v="Afternoon"/>
    <n v="7"/>
    <n v="8"/>
    <s v="Plan A"/>
  </r>
  <r>
    <x v="928"/>
    <n v="12"/>
    <x v="2"/>
    <x v="298"/>
    <x v="1"/>
    <x v="132"/>
    <x v="3"/>
    <x v="5"/>
    <n v="3"/>
    <s v="Dr. Sharma"/>
    <n v="16906"/>
    <s v="MedB"/>
    <s v="No"/>
    <x v="0"/>
    <d v="2024-12-04T00:00:00"/>
    <d v="2024-12-04T21:00:00"/>
    <x v="4"/>
    <s v="Accepted"/>
    <s v="Afternoon"/>
    <n v="7"/>
    <n v="10"/>
    <s v="Plan A"/>
  </r>
  <r>
    <x v="929"/>
    <n v="47"/>
    <x v="3"/>
    <x v="207"/>
    <x v="1"/>
    <x v="104"/>
    <x v="6"/>
    <x v="0"/>
    <n v="2"/>
    <s v="Dr. Sharma"/>
    <n v="45002"/>
    <s v="MedA"/>
    <s v="Yes"/>
    <x v="1"/>
    <d v="2023-02-11T00:00:00"/>
    <d v="2023-03-11T02:00:00"/>
    <x v="4"/>
    <s v="Rejected"/>
    <s v="Night"/>
    <n v="4"/>
    <n v="8"/>
    <s v="Plan C"/>
  </r>
  <r>
    <x v="930"/>
    <n v="1"/>
    <x v="0"/>
    <x v="16"/>
    <x v="1"/>
    <x v="451"/>
    <x v="11"/>
    <x v="3"/>
    <n v="2"/>
    <s v="Dr. Rao"/>
    <n v="11610"/>
    <s v="MedA"/>
    <s v="Yes"/>
    <x v="0"/>
    <s v="18-07-23 0:00"/>
    <s v="19-07-23 21:00"/>
    <x v="2"/>
    <s v="Accepted"/>
    <s v="Afternoon"/>
    <n v="10"/>
    <n v="10"/>
    <s v="Plan A"/>
  </r>
  <r>
    <x v="931"/>
    <n v="14"/>
    <x v="3"/>
    <x v="289"/>
    <x v="1"/>
    <x v="255"/>
    <x v="6"/>
    <x v="0"/>
    <n v="5"/>
    <s v="Dr. Gupta"/>
    <n v="48292"/>
    <s v="MedB"/>
    <s v="No"/>
    <x v="0"/>
    <s v="27-01-24 0:00"/>
    <s v="29-01-24 0:00"/>
    <x v="2"/>
    <s v="Accepted"/>
    <s v="Afternoon"/>
    <n v="8"/>
    <n v="8"/>
    <s v="Plan C"/>
  </r>
  <r>
    <x v="932"/>
    <n v="64"/>
    <x v="0"/>
    <x v="434"/>
    <x v="1"/>
    <x v="452"/>
    <x v="10"/>
    <x v="1"/>
    <n v="5"/>
    <s v="Dr. Mehta"/>
    <n v="18411"/>
    <s v="MedB"/>
    <s v="Yes"/>
    <x v="1"/>
    <d v="2024-05-05T00:00:00"/>
    <d v="2024-05-05T21:00:00"/>
    <x v="4"/>
    <s v="Accepted"/>
    <s v="Afternoon"/>
    <n v="5"/>
    <n v="8"/>
    <s v="Plan C"/>
  </r>
  <r>
    <x v="933"/>
    <n v="38"/>
    <x v="4"/>
    <x v="213"/>
    <x v="1"/>
    <x v="97"/>
    <x v="8"/>
    <x v="1"/>
    <n v="1"/>
    <s v="Dr. Rao"/>
    <n v="14180"/>
    <s v="MedA"/>
    <s v="Yes"/>
    <x v="0"/>
    <s v="18-04-23 0:00"/>
    <s v="18-04-23 21:00"/>
    <x v="1"/>
    <s v="Accepted"/>
    <s v="Afternoon"/>
    <n v="4"/>
    <n v="10"/>
    <s v="Plan B"/>
  </r>
  <r>
    <x v="934"/>
    <n v="37"/>
    <x v="1"/>
    <x v="167"/>
    <x v="1"/>
    <x v="364"/>
    <x v="14"/>
    <x v="4"/>
    <n v="1"/>
    <s v="Dr. Patel"/>
    <n v="15073"/>
    <s v="MedE"/>
    <s v="Yes"/>
    <x v="0"/>
    <s v="31-08-23 0:00"/>
    <d v="2023-01-09T05:00:00"/>
    <x v="4"/>
    <s v="Accepted"/>
    <s v="Night"/>
    <n v="4"/>
    <n v="10"/>
    <s v="Plan A"/>
  </r>
  <r>
    <x v="935"/>
    <n v="11"/>
    <x v="3"/>
    <x v="89"/>
    <x v="1"/>
    <x v="389"/>
    <x v="9"/>
    <x v="2"/>
    <n v="1"/>
    <s v="Dr. Patel"/>
    <n v="42251"/>
    <s v="MedB"/>
    <s v="No"/>
    <x v="0"/>
    <s v="22-01-24 0:00"/>
    <s v="22-01-24 18:00"/>
    <x v="2"/>
    <s v="Accepted"/>
    <s v="Morning"/>
    <n v="4"/>
    <n v="12"/>
    <s v="Plan A"/>
  </r>
  <r>
    <x v="936"/>
    <n v="77"/>
    <x v="2"/>
    <x v="30"/>
    <x v="1"/>
    <x v="373"/>
    <x v="5"/>
    <x v="1"/>
    <n v="5"/>
    <s v="Dr. Sharma"/>
    <n v="35960"/>
    <s v="MedC"/>
    <s v="Yes"/>
    <x v="1"/>
    <s v="29-12-23 0:00"/>
    <s v="29-12-23 15:00"/>
    <x v="4"/>
    <s v="Accepted"/>
    <s v="Morning"/>
    <n v="9"/>
    <n v="8"/>
    <s v="Plan A"/>
  </r>
  <r>
    <x v="937"/>
    <n v="3"/>
    <x v="4"/>
    <x v="269"/>
    <x v="1"/>
    <x v="453"/>
    <x v="14"/>
    <x v="0"/>
    <n v="1"/>
    <s v="Dr. Patel"/>
    <n v="10901"/>
    <s v="MedD"/>
    <s v="No"/>
    <x v="0"/>
    <s v="25-10-23 0:00"/>
    <s v="25-10-23 5:00"/>
    <x v="2"/>
    <s v="Accepted"/>
    <s v="Afternoon"/>
    <n v="11"/>
    <n v="10"/>
    <s v="Plan B"/>
  </r>
  <r>
    <x v="938"/>
    <n v="33"/>
    <x v="1"/>
    <x v="269"/>
    <x v="1"/>
    <x v="39"/>
    <x v="2"/>
    <x v="2"/>
    <n v="1"/>
    <s v="Dr. Rao"/>
    <n v="43897"/>
    <s v="MedA"/>
    <s v="Yes"/>
    <x v="0"/>
    <s v="27-10-23 0:00"/>
    <s v="27-10-23 13:00"/>
    <x v="4"/>
    <s v="Accepted"/>
    <s v="Night"/>
    <n v="10"/>
    <n v="12"/>
    <s v="Plan B"/>
  </r>
  <r>
    <x v="939"/>
    <n v="6"/>
    <x v="2"/>
    <x v="456"/>
    <x v="1"/>
    <x v="9"/>
    <x v="11"/>
    <x v="1"/>
    <n v="3"/>
    <s v="Dr. Patel"/>
    <n v="48183"/>
    <s v="MedA"/>
    <s v="No"/>
    <x v="1"/>
    <s v="22-01-23 0:00"/>
    <s v="22-01-23 9:00"/>
    <x v="3"/>
    <s v="Accepted"/>
    <s v="Night"/>
    <n v="10"/>
    <n v="12"/>
    <s v="Plan B"/>
  </r>
  <r>
    <x v="940"/>
    <n v="50"/>
    <x v="5"/>
    <x v="72"/>
    <x v="1"/>
    <x v="176"/>
    <x v="1"/>
    <x v="4"/>
    <n v="1"/>
    <s v="Dr. Rao"/>
    <n v="9482"/>
    <s v="MedD"/>
    <s v="Yes"/>
    <x v="0"/>
    <d v="2024-10-02T00:00:00"/>
    <d v="2024-11-02T14:00:00"/>
    <x v="2"/>
    <s v="Accepted"/>
    <s v="Afternoon"/>
    <n v="5"/>
    <n v="10"/>
    <s v="Plan A"/>
  </r>
  <r>
    <x v="941"/>
    <n v="10"/>
    <x v="2"/>
    <x v="2"/>
    <x v="1"/>
    <x v="2"/>
    <x v="2"/>
    <x v="5"/>
    <n v="2"/>
    <s v="Dr. Mehta"/>
    <n v="47454"/>
    <s v="MedE"/>
    <s v="No"/>
    <x v="0"/>
    <d v="2023-09-10T00:00:00"/>
    <d v="2023-09-10T07:00:00"/>
    <x v="1"/>
    <s v="Accepted"/>
    <s v="Morning"/>
    <n v="11"/>
    <n v="8"/>
    <s v="Plan A"/>
  </r>
  <r>
    <x v="942"/>
    <n v="5"/>
    <x v="0"/>
    <x v="208"/>
    <x v="1"/>
    <x v="454"/>
    <x v="1"/>
    <x v="4"/>
    <n v="5"/>
    <s v="Dr. Sharma"/>
    <n v="30428"/>
    <s v="MedD"/>
    <s v="Yes"/>
    <x v="1"/>
    <d v="2023-05-01T00:00:00"/>
    <d v="2023-05-01T10:00:00"/>
    <x v="3"/>
    <s v="Accepted"/>
    <s v="Afternoon"/>
    <n v="7"/>
    <n v="12"/>
    <s v="Plan A"/>
  </r>
  <r>
    <x v="943"/>
    <n v="23"/>
    <x v="0"/>
    <x v="457"/>
    <x v="1"/>
    <x v="455"/>
    <x v="12"/>
    <x v="3"/>
    <n v="4"/>
    <s v="Dr. Patel"/>
    <n v="12400"/>
    <s v="MedB"/>
    <s v="No"/>
    <x v="0"/>
    <s v="19-02-23 0:00"/>
    <s v="19-02-23 7:00"/>
    <x v="4"/>
    <s v="Accepted"/>
    <s v="Night"/>
    <n v="9"/>
    <n v="8"/>
    <s v="Plan B"/>
  </r>
  <r>
    <x v="944"/>
    <n v="10"/>
    <x v="5"/>
    <x v="458"/>
    <x v="1"/>
    <x v="448"/>
    <x v="13"/>
    <x v="1"/>
    <n v="3"/>
    <s v="Dr. Rao"/>
    <n v="44574"/>
    <s v="MedD"/>
    <s v="Yes"/>
    <x v="0"/>
    <s v="22-05-24 0:00"/>
    <s v="22-05-24 11:00"/>
    <x v="2"/>
    <s v="Accepted"/>
    <s v="Night"/>
    <n v="8"/>
    <n v="8"/>
    <s v="Plan B"/>
  </r>
  <r>
    <x v="945"/>
    <n v="44"/>
    <x v="4"/>
    <x v="275"/>
    <x v="1"/>
    <x v="413"/>
    <x v="3"/>
    <x v="3"/>
    <n v="5"/>
    <s v="Dr. Gupta"/>
    <n v="48284"/>
    <s v="MedA"/>
    <s v="Yes"/>
    <x v="0"/>
    <s v="20-10-23 0:00"/>
    <s v="21-10-23 5:00"/>
    <x v="3"/>
    <s v="Accepted"/>
    <s v="Morning"/>
    <n v="11"/>
    <n v="12"/>
    <s v="Plan C"/>
  </r>
  <r>
    <x v="946"/>
    <n v="2"/>
    <x v="1"/>
    <x v="133"/>
    <x v="1"/>
    <x v="139"/>
    <x v="9"/>
    <x v="3"/>
    <n v="5"/>
    <s v="Dr. Sharma"/>
    <n v="12396"/>
    <s v="MedD"/>
    <s v="Yes"/>
    <x v="1"/>
    <s v="20-08-23 0:00"/>
    <s v="21-08-23 6:00"/>
    <x v="1"/>
    <s v="Accepted"/>
    <s v="Night"/>
    <n v="6"/>
    <n v="10"/>
    <s v="Plan B"/>
  </r>
  <r>
    <x v="947"/>
    <n v="13"/>
    <x v="2"/>
    <x v="322"/>
    <x v="1"/>
    <x v="456"/>
    <x v="5"/>
    <x v="0"/>
    <n v="2"/>
    <s v="Dr. Mehta"/>
    <n v="12338"/>
    <s v="MedC"/>
    <s v="Yes"/>
    <x v="1"/>
    <s v="23-12-23 0:00"/>
    <s v="23-12-23 21:00"/>
    <x v="2"/>
    <s v="Accepted"/>
    <s v="Night"/>
    <n v="9"/>
    <n v="8"/>
    <s v="Plan C"/>
  </r>
  <r>
    <x v="948"/>
    <n v="40"/>
    <x v="0"/>
    <x v="60"/>
    <x v="1"/>
    <x v="318"/>
    <x v="10"/>
    <x v="2"/>
    <n v="1"/>
    <s v="Dr. Rao"/>
    <n v="47718"/>
    <s v="MedB"/>
    <s v="Yes"/>
    <x v="1"/>
    <d v="2023-11-08T00:00:00"/>
    <d v="2023-12-08T03:00:00"/>
    <x v="3"/>
    <s v="Accepted"/>
    <s v="Night"/>
    <n v="6"/>
    <n v="10"/>
    <s v="Plan A"/>
  </r>
  <r>
    <x v="949"/>
    <n v="2"/>
    <x v="4"/>
    <x v="147"/>
    <x v="1"/>
    <x v="151"/>
    <x v="2"/>
    <x v="0"/>
    <n v="2"/>
    <s v="Dr. Mehta"/>
    <n v="17500"/>
    <s v="MedD"/>
    <s v="Yes"/>
    <x v="0"/>
    <d v="2023-12-07T00:00:00"/>
    <d v="2023-12-07T08:00:00"/>
    <x v="3"/>
    <s v="Accepted"/>
    <s v="Morning"/>
    <n v="8"/>
    <n v="12"/>
    <s v="Plan B"/>
  </r>
  <r>
    <x v="950"/>
    <n v="84"/>
    <x v="5"/>
    <x v="415"/>
    <x v="1"/>
    <x v="92"/>
    <x v="2"/>
    <x v="1"/>
    <n v="1"/>
    <s v="Dr. Mehta"/>
    <n v="16545"/>
    <s v="MedA"/>
    <s v="No"/>
    <x v="0"/>
    <d v="2023-12-09T00:00:00"/>
    <s v="13-09-23 11:00"/>
    <x v="3"/>
    <s v="Accepted"/>
    <s v="Night"/>
    <n v="5"/>
    <n v="8"/>
    <s v="Plan A"/>
  </r>
  <r>
    <x v="951"/>
    <n v="65"/>
    <x v="3"/>
    <x v="459"/>
    <x v="1"/>
    <x v="82"/>
    <x v="10"/>
    <x v="3"/>
    <n v="1"/>
    <s v="Dr. Patel"/>
    <n v="10241"/>
    <s v="MedB"/>
    <s v="No"/>
    <x v="1"/>
    <s v="18-05-23 0:00"/>
    <s v="18-05-23 23:00"/>
    <x v="0"/>
    <s v="Accepted"/>
    <s v="Afternoon"/>
    <n v="10"/>
    <n v="10"/>
    <s v="Plan A"/>
  </r>
  <r>
    <x v="952"/>
    <n v="63"/>
    <x v="0"/>
    <x v="29"/>
    <x v="1"/>
    <x v="10"/>
    <x v="0"/>
    <x v="5"/>
    <n v="5"/>
    <s v="Dr. Patel"/>
    <n v="28778"/>
    <s v="MedA"/>
    <s v="Yes"/>
    <x v="1"/>
    <d v="2023-10-04T00:00:00"/>
    <d v="2023-10-04T14:00:00"/>
    <x v="4"/>
    <s v="Rejected"/>
    <s v="Morning"/>
    <n v="6"/>
    <n v="10"/>
    <s v="Plan A"/>
  </r>
  <r>
    <x v="953"/>
    <n v="73"/>
    <x v="5"/>
    <x v="190"/>
    <x v="1"/>
    <x v="65"/>
    <x v="5"/>
    <x v="3"/>
    <n v="1"/>
    <s v="Dr. Rao"/>
    <n v="27821"/>
    <s v="MedE"/>
    <s v="No"/>
    <x v="0"/>
    <d v="2023-08-02T00:00:00"/>
    <d v="2023-09-02T05:00:00"/>
    <x v="2"/>
    <s v="Accepted"/>
    <s v="Afternoon"/>
    <n v="4"/>
    <n v="8"/>
    <s v="Plan A"/>
  </r>
  <r>
    <x v="954"/>
    <n v="17"/>
    <x v="2"/>
    <x v="266"/>
    <x v="1"/>
    <x v="342"/>
    <x v="5"/>
    <x v="5"/>
    <n v="3"/>
    <s v="Dr. Gupta"/>
    <n v="9695"/>
    <s v="MedC"/>
    <s v="Yes"/>
    <x v="0"/>
    <d v="2023-10-11T00:00:00"/>
    <d v="2023-10-11T20:00:00"/>
    <x v="2"/>
    <s v="Accepted"/>
    <s v="Afternoon"/>
    <n v="9"/>
    <n v="10"/>
    <s v="Plan B"/>
  </r>
  <r>
    <x v="955"/>
    <n v="9"/>
    <x v="1"/>
    <x v="386"/>
    <x v="1"/>
    <x v="213"/>
    <x v="6"/>
    <x v="0"/>
    <n v="3"/>
    <s v="Dr. Rao"/>
    <n v="16530"/>
    <s v="MedE"/>
    <s v="Yes"/>
    <x v="0"/>
    <s v="24-03-24 0:00"/>
    <s v="25-03-24 6:00"/>
    <x v="2"/>
    <s v="Rejected"/>
    <s v="Morning"/>
    <n v="11"/>
    <n v="10"/>
    <s v="Plan A"/>
  </r>
  <r>
    <x v="956"/>
    <n v="75"/>
    <x v="0"/>
    <x v="460"/>
    <x v="1"/>
    <x v="141"/>
    <x v="12"/>
    <x v="0"/>
    <n v="3"/>
    <s v="Dr. Gupta"/>
    <n v="19318"/>
    <s v="MedC"/>
    <s v="Yes"/>
    <x v="0"/>
    <s v="31-01-23 0:00"/>
    <s v="31-01-23 17:00"/>
    <x v="3"/>
    <s v="Accepted"/>
    <s v="Afternoon"/>
    <n v="11"/>
    <n v="12"/>
    <s v="Plan C"/>
  </r>
  <r>
    <x v="957"/>
    <n v="15"/>
    <x v="0"/>
    <x v="48"/>
    <x v="1"/>
    <x v="260"/>
    <x v="11"/>
    <x v="2"/>
    <n v="5"/>
    <s v="Dr. Mehta"/>
    <n v="27331"/>
    <s v="MedD"/>
    <s v="Yes"/>
    <x v="0"/>
    <d v="2024-08-01T00:00:00"/>
    <d v="2024-08-01T08:00:00"/>
    <x v="4"/>
    <s v="Accepted"/>
    <s v="Morning"/>
    <n v="6"/>
    <n v="12"/>
    <s v="Plan B"/>
  </r>
  <r>
    <x v="958"/>
    <n v="24"/>
    <x v="2"/>
    <x v="196"/>
    <x v="1"/>
    <x v="377"/>
    <x v="1"/>
    <x v="3"/>
    <n v="2"/>
    <s v="Dr. Sharma"/>
    <n v="31355"/>
    <s v="MedB"/>
    <s v="Yes"/>
    <x v="1"/>
    <d v="2023-10-05T00:00:00"/>
    <d v="2023-10-05T06:00:00"/>
    <x v="1"/>
    <s v="Accepted"/>
    <s v="Afternoon"/>
    <n v="8"/>
    <n v="10"/>
    <s v="Plan A"/>
  </r>
  <r>
    <x v="959"/>
    <n v="38"/>
    <x v="3"/>
    <x v="447"/>
    <x v="1"/>
    <x v="117"/>
    <x v="3"/>
    <x v="4"/>
    <n v="4"/>
    <s v="Dr. Rao"/>
    <n v="16324"/>
    <s v="MedD"/>
    <s v="No"/>
    <x v="0"/>
    <d v="2023-02-04T00:00:00"/>
    <d v="2023-02-04T11:00:00"/>
    <x v="2"/>
    <s v="Accepted"/>
    <s v="Morning"/>
    <n v="10"/>
    <n v="10"/>
    <s v="Plan B"/>
  </r>
  <r>
    <x v="960"/>
    <n v="35"/>
    <x v="4"/>
    <x v="269"/>
    <x v="1"/>
    <x v="379"/>
    <x v="11"/>
    <x v="0"/>
    <n v="1"/>
    <s v="Dr. Rao"/>
    <n v="33149"/>
    <s v="MedC"/>
    <s v="Yes"/>
    <x v="0"/>
    <s v="28-10-23 0:00"/>
    <s v="29-10-23 20:00"/>
    <x v="4"/>
    <s v="Accepted"/>
    <s v="Night"/>
    <n v="4"/>
    <n v="8"/>
    <s v="Plan C"/>
  </r>
  <r>
    <x v="961"/>
    <n v="49"/>
    <x v="1"/>
    <x v="268"/>
    <x v="1"/>
    <x v="415"/>
    <x v="6"/>
    <x v="0"/>
    <n v="4"/>
    <s v="Dr. Gupta"/>
    <n v="8218"/>
    <s v="MedC"/>
    <s v="Yes"/>
    <x v="0"/>
    <s v="26-11-23 0:00"/>
    <s v="26-11-23 20:00"/>
    <x v="4"/>
    <s v="Rejected"/>
    <s v="Night"/>
    <n v="11"/>
    <n v="12"/>
    <s v="Plan A"/>
  </r>
  <r>
    <x v="962"/>
    <n v="69"/>
    <x v="0"/>
    <x v="317"/>
    <x v="1"/>
    <x v="317"/>
    <x v="10"/>
    <x v="2"/>
    <n v="2"/>
    <s v="Dr. Mehta"/>
    <n v="25141"/>
    <s v="MedC"/>
    <s v="Yes"/>
    <x v="0"/>
    <d v="2024-01-03T00:00:00"/>
    <d v="2024-02-03T22:00:00"/>
    <x v="0"/>
    <s v="Accepted"/>
    <s v="Afternoon"/>
    <n v="6"/>
    <n v="8"/>
    <s v="Plan C"/>
  </r>
  <r>
    <x v="963"/>
    <n v="62"/>
    <x v="1"/>
    <x v="417"/>
    <x v="1"/>
    <x v="250"/>
    <x v="6"/>
    <x v="5"/>
    <n v="2"/>
    <s v="Dr. Mehta"/>
    <n v="41784"/>
    <s v="MedA"/>
    <s v="No"/>
    <x v="1"/>
    <s v="24-06-23 0:00"/>
    <s v="25-06-23 21:00"/>
    <x v="2"/>
    <s v="Accepted"/>
    <s v="Night"/>
    <n v="10"/>
    <n v="10"/>
    <s v="Plan A"/>
  </r>
  <r>
    <x v="964"/>
    <n v="60"/>
    <x v="0"/>
    <x v="123"/>
    <x v="1"/>
    <x v="267"/>
    <x v="4"/>
    <x v="2"/>
    <n v="5"/>
    <s v="Dr. Gupta"/>
    <n v="7837"/>
    <s v="MedB"/>
    <s v="Yes"/>
    <x v="1"/>
    <s v="20-07-23 0:00"/>
    <s v="21-07-23 15:00"/>
    <x v="3"/>
    <s v="Accepted"/>
    <s v="Morning"/>
    <n v="8"/>
    <n v="8"/>
    <s v="Plan C"/>
  </r>
  <r>
    <x v="965"/>
    <n v="50"/>
    <x v="1"/>
    <x v="143"/>
    <x v="1"/>
    <x v="449"/>
    <x v="11"/>
    <x v="3"/>
    <n v="3"/>
    <s v="Dr. Mehta"/>
    <n v="44802"/>
    <s v="MedD"/>
    <s v="No"/>
    <x v="0"/>
    <s v="16-05-23 0:00"/>
    <s v="16-05-23 3:00"/>
    <x v="4"/>
    <s v="Accepted"/>
    <s v="Afternoon"/>
    <n v="5"/>
    <n v="10"/>
    <s v="Plan A"/>
  </r>
  <r>
    <x v="966"/>
    <n v="78"/>
    <x v="5"/>
    <x v="461"/>
    <x v="1"/>
    <x v="233"/>
    <x v="13"/>
    <x v="1"/>
    <n v="3"/>
    <s v="Dr. Patel"/>
    <n v="45077"/>
    <s v="MedD"/>
    <s v="No"/>
    <x v="1"/>
    <d v="2024-10-01T00:00:00"/>
    <d v="2024-10-01T14:00:00"/>
    <x v="4"/>
    <s v="Accepted"/>
    <s v="Night"/>
    <n v="8"/>
    <n v="12"/>
    <s v="Plan B"/>
  </r>
  <r>
    <x v="967"/>
    <n v="75"/>
    <x v="0"/>
    <x v="462"/>
    <x v="1"/>
    <x v="103"/>
    <x v="8"/>
    <x v="1"/>
    <n v="2"/>
    <s v="Dr. Sharma"/>
    <n v="19379"/>
    <s v="MedE"/>
    <s v="No"/>
    <x v="1"/>
    <s v="25-05-24 0:00"/>
    <s v="25-05-24 21:00"/>
    <x v="1"/>
    <s v="Accepted"/>
    <s v="Night"/>
    <n v="5"/>
    <n v="12"/>
    <s v="Plan A"/>
  </r>
  <r>
    <x v="968"/>
    <n v="9"/>
    <x v="1"/>
    <x v="324"/>
    <x v="1"/>
    <x v="457"/>
    <x v="10"/>
    <x v="5"/>
    <n v="5"/>
    <s v="Dr. Rao"/>
    <n v="9239"/>
    <s v="MedC"/>
    <s v="No"/>
    <x v="1"/>
    <d v="2023-04-10T00:00:00"/>
    <d v="2023-04-10T10:00:00"/>
    <x v="0"/>
    <s v="Accepted"/>
    <s v="Afternoon"/>
    <n v="11"/>
    <n v="10"/>
    <s v="Plan B"/>
  </r>
  <r>
    <x v="969"/>
    <n v="34"/>
    <x v="4"/>
    <x v="171"/>
    <x v="1"/>
    <x v="59"/>
    <x v="12"/>
    <x v="0"/>
    <n v="5"/>
    <s v="Dr. Sharma"/>
    <n v="49896"/>
    <s v="MedC"/>
    <s v="Yes"/>
    <x v="1"/>
    <s v="15-06-23 0:00"/>
    <s v="15-06-23 6:00"/>
    <x v="4"/>
    <s v="Accepted"/>
    <s v="Night"/>
    <n v="10"/>
    <n v="12"/>
    <s v="Plan A"/>
  </r>
  <r>
    <x v="970"/>
    <n v="76"/>
    <x v="5"/>
    <x v="463"/>
    <x v="1"/>
    <x v="458"/>
    <x v="1"/>
    <x v="5"/>
    <n v="1"/>
    <s v="Dr. Rao"/>
    <n v="25812"/>
    <s v="MedC"/>
    <s v="No"/>
    <x v="0"/>
    <s v="17-09-23 0:00"/>
    <s v="18-09-23 22:00"/>
    <x v="4"/>
    <s v="Rejected"/>
    <s v="Night"/>
    <n v="10"/>
    <n v="10"/>
    <s v="Plan A"/>
  </r>
  <r>
    <x v="971"/>
    <n v="35"/>
    <x v="5"/>
    <x v="464"/>
    <x v="1"/>
    <x v="459"/>
    <x v="5"/>
    <x v="0"/>
    <n v="3"/>
    <s v="Dr. Patel"/>
    <n v="34669"/>
    <s v="MedD"/>
    <s v="Yes"/>
    <x v="1"/>
    <d v="2024-05-05T00:00:00"/>
    <d v="2024-05-05T16:00:00"/>
    <x v="3"/>
    <s v="Accepted"/>
    <s v="Afternoon"/>
    <n v="4"/>
    <n v="8"/>
    <s v="Plan C"/>
  </r>
  <r>
    <x v="972"/>
    <n v="1"/>
    <x v="4"/>
    <x v="269"/>
    <x v="1"/>
    <x v="372"/>
    <x v="0"/>
    <x v="0"/>
    <n v="2"/>
    <s v="Dr. Mehta"/>
    <n v="14611"/>
    <s v="MedE"/>
    <s v="No"/>
    <x v="0"/>
    <s v="30-10-23 0:00"/>
    <s v="30-10-23 23:00"/>
    <x v="3"/>
    <s v="Accepted"/>
    <s v="Night"/>
    <n v="8"/>
    <n v="10"/>
    <s v="Plan C"/>
  </r>
  <r>
    <x v="973"/>
    <n v="40"/>
    <x v="1"/>
    <x v="131"/>
    <x v="1"/>
    <x v="460"/>
    <x v="14"/>
    <x v="1"/>
    <n v="4"/>
    <s v="Dr. Gupta"/>
    <n v="9150"/>
    <s v="MedA"/>
    <s v="No"/>
    <x v="0"/>
    <d v="2023-08-12T00:00:00"/>
    <d v="2023-09-12T02:00:00"/>
    <x v="1"/>
    <s v="Accepted"/>
    <s v="Night"/>
    <n v="7"/>
    <n v="8"/>
    <s v="Plan C"/>
  </r>
  <r>
    <x v="974"/>
    <n v="64"/>
    <x v="2"/>
    <x v="93"/>
    <x v="1"/>
    <x v="291"/>
    <x v="4"/>
    <x v="5"/>
    <n v="3"/>
    <s v="Dr. Patel"/>
    <n v="16109"/>
    <s v="MedB"/>
    <s v="No"/>
    <x v="0"/>
    <s v="28-04-23 0:00"/>
    <s v="29-04-23 9:00"/>
    <x v="1"/>
    <s v="Accepted"/>
    <s v="Night"/>
    <n v="11"/>
    <n v="10"/>
    <s v="Plan A"/>
  </r>
  <r>
    <x v="975"/>
    <n v="22"/>
    <x v="4"/>
    <x v="90"/>
    <x v="1"/>
    <x v="292"/>
    <x v="2"/>
    <x v="2"/>
    <n v="1"/>
    <s v="Dr. Sharma"/>
    <n v="39214"/>
    <s v="MedA"/>
    <s v="Yes"/>
    <x v="1"/>
    <s v="19-04-24 0:00"/>
    <s v="19-04-24 4:00"/>
    <x v="1"/>
    <s v="Accepted"/>
    <s v="Night"/>
    <n v="9"/>
    <n v="12"/>
    <s v="Plan A"/>
  </r>
  <r>
    <x v="976"/>
    <n v="60"/>
    <x v="1"/>
    <x v="163"/>
    <x v="1"/>
    <x v="38"/>
    <x v="0"/>
    <x v="0"/>
    <n v="5"/>
    <s v="Dr. Gupta"/>
    <n v="31016"/>
    <s v="MedD"/>
    <s v="Yes"/>
    <x v="0"/>
    <s v="18-03-23 0:00"/>
    <s v="19-03-23 20:00"/>
    <x v="3"/>
    <s v="Accepted"/>
    <s v="Afternoon"/>
    <n v="7"/>
    <n v="10"/>
    <s v="Plan A"/>
  </r>
  <r>
    <x v="977"/>
    <n v="64"/>
    <x v="4"/>
    <x v="465"/>
    <x v="1"/>
    <x v="398"/>
    <x v="0"/>
    <x v="4"/>
    <n v="2"/>
    <s v="Dr. Mehta"/>
    <n v="16936"/>
    <s v="MedC"/>
    <s v="No"/>
    <x v="1"/>
    <s v="25-05-23 0:00"/>
    <s v="25-05-23 20:00"/>
    <x v="3"/>
    <s v="Accepted"/>
    <s v="Morning"/>
    <n v="11"/>
    <n v="10"/>
    <s v="Plan B"/>
  </r>
  <r>
    <x v="978"/>
    <n v="72"/>
    <x v="4"/>
    <x v="396"/>
    <x v="1"/>
    <x v="461"/>
    <x v="1"/>
    <x v="4"/>
    <n v="3"/>
    <s v="Dr. Patel"/>
    <n v="16036"/>
    <s v="MedB"/>
    <s v="Yes"/>
    <x v="0"/>
    <s v="17-08-23 0:00"/>
    <s v="17-08-23 17:00"/>
    <x v="0"/>
    <s v="Accepted"/>
    <s v="Morning"/>
    <n v="7"/>
    <n v="10"/>
    <s v="Plan B"/>
  </r>
  <r>
    <x v="979"/>
    <n v="11"/>
    <x v="0"/>
    <x v="348"/>
    <x v="1"/>
    <x v="176"/>
    <x v="10"/>
    <x v="2"/>
    <n v="4"/>
    <s v="Dr. Gupta"/>
    <n v="44236"/>
    <s v="MedD"/>
    <s v="Yes"/>
    <x v="0"/>
    <d v="2024-08-02T00:00:00"/>
    <d v="2024-08-02T12:00:00"/>
    <x v="2"/>
    <s v="Rejected"/>
    <s v="Night"/>
    <n v="7"/>
    <n v="12"/>
    <s v="Plan A"/>
  </r>
  <r>
    <x v="980"/>
    <n v="14"/>
    <x v="1"/>
    <x v="461"/>
    <x v="1"/>
    <x v="462"/>
    <x v="9"/>
    <x v="4"/>
    <n v="1"/>
    <s v="Dr. Patel"/>
    <n v="19021"/>
    <s v="MedD"/>
    <s v="Yes"/>
    <x v="0"/>
    <d v="2024-05-01T00:00:00"/>
    <d v="2024-05-01T02:00:00"/>
    <x v="2"/>
    <s v="Accepted"/>
    <s v="Night"/>
    <n v="9"/>
    <n v="10"/>
    <s v="Plan C"/>
  </r>
  <r>
    <x v="981"/>
    <n v="60"/>
    <x v="2"/>
    <x v="447"/>
    <x v="1"/>
    <x v="169"/>
    <x v="14"/>
    <x v="3"/>
    <n v="1"/>
    <s v="Dr. Patel"/>
    <n v="41943"/>
    <s v="MedD"/>
    <s v="No"/>
    <x v="0"/>
    <d v="2023-01-04T00:00:00"/>
    <d v="2023-02-04T02:00:00"/>
    <x v="0"/>
    <s v="Rejected"/>
    <s v="Morning"/>
    <n v="7"/>
    <n v="12"/>
    <s v="Plan C"/>
  </r>
  <r>
    <x v="982"/>
    <n v="30"/>
    <x v="0"/>
    <x v="466"/>
    <x v="1"/>
    <x v="463"/>
    <x v="11"/>
    <x v="0"/>
    <n v="3"/>
    <s v="Dr. Mehta"/>
    <n v="42848"/>
    <s v="MedB"/>
    <s v="Yes"/>
    <x v="0"/>
    <d v="2024-05-02T00:00:00"/>
    <d v="2024-06-02T05:00:00"/>
    <x v="2"/>
    <s v="Accepted"/>
    <s v="Night"/>
    <n v="5"/>
    <n v="10"/>
    <s v="Plan C"/>
  </r>
  <r>
    <x v="983"/>
    <n v="35"/>
    <x v="4"/>
    <x v="381"/>
    <x v="1"/>
    <x v="313"/>
    <x v="0"/>
    <x v="2"/>
    <n v="4"/>
    <s v="Dr. Rao"/>
    <n v="20471"/>
    <s v="MedB"/>
    <s v="Yes"/>
    <x v="0"/>
    <s v="15-01-23 0:00"/>
    <s v="16-01-23 12:00"/>
    <x v="3"/>
    <s v="Accepted"/>
    <s v="Morning"/>
    <n v="8"/>
    <n v="8"/>
    <s v="Plan A"/>
  </r>
  <r>
    <x v="984"/>
    <n v="85"/>
    <x v="3"/>
    <x v="32"/>
    <x v="1"/>
    <x v="392"/>
    <x v="3"/>
    <x v="5"/>
    <n v="1"/>
    <s v="Dr. Gupta"/>
    <n v="28244"/>
    <s v="MedE"/>
    <s v="Yes"/>
    <x v="0"/>
    <s v="24-09-23 0:00"/>
    <s v="26-09-23 0:00"/>
    <x v="2"/>
    <s v="Accepted"/>
    <s v="Afternoon"/>
    <n v="10"/>
    <n v="10"/>
    <s v="Plan C"/>
  </r>
  <r>
    <x v="985"/>
    <n v="37"/>
    <x v="4"/>
    <x v="467"/>
    <x v="1"/>
    <x v="464"/>
    <x v="4"/>
    <x v="0"/>
    <n v="2"/>
    <s v="Dr. Mehta"/>
    <n v="43985"/>
    <s v="MedE"/>
    <s v="Yes"/>
    <x v="0"/>
    <d v="2023-07-05T00:00:00"/>
    <d v="2023-08-05T12:00:00"/>
    <x v="3"/>
    <s v="Accepted"/>
    <s v="Afternoon"/>
    <n v="4"/>
    <n v="8"/>
    <s v="Plan A"/>
  </r>
  <r>
    <x v="986"/>
    <n v="5"/>
    <x v="4"/>
    <x v="174"/>
    <x v="1"/>
    <x v="182"/>
    <x v="3"/>
    <x v="2"/>
    <n v="1"/>
    <s v="Dr. Patel"/>
    <n v="43440"/>
    <s v="MedA"/>
    <s v="No"/>
    <x v="0"/>
    <d v="2024-09-04T00:00:00"/>
    <d v="2024-09-04T16:00:00"/>
    <x v="0"/>
    <s v="Accepted"/>
    <s v="Afternoon"/>
    <n v="7"/>
    <n v="12"/>
    <s v="Plan B"/>
  </r>
  <r>
    <x v="987"/>
    <n v="83"/>
    <x v="1"/>
    <x v="343"/>
    <x v="1"/>
    <x v="90"/>
    <x v="13"/>
    <x v="1"/>
    <n v="4"/>
    <s v="Dr. Mehta"/>
    <n v="6502"/>
    <s v="MedB"/>
    <s v="No"/>
    <x v="0"/>
    <d v="2024-12-01T00:00:00"/>
    <d v="2024-12-01T07:00:00"/>
    <x v="1"/>
    <s v="Accepted"/>
    <s v="Afternoon"/>
    <n v="10"/>
    <n v="12"/>
    <s v="Plan C"/>
  </r>
  <r>
    <x v="988"/>
    <n v="78"/>
    <x v="1"/>
    <x v="224"/>
    <x v="1"/>
    <x v="300"/>
    <x v="12"/>
    <x v="5"/>
    <n v="5"/>
    <s v="Dr. Rao"/>
    <n v="39178"/>
    <s v="MedB"/>
    <s v="No"/>
    <x v="0"/>
    <s v="21-09-23 0:00"/>
    <s v="22-09-23 6:00"/>
    <x v="0"/>
    <s v="Accepted"/>
    <s v="Afternoon"/>
    <n v="7"/>
    <n v="10"/>
    <s v="Plan B"/>
  </r>
  <r>
    <x v="989"/>
    <n v="26"/>
    <x v="0"/>
    <x v="89"/>
    <x v="1"/>
    <x v="255"/>
    <x v="0"/>
    <x v="1"/>
    <n v="5"/>
    <s v="Dr. Gupta"/>
    <n v="8770"/>
    <s v="MedB"/>
    <s v="Yes"/>
    <x v="0"/>
    <s v="22-01-24 0:00"/>
    <s v="22-01-24 7:00"/>
    <x v="2"/>
    <s v="Rejected"/>
    <s v="Afternoon"/>
    <n v="11"/>
    <n v="12"/>
    <s v="Plan C"/>
  </r>
  <r>
    <x v="990"/>
    <n v="62"/>
    <x v="2"/>
    <x v="468"/>
    <x v="1"/>
    <x v="53"/>
    <x v="14"/>
    <x v="0"/>
    <n v="3"/>
    <s v="Dr. Rao"/>
    <n v="47865"/>
    <s v="MedE"/>
    <s v="No"/>
    <x v="0"/>
    <s v="13-01-24 0:00"/>
    <s v="13-01-24 9:00"/>
    <x v="3"/>
    <s v="Accepted"/>
    <s v="Morning"/>
    <n v="4"/>
    <n v="10"/>
    <s v="Plan A"/>
  </r>
  <r>
    <x v="991"/>
    <n v="4"/>
    <x v="0"/>
    <x v="241"/>
    <x v="1"/>
    <x v="291"/>
    <x v="6"/>
    <x v="5"/>
    <n v="4"/>
    <s v="Dr. Sharma"/>
    <n v="9001"/>
    <s v="MedD"/>
    <s v="Yes"/>
    <x v="0"/>
    <s v="19-04-23 0:00"/>
    <s v="19-04-23 8:00"/>
    <x v="2"/>
    <s v="Accepted"/>
    <s v="Night"/>
    <n v="11"/>
    <n v="12"/>
    <s v="Plan A"/>
  </r>
  <r>
    <x v="992"/>
    <n v="89"/>
    <x v="5"/>
    <x v="409"/>
    <x v="1"/>
    <x v="281"/>
    <x v="4"/>
    <x v="4"/>
    <n v="1"/>
    <s v="Dr. Gupta"/>
    <n v="25946"/>
    <s v="MedC"/>
    <s v="Yes"/>
    <x v="1"/>
    <s v="28-08-23 0:00"/>
    <s v="28-08-23 1:00"/>
    <x v="2"/>
    <s v="Accepted"/>
    <s v="Morning"/>
    <n v="4"/>
    <n v="8"/>
    <s v="Plan A"/>
  </r>
  <r>
    <x v="993"/>
    <n v="42"/>
    <x v="4"/>
    <x v="469"/>
    <x v="1"/>
    <x v="350"/>
    <x v="3"/>
    <x v="2"/>
    <n v="1"/>
    <s v="Dr. Rao"/>
    <n v="5598"/>
    <s v="MedE"/>
    <s v="Yes"/>
    <x v="0"/>
    <s v="27-04-24 0:00"/>
    <s v="27-04-24 4:00"/>
    <x v="1"/>
    <s v="Accepted"/>
    <s v="Afternoon"/>
    <n v="7"/>
    <n v="12"/>
    <s v="Plan A"/>
  </r>
  <r>
    <x v="994"/>
    <n v="89"/>
    <x v="3"/>
    <x v="1"/>
    <x v="1"/>
    <x v="110"/>
    <x v="2"/>
    <x v="0"/>
    <n v="5"/>
    <s v="Dr. Patel"/>
    <n v="35316"/>
    <s v="MedB"/>
    <s v="Yes"/>
    <x v="1"/>
    <s v="21-01-23 0:00"/>
    <s v="21-01-23 15:00"/>
    <x v="2"/>
    <s v="Accepted"/>
    <s v="Night"/>
    <n v="5"/>
    <n v="8"/>
    <s v="Plan C"/>
  </r>
  <r>
    <x v="995"/>
    <n v="18"/>
    <x v="4"/>
    <x v="333"/>
    <x v="1"/>
    <x v="405"/>
    <x v="7"/>
    <x v="3"/>
    <n v="5"/>
    <s v="Dr. Gupta"/>
    <n v="30567"/>
    <s v="MedE"/>
    <s v="Yes"/>
    <x v="0"/>
    <s v="30-11-23 0:00"/>
    <s v="30-11-23 9:00"/>
    <x v="1"/>
    <s v="Accepted"/>
    <s v="Night"/>
    <n v="10"/>
    <n v="10"/>
    <s v="Plan B"/>
  </r>
  <r>
    <x v="996"/>
    <n v="40"/>
    <x v="4"/>
    <x v="371"/>
    <x v="1"/>
    <x v="44"/>
    <x v="14"/>
    <x v="5"/>
    <n v="2"/>
    <s v="Dr. Gupta"/>
    <n v="31508"/>
    <s v="MedA"/>
    <s v="Yes"/>
    <x v="1"/>
    <d v="2023-11-08T00:00:00"/>
    <d v="2023-11-08T13:00:00"/>
    <x v="3"/>
    <s v="Accepted"/>
    <s v="Afternoon"/>
    <n v="4"/>
    <n v="10"/>
    <s v="Plan A"/>
  </r>
  <r>
    <x v="997"/>
    <n v="72"/>
    <x v="0"/>
    <x v="470"/>
    <x v="1"/>
    <x v="465"/>
    <x v="0"/>
    <x v="5"/>
    <n v="5"/>
    <s v="Dr. Mehta"/>
    <n v="48744"/>
    <s v="MedB"/>
    <s v="Yes"/>
    <x v="1"/>
    <d v="2023-02-03T00:00:00"/>
    <d v="2023-03-03T02:00:00"/>
    <x v="3"/>
    <s v="Accepted"/>
    <s v="Afternoon"/>
    <n v="8"/>
    <n v="10"/>
    <s v="Plan C"/>
  </r>
  <r>
    <x v="998"/>
    <n v="39"/>
    <x v="3"/>
    <x v="296"/>
    <x v="1"/>
    <x v="292"/>
    <x v="10"/>
    <x v="0"/>
    <n v="2"/>
    <s v="Dr. Patel"/>
    <n v="44159"/>
    <s v="MedA"/>
    <s v="Yes"/>
    <x v="0"/>
    <s v="15-04-24 0:00"/>
    <s v="16-04-24 0:00"/>
    <x v="1"/>
    <s v="Accepted"/>
    <s v="Afternoon"/>
    <n v="10"/>
    <n v="8"/>
    <s v="Plan B"/>
  </r>
  <r>
    <x v="999"/>
    <n v="14"/>
    <x v="3"/>
    <x v="207"/>
    <x v="1"/>
    <x v="453"/>
    <x v="10"/>
    <x v="0"/>
    <n v="1"/>
    <s v="Dr. Sharma"/>
    <n v="35276"/>
    <s v="MedB"/>
    <s v="No"/>
    <x v="0"/>
    <d v="2023-06-11T00:00:00"/>
    <d v="2023-07-11T20:00:00"/>
    <x v="0"/>
    <s v="Accepted"/>
    <s v="Afternoon"/>
    <n v="8"/>
    <n v="10"/>
    <s v="Plan 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A904F-84DB-4617-915C-40C5286E9295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QZ9" firstHeaderRow="1" firstDataRow="2" firstDataCol="1"/>
  <pivotFields count="22">
    <pivotField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dataField="1" showAll="0">
      <items count="472">
        <item x="351"/>
        <item x="343"/>
        <item x="79"/>
        <item x="41"/>
        <item x="226"/>
        <item x="201"/>
        <item x="198"/>
        <item x="176"/>
        <item x="22"/>
        <item x="126"/>
        <item x="440"/>
        <item x="60"/>
        <item x="162"/>
        <item x="141"/>
        <item x="266"/>
        <item x="131"/>
        <item x="205"/>
        <item x="33"/>
        <item x="254"/>
        <item x="135"/>
        <item x="78"/>
        <item x="46"/>
        <item x="73"/>
        <item x="223"/>
        <item x="323"/>
        <item x="423"/>
        <item x="295"/>
        <item x="147"/>
        <item x="18"/>
        <item x="415"/>
        <item x="361"/>
        <item x="283"/>
        <item x="157"/>
        <item x="381"/>
        <item x="50"/>
        <item x="221"/>
        <item x="65"/>
        <item x="54"/>
        <item x="398"/>
        <item x="6"/>
        <item x="34"/>
        <item x="196"/>
        <item x="107"/>
        <item x="104"/>
        <item x="418"/>
        <item x="364"/>
        <item x="371"/>
        <item x="91"/>
        <item x="345"/>
        <item x="23"/>
        <item x="166"/>
        <item x="468"/>
        <item x="42"/>
        <item x="199"/>
        <item x="230"/>
        <item x="235"/>
        <item x="247"/>
        <item x="143"/>
        <item x="352"/>
        <item x="49"/>
        <item x="263"/>
        <item x="40"/>
        <item x="245"/>
        <item x="336"/>
        <item x="215"/>
        <item x="124"/>
        <item x="350"/>
        <item x="285"/>
        <item x="156"/>
        <item x="202"/>
        <item x="149"/>
        <item x="210"/>
        <item x="330"/>
        <item x="299"/>
        <item x="367"/>
        <item x="56"/>
        <item x="307"/>
        <item x="251"/>
        <item x="4"/>
        <item x="377"/>
        <item x="369"/>
        <item x="103"/>
        <item x="84"/>
        <item x="188"/>
        <item x="404"/>
        <item x="414"/>
        <item x="422"/>
        <item x="57"/>
        <item x="211"/>
        <item x="391"/>
        <item x="171"/>
        <item x="354"/>
        <item x="378"/>
        <item x="338"/>
        <item x="261"/>
        <item x="280"/>
        <item x="180"/>
        <item x="217"/>
        <item x="449"/>
        <item x="326"/>
        <item x="163"/>
        <item x="353"/>
        <item x="101"/>
        <item x="329"/>
        <item x="120"/>
        <item x="192"/>
        <item x="288"/>
        <item x="130"/>
        <item x="454"/>
        <item x="206"/>
        <item x="69"/>
        <item x="31"/>
        <item x="108"/>
        <item x="347"/>
        <item x="457"/>
        <item x="273"/>
        <item x="257"/>
        <item x="213"/>
        <item x="296"/>
        <item x="437"/>
        <item x="82"/>
        <item x="168"/>
        <item x="396"/>
        <item x="342"/>
        <item x="175"/>
        <item x="64"/>
        <item x="258"/>
        <item x="321"/>
        <item x="165"/>
        <item x="146"/>
        <item x="310"/>
        <item x="95"/>
        <item x="241"/>
        <item x="277"/>
        <item x="459"/>
        <item x="290"/>
        <item x="344"/>
        <item x="376"/>
        <item x="264"/>
        <item x="379"/>
        <item x="463"/>
        <item x="275"/>
        <item x="300"/>
        <item x="132"/>
        <item x="439"/>
        <item x="219"/>
        <item x="315"/>
        <item x="37"/>
        <item x="259"/>
        <item x="158"/>
        <item x="316"/>
        <item x="80"/>
        <item x="425"/>
        <item x="443"/>
        <item x="410"/>
        <item x="43"/>
        <item x="360"/>
        <item x="431"/>
        <item x="441"/>
        <item x="349"/>
        <item x="456"/>
        <item x="36"/>
        <item x="337"/>
        <item x="267"/>
        <item x="45"/>
        <item x="85"/>
        <item x="152"/>
        <item x="5"/>
        <item x="458"/>
        <item x="278"/>
        <item x="16"/>
        <item x="63"/>
        <item x="306"/>
        <item x="408"/>
        <item x="420"/>
        <item x="58"/>
        <item x="392"/>
        <item x="445"/>
        <item x="185"/>
        <item x="125"/>
        <item x="90"/>
        <item x="160"/>
        <item x="453"/>
        <item x="452"/>
        <item x="121"/>
        <item x="246"/>
        <item x="133"/>
        <item x="332"/>
        <item x="44"/>
        <item x="311"/>
        <item x="204"/>
        <item x="250"/>
        <item x="28"/>
        <item x="153"/>
        <item x="151"/>
        <item x="191"/>
        <item x="413"/>
        <item x="94"/>
        <item x="384"/>
        <item x="465"/>
        <item x="430"/>
        <item x="55"/>
        <item x="123"/>
        <item x="313"/>
        <item x="193"/>
        <item x="421"/>
        <item x="248"/>
        <item x="1"/>
        <item x="89"/>
        <item x="240"/>
        <item x="309"/>
        <item x="244"/>
        <item x="412"/>
        <item x="71"/>
        <item x="407"/>
        <item x="224"/>
        <item x="405"/>
        <item x="276"/>
        <item x="253"/>
        <item x="346"/>
        <item x="242"/>
        <item x="62"/>
        <item x="237"/>
        <item x="328"/>
        <item x="386"/>
        <item x="389"/>
        <item x="469"/>
        <item x="74"/>
        <item x="98"/>
        <item x="403"/>
        <item x="13"/>
        <item x="77"/>
        <item x="383"/>
        <item x="356"/>
        <item x="322"/>
        <item x="15"/>
        <item x="314"/>
        <item x="181"/>
        <item x="428"/>
        <item x="279"/>
        <item x="225"/>
        <item x="93"/>
        <item x="435"/>
        <item x="444"/>
        <item x="462"/>
        <item x="271"/>
        <item x="218"/>
        <item x="409"/>
        <item x="32"/>
        <item x="38"/>
        <item x="106"/>
        <item x="256"/>
        <item x="289"/>
        <item x="287"/>
        <item x="114"/>
        <item x="164"/>
        <item x="212"/>
        <item x="144"/>
        <item x="436"/>
        <item x="183"/>
        <item x="417"/>
        <item x="194"/>
        <item x="187"/>
        <item x="75"/>
        <item x="370"/>
        <item x="61"/>
        <item x="150"/>
        <item x="325"/>
        <item x="88"/>
        <item x="358"/>
        <item x="448"/>
        <item x="450"/>
        <item x="294"/>
        <item x="411"/>
        <item x="269"/>
        <item x="51"/>
        <item x="10"/>
        <item x="442"/>
        <item x="7"/>
        <item x="284"/>
        <item x="301"/>
        <item x="319"/>
        <item x="167"/>
        <item x="178"/>
        <item x="105"/>
        <item x="340"/>
        <item x="112"/>
        <item x="427"/>
        <item x="432"/>
        <item x="229"/>
        <item x="236"/>
        <item x="401"/>
        <item x="140"/>
        <item x="53"/>
        <item x="397"/>
        <item x="268"/>
        <item x="262"/>
        <item x="9"/>
        <item x="136"/>
        <item x="394"/>
        <item x="227"/>
        <item x="99"/>
        <item x="195"/>
        <item x="66"/>
        <item x="102"/>
        <item x="333"/>
        <item x="172"/>
        <item x="406"/>
        <item x="399"/>
        <item x="447"/>
        <item x="189"/>
        <item x="238"/>
        <item x="52"/>
        <item x="111"/>
        <item x="416"/>
        <item x="209"/>
        <item x="252"/>
        <item x="97"/>
        <item x="460"/>
        <item x="155"/>
        <item x="83"/>
        <item x="128"/>
        <item x="312"/>
        <item x="451"/>
        <item x="216"/>
        <item x="113"/>
        <item x="59"/>
        <item x="197"/>
        <item x="424"/>
        <item x="0"/>
        <item x="318"/>
        <item x="27"/>
        <item x="297"/>
        <item x="393"/>
        <item x="419"/>
        <item x="68"/>
        <item x="365"/>
        <item x="373"/>
        <item x="272"/>
        <item x="138"/>
        <item x="292"/>
        <item x="228"/>
        <item x="470"/>
        <item x="11"/>
        <item x="86"/>
        <item x="331"/>
        <item x="70"/>
        <item x="145"/>
        <item x="214"/>
        <item x="207"/>
        <item x="255"/>
        <item x="21"/>
        <item x="426"/>
        <item x="87"/>
        <item x="148"/>
        <item x="467"/>
        <item x="433"/>
        <item x="161"/>
        <item x="170"/>
        <item x="291"/>
        <item x="324"/>
        <item x="239"/>
        <item x="134"/>
        <item x="390"/>
        <item x="35"/>
        <item x="177"/>
        <item x="387"/>
        <item x="142"/>
        <item x="3"/>
        <item x="382"/>
        <item x="274"/>
        <item x="222"/>
        <item x="208"/>
        <item x="243"/>
        <item x="67"/>
        <item x="117"/>
        <item x="24"/>
        <item x="374"/>
        <item x="25"/>
        <item x="357"/>
        <item x="2"/>
        <item x="249"/>
        <item x="200"/>
        <item x="190"/>
        <item x="29"/>
        <item x="341"/>
        <item x="402"/>
        <item x="186"/>
        <item x="375"/>
        <item x="76"/>
        <item x="362"/>
        <item x="372"/>
        <item x="282"/>
        <item x="363"/>
        <item x="339"/>
        <item x="137"/>
        <item x="154"/>
        <item x="231"/>
        <item x="96"/>
        <item x="179"/>
        <item x="129"/>
        <item x="220"/>
        <item x="110"/>
        <item x="26"/>
        <item x="92"/>
        <item x="232"/>
        <item x="116"/>
        <item x="400"/>
        <item x="118"/>
        <item x="304"/>
        <item x="429"/>
        <item x="12"/>
        <item x="159"/>
        <item x="20"/>
        <item x="233"/>
        <item x="334"/>
        <item x="317"/>
        <item x="303"/>
        <item x="119"/>
        <item x="14"/>
        <item x="234"/>
        <item x="395"/>
        <item x="438"/>
        <item x="366"/>
        <item x="203"/>
        <item x="30"/>
        <item x="320"/>
        <item x="368"/>
        <item x="182"/>
        <item x="100"/>
        <item x="173"/>
        <item x="19"/>
        <item x="388"/>
        <item x="184"/>
        <item x="380"/>
        <item x="17"/>
        <item x="305"/>
        <item x="385"/>
        <item x="81"/>
        <item x="39"/>
        <item x="270"/>
        <item x="359"/>
        <item x="109"/>
        <item x="335"/>
        <item x="127"/>
        <item x="169"/>
        <item x="260"/>
        <item x="265"/>
        <item x="327"/>
        <item x="8"/>
        <item x="464"/>
        <item x="48"/>
        <item x="466"/>
        <item x="122"/>
        <item x="47"/>
        <item x="434"/>
        <item x="461"/>
        <item x="72"/>
        <item x="455"/>
        <item x="174"/>
        <item x="355"/>
        <item x="139"/>
        <item x="348"/>
        <item x="293"/>
        <item x="286"/>
        <item x="308"/>
        <item x="281"/>
        <item x="446"/>
        <item x="302"/>
        <item x="298"/>
        <item x="115"/>
        <item t="default"/>
      </items>
    </pivotField>
    <pivotField showAll="0"/>
    <pivotField axis="axisCol" showAll="0">
      <items count="467">
        <item x="137"/>
        <item x="51"/>
        <item x="321"/>
        <item x="89"/>
        <item x="115"/>
        <item x="268"/>
        <item x="362"/>
        <item x="182"/>
        <item x="198"/>
        <item x="459"/>
        <item x="241"/>
        <item x="364"/>
        <item x="457"/>
        <item x="266"/>
        <item x="322"/>
        <item x="20"/>
        <item x="141"/>
        <item x="73"/>
        <item x="189"/>
        <item x="308"/>
        <item x="427"/>
        <item x="50"/>
        <item x="120"/>
        <item x="173"/>
        <item x="100"/>
        <item x="81"/>
        <item x="356"/>
        <item x="95"/>
        <item x="104"/>
        <item x="444"/>
        <item x="179"/>
        <item x="211"/>
        <item x="65"/>
        <item x="129"/>
        <item x="42"/>
        <item x="163"/>
        <item x="156"/>
        <item x="132"/>
        <item x="343"/>
        <item x="452"/>
        <item x="298"/>
        <item x="194"/>
        <item x="275"/>
        <item x="171"/>
        <item x="24"/>
        <item x="432"/>
        <item x="242"/>
        <item x="454"/>
        <item x="80"/>
        <item x="203"/>
        <item x="196"/>
        <item x="16"/>
        <item x="169"/>
        <item x="18"/>
        <item x="387"/>
        <item x="191"/>
        <item x="87"/>
        <item x="193"/>
        <item x="151"/>
        <item x="26"/>
        <item x="92"/>
        <item x="265"/>
        <item x="316"/>
        <item x="349"/>
        <item x="176"/>
        <item x="465"/>
        <item x="272"/>
        <item x="28"/>
        <item x="286"/>
        <item x="204"/>
        <item x="109"/>
        <item x="184"/>
        <item x="411"/>
        <item x="447"/>
        <item x="136"/>
        <item x="116"/>
        <item x="354"/>
        <item x="205"/>
        <item x="93"/>
        <item x="327"/>
        <item x="88"/>
        <item x="217"/>
        <item x="206"/>
        <item x="425"/>
        <item x="320"/>
        <item x="52"/>
        <item x="280"/>
        <item x="4"/>
        <item x="420"/>
        <item x="145"/>
        <item x="342"/>
        <item x="360"/>
        <item x="170"/>
        <item x="462"/>
        <item x="256"/>
        <item x="67"/>
        <item x="29"/>
        <item x="294"/>
        <item x="86"/>
        <item x="83"/>
        <item x="164"/>
        <item x="318"/>
        <item x="58"/>
        <item x="49"/>
        <item x="245"/>
        <item x="96"/>
        <item x="346"/>
        <item x="40"/>
        <item x="197"/>
        <item x="140"/>
        <item x="22"/>
        <item x="6"/>
        <item x="418"/>
        <item x="121"/>
        <item x="146"/>
        <item x="123"/>
        <item x="143"/>
        <item x="209"/>
        <item x="166"/>
        <item x="247"/>
        <item x="214"/>
        <item x="304"/>
        <item x="215"/>
        <item x="260"/>
        <item x="463"/>
        <item x="119"/>
        <item x="252"/>
        <item x="10"/>
        <item x="35"/>
        <item x="218"/>
        <item x="174"/>
        <item x="106"/>
        <item x="276"/>
        <item x="371"/>
        <item x="11"/>
        <item x="383"/>
        <item x="19"/>
        <item x="113"/>
        <item x="430"/>
        <item x="337"/>
        <item x="232"/>
        <item x="422"/>
        <item x="195"/>
        <item x="99"/>
        <item x="436"/>
        <item x="377"/>
        <item x="319"/>
        <item x="401"/>
        <item x="41"/>
        <item x="187"/>
        <item x="285"/>
        <item x="220"/>
        <item x="391"/>
        <item x="27"/>
        <item x="207"/>
        <item x="435"/>
        <item x="344"/>
        <item x="172"/>
        <item x="69"/>
        <item x="125"/>
        <item x="370"/>
        <item x="295"/>
        <item x="402"/>
        <item x="84"/>
        <item x="21"/>
        <item x="441"/>
        <item x="185"/>
        <item x="76"/>
        <item x="225"/>
        <item x="340"/>
        <item x="134"/>
        <item x="233"/>
        <item x="284"/>
        <item x="341"/>
        <item x="138"/>
        <item x="251"/>
        <item x="165"/>
        <item x="5"/>
        <item x="289"/>
        <item x="25"/>
        <item x="351"/>
        <item x="367"/>
        <item x="301"/>
        <item x="413"/>
        <item x="188"/>
        <item x="32"/>
        <item x="135"/>
        <item x="61"/>
        <item x="334"/>
        <item x="157"/>
        <item x="167"/>
        <item x="353"/>
        <item x="309"/>
        <item x="222"/>
        <item x="192"/>
        <item x="361"/>
        <item x="287"/>
        <item x="408"/>
        <item x="293"/>
        <item x="358"/>
        <item x="296"/>
        <item x="313"/>
        <item x="48"/>
        <item x="34"/>
        <item x="56"/>
        <item x="445"/>
        <item x="159"/>
        <item x="292"/>
        <item x="147"/>
        <item x="359"/>
        <item x="212"/>
        <item x="267"/>
        <item x="17"/>
        <item x="133"/>
        <item x="381"/>
        <item x="460"/>
        <item x="90"/>
        <item x="43"/>
        <item x="446"/>
        <item x="333"/>
        <item x="78"/>
        <item x="208"/>
        <item x="91"/>
        <item x="82"/>
        <item x="443"/>
        <item x="200"/>
        <item x="461"/>
        <item x="386"/>
        <item x="128"/>
        <item x="23"/>
        <item x="110"/>
        <item x="330"/>
        <item x="385"/>
        <item x="79"/>
        <item x="199"/>
        <item x="152"/>
        <item x="85"/>
        <item x="60"/>
        <item x="449"/>
        <item x="59"/>
        <item x="131"/>
        <item x="160"/>
        <item x="44"/>
        <item x="458"/>
        <item x="70"/>
        <item x="253"/>
        <item x="376"/>
        <item x="53"/>
        <item x="416"/>
        <item x="303"/>
        <item x="231"/>
        <item x="291"/>
        <item x="331"/>
        <item x="75"/>
        <item x="380"/>
        <item x="57"/>
        <item x="15"/>
        <item x="281"/>
        <item x="33"/>
        <item x="183"/>
        <item x="421"/>
        <item x="158"/>
        <item x="335"/>
        <item x="438"/>
        <item x="38"/>
        <item x="243"/>
        <item x="350"/>
        <item x="259"/>
        <item x="282"/>
        <item x="12"/>
        <item x="77"/>
        <item x="369"/>
        <item x="66"/>
        <item x="236"/>
        <item x="406"/>
        <item x="37"/>
        <item x="404"/>
        <item x="257"/>
        <item x="162"/>
        <item x="414"/>
        <item x="105"/>
        <item x="332"/>
        <item x="339"/>
        <item x="223"/>
        <item x="227"/>
        <item x="338"/>
        <item x="127"/>
        <item x="397"/>
        <item x="392"/>
        <item x="39"/>
        <item x="1"/>
        <item x="455"/>
        <item x="419"/>
        <item x="249"/>
        <item x="429"/>
        <item x="424"/>
        <item x="139"/>
        <item x="45"/>
        <item x="262"/>
        <item x="240"/>
        <item x="64"/>
        <item x="279"/>
        <item x="219"/>
        <item x="399"/>
        <item x="324"/>
        <item x="365"/>
        <item x="55"/>
        <item x="98"/>
        <item x="355"/>
        <item x="9"/>
        <item x="190"/>
        <item x="305"/>
        <item x="111"/>
        <item x="451"/>
        <item x="114"/>
        <item x="68"/>
        <item x="417"/>
        <item x="366"/>
        <item x="101"/>
        <item x="14"/>
        <item x="329"/>
        <item x="442"/>
        <item x="97"/>
        <item x="398"/>
        <item x="270"/>
        <item x="238"/>
        <item x="62"/>
        <item x="263"/>
        <item x="63"/>
        <item x="328"/>
        <item x="117"/>
        <item x="0"/>
        <item x="306"/>
        <item x="374"/>
        <item x="396"/>
        <item x="300"/>
        <item x="186"/>
        <item x="405"/>
        <item x="326"/>
        <item x="311"/>
        <item x="46"/>
        <item x="230"/>
        <item x="250"/>
        <item x="235"/>
        <item x="47"/>
        <item x="409"/>
        <item x="395"/>
        <item x="246"/>
        <item x="271"/>
        <item x="7"/>
        <item x="464"/>
        <item x="228"/>
        <item x="278"/>
        <item x="312"/>
        <item x="149"/>
        <item x="202"/>
        <item x="216"/>
        <item x="108"/>
        <item x="394"/>
        <item x="177"/>
        <item x="384"/>
        <item x="283"/>
        <item x="102"/>
        <item x="175"/>
        <item x="450"/>
        <item x="201"/>
        <item x="375"/>
        <item x="415"/>
        <item x="107"/>
        <item x="378"/>
        <item x="357"/>
        <item x="336"/>
        <item x="74"/>
        <item x="71"/>
        <item x="144"/>
        <item x="428"/>
        <item x="372"/>
        <item x="226"/>
        <item x="258"/>
        <item x="229"/>
        <item x="155"/>
        <item x="407"/>
        <item x="94"/>
        <item x="433"/>
        <item x="54"/>
        <item x="3"/>
        <item x="2"/>
        <item x="379"/>
        <item x="142"/>
        <item x="431"/>
        <item x="410"/>
        <item x="400"/>
        <item x="118"/>
        <item x="36"/>
        <item x="290"/>
        <item x="239"/>
        <item x="126"/>
        <item x="181"/>
        <item x="453"/>
        <item x="261"/>
        <item x="456"/>
        <item x="323"/>
        <item x="440"/>
        <item x="382"/>
        <item x="30"/>
        <item x="264"/>
        <item x="348"/>
        <item x="352"/>
        <item x="403"/>
        <item x="124"/>
        <item x="434"/>
        <item x="269"/>
        <item x="237"/>
        <item x="302"/>
        <item x="244"/>
        <item x="297"/>
        <item x="210"/>
        <item x="389"/>
        <item x="150"/>
        <item x="213"/>
        <item x="393"/>
        <item x="221"/>
        <item x="234"/>
        <item x="178"/>
        <item x="153"/>
        <item x="130"/>
        <item x="154"/>
        <item x="72"/>
        <item x="255"/>
        <item x="388"/>
        <item x="390"/>
        <item x="148"/>
        <item x="448"/>
        <item x="368"/>
        <item x="314"/>
        <item x="317"/>
        <item x="274"/>
        <item x="325"/>
        <item x="423"/>
        <item x="373"/>
        <item x="307"/>
        <item x="426"/>
        <item x="299"/>
        <item x="315"/>
        <item x="13"/>
        <item x="437"/>
        <item x="310"/>
        <item x="168"/>
        <item x="363"/>
        <item x="248"/>
        <item x="31"/>
        <item x="180"/>
        <item x="8"/>
        <item x="273"/>
        <item x="254"/>
        <item x="112"/>
        <item x="288"/>
        <item x="347"/>
        <item x="412"/>
        <item x="277"/>
        <item x="345"/>
        <item x="439"/>
        <item x="224"/>
        <item x="161"/>
        <item x="122"/>
        <item x="1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 t="grand">
      <x/>
    </i>
  </colItems>
  <dataFields count="1">
    <dataField name="Count of Admission Dat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71041-6DB3-4E1A-86DE-AE7DDE6880DC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3"/>
        <item x="4"/>
        <item x="1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tay Duration (days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A47AC-C398-4F8C-88F5-4C9F177CAF2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7" firstHeaderRow="1" firstDataRow="1" firstDataCol="1"/>
  <pivotFields count="22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dataField="1" showAll="0"/>
    <pivotField showAll="0">
      <items count="3">
        <item x="0"/>
        <item x="1"/>
        <item t="default"/>
      </items>
    </pivotField>
    <pivotField showAll="0"/>
    <pivotField axis="axisRow" showAll="0">
      <items count="16">
        <item x="4"/>
        <item x="2"/>
        <item x="3"/>
        <item x="7"/>
        <item x="5"/>
        <item x="10"/>
        <item x="1"/>
        <item x="6"/>
        <item x="9"/>
        <item x="12"/>
        <item x="0"/>
        <item x="11"/>
        <item x="14"/>
        <item x="13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Admission Dat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5DD41-84E9-460F-B004-0D8979DA9B3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8" firstHeaderRow="1" firstDataRow="1" firstDataCol="1"/>
  <pivotFields count="22">
    <pivotField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edication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4AB88-D12E-474B-A277-641A1867FE22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22">
    <pivotField showAll="0"/>
    <pivotField showAll="0"/>
    <pivotField showAll="0"/>
    <pivotField dataField="1" showAll="0">
      <items count="472">
        <item x="351"/>
        <item x="343"/>
        <item x="79"/>
        <item x="41"/>
        <item x="226"/>
        <item x="201"/>
        <item x="198"/>
        <item x="176"/>
        <item x="22"/>
        <item x="126"/>
        <item x="440"/>
        <item x="60"/>
        <item x="162"/>
        <item x="141"/>
        <item x="266"/>
        <item x="131"/>
        <item x="205"/>
        <item x="33"/>
        <item x="254"/>
        <item x="135"/>
        <item x="78"/>
        <item x="46"/>
        <item x="73"/>
        <item x="223"/>
        <item x="323"/>
        <item x="423"/>
        <item x="295"/>
        <item x="147"/>
        <item x="18"/>
        <item x="415"/>
        <item x="361"/>
        <item x="283"/>
        <item x="157"/>
        <item x="381"/>
        <item x="50"/>
        <item x="221"/>
        <item x="65"/>
        <item x="54"/>
        <item x="398"/>
        <item x="6"/>
        <item x="34"/>
        <item x="196"/>
        <item x="107"/>
        <item x="104"/>
        <item x="418"/>
        <item x="364"/>
        <item x="371"/>
        <item x="91"/>
        <item x="345"/>
        <item x="23"/>
        <item x="166"/>
        <item x="468"/>
        <item x="42"/>
        <item x="199"/>
        <item x="230"/>
        <item x="235"/>
        <item x="247"/>
        <item x="143"/>
        <item x="352"/>
        <item x="49"/>
        <item x="263"/>
        <item x="40"/>
        <item x="245"/>
        <item x="336"/>
        <item x="215"/>
        <item x="124"/>
        <item x="350"/>
        <item x="285"/>
        <item x="156"/>
        <item x="202"/>
        <item x="149"/>
        <item x="210"/>
        <item x="330"/>
        <item x="299"/>
        <item x="367"/>
        <item x="56"/>
        <item x="307"/>
        <item x="251"/>
        <item x="4"/>
        <item x="377"/>
        <item x="369"/>
        <item x="103"/>
        <item x="84"/>
        <item x="188"/>
        <item x="404"/>
        <item x="414"/>
        <item x="422"/>
        <item x="57"/>
        <item x="211"/>
        <item x="391"/>
        <item x="171"/>
        <item x="354"/>
        <item x="378"/>
        <item x="338"/>
        <item x="261"/>
        <item x="280"/>
        <item x="180"/>
        <item x="217"/>
        <item x="449"/>
        <item x="326"/>
        <item x="163"/>
        <item x="353"/>
        <item x="101"/>
        <item x="329"/>
        <item x="120"/>
        <item x="192"/>
        <item x="288"/>
        <item x="130"/>
        <item x="454"/>
        <item x="206"/>
        <item x="69"/>
        <item x="31"/>
        <item x="108"/>
        <item x="347"/>
        <item x="457"/>
        <item x="273"/>
        <item x="257"/>
        <item x="213"/>
        <item x="296"/>
        <item x="437"/>
        <item x="82"/>
        <item x="168"/>
        <item x="396"/>
        <item x="342"/>
        <item x="175"/>
        <item x="64"/>
        <item x="258"/>
        <item x="321"/>
        <item x="165"/>
        <item x="146"/>
        <item x="310"/>
        <item x="95"/>
        <item x="241"/>
        <item x="277"/>
        <item x="459"/>
        <item x="290"/>
        <item x="344"/>
        <item x="376"/>
        <item x="264"/>
        <item x="379"/>
        <item x="463"/>
        <item x="275"/>
        <item x="300"/>
        <item x="132"/>
        <item x="439"/>
        <item x="219"/>
        <item x="315"/>
        <item x="37"/>
        <item x="259"/>
        <item x="158"/>
        <item x="316"/>
        <item x="80"/>
        <item x="425"/>
        <item x="443"/>
        <item x="410"/>
        <item x="43"/>
        <item x="360"/>
        <item x="431"/>
        <item x="441"/>
        <item x="349"/>
        <item x="456"/>
        <item x="36"/>
        <item x="337"/>
        <item x="267"/>
        <item x="45"/>
        <item x="85"/>
        <item x="152"/>
        <item x="5"/>
        <item x="458"/>
        <item x="278"/>
        <item x="16"/>
        <item x="63"/>
        <item x="306"/>
        <item x="408"/>
        <item x="420"/>
        <item x="58"/>
        <item x="392"/>
        <item x="445"/>
        <item x="185"/>
        <item x="125"/>
        <item x="90"/>
        <item x="160"/>
        <item x="453"/>
        <item x="452"/>
        <item x="121"/>
        <item x="246"/>
        <item x="133"/>
        <item x="332"/>
        <item x="44"/>
        <item x="311"/>
        <item x="204"/>
        <item x="250"/>
        <item x="28"/>
        <item x="153"/>
        <item x="151"/>
        <item x="191"/>
        <item x="413"/>
        <item x="94"/>
        <item x="384"/>
        <item x="465"/>
        <item x="430"/>
        <item x="55"/>
        <item x="123"/>
        <item x="313"/>
        <item x="193"/>
        <item x="421"/>
        <item x="248"/>
        <item x="1"/>
        <item x="89"/>
        <item x="240"/>
        <item x="309"/>
        <item x="244"/>
        <item x="412"/>
        <item x="71"/>
        <item x="407"/>
        <item x="224"/>
        <item x="405"/>
        <item x="276"/>
        <item x="253"/>
        <item x="346"/>
        <item x="242"/>
        <item x="62"/>
        <item x="237"/>
        <item x="328"/>
        <item x="386"/>
        <item x="389"/>
        <item x="469"/>
        <item x="74"/>
        <item x="98"/>
        <item x="403"/>
        <item x="13"/>
        <item x="77"/>
        <item x="383"/>
        <item x="356"/>
        <item x="322"/>
        <item x="15"/>
        <item x="314"/>
        <item x="181"/>
        <item x="428"/>
        <item x="279"/>
        <item x="225"/>
        <item x="93"/>
        <item x="435"/>
        <item x="444"/>
        <item x="462"/>
        <item x="271"/>
        <item x="218"/>
        <item x="409"/>
        <item x="32"/>
        <item x="38"/>
        <item x="106"/>
        <item x="256"/>
        <item x="289"/>
        <item x="287"/>
        <item x="114"/>
        <item x="164"/>
        <item x="212"/>
        <item x="144"/>
        <item x="436"/>
        <item x="183"/>
        <item x="417"/>
        <item x="194"/>
        <item x="187"/>
        <item x="75"/>
        <item x="370"/>
        <item x="61"/>
        <item x="150"/>
        <item x="325"/>
        <item x="88"/>
        <item x="358"/>
        <item x="448"/>
        <item x="450"/>
        <item x="294"/>
        <item x="411"/>
        <item x="269"/>
        <item x="51"/>
        <item x="10"/>
        <item x="442"/>
        <item x="7"/>
        <item x="284"/>
        <item x="301"/>
        <item x="319"/>
        <item x="167"/>
        <item x="178"/>
        <item x="105"/>
        <item x="340"/>
        <item x="112"/>
        <item x="427"/>
        <item x="432"/>
        <item x="229"/>
        <item x="236"/>
        <item x="401"/>
        <item x="140"/>
        <item x="53"/>
        <item x="397"/>
        <item x="268"/>
        <item x="262"/>
        <item x="9"/>
        <item x="136"/>
        <item x="394"/>
        <item x="227"/>
        <item x="99"/>
        <item x="195"/>
        <item x="66"/>
        <item x="102"/>
        <item x="333"/>
        <item x="172"/>
        <item x="406"/>
        <item x="399"/>
        <item x="447"/>
        <item x="189"/>
        <item x="238"/>
        <item x="52"/>
        <item x="111"/>
        <item x="416"/>
        <item x="209"/>
        <item x="252"/>
        <item x="97"/>
        <item x="460"/>
        <item x="155"/>
        <item x="83"/>
        <item x="128"/>
        <item x="312"/>
        <item x="451"/>
        <item x="216"/>
        <item x="113"/>
        <item x="59"/>
        <item x="197"/>
        <item x="424"/>
        <item x="0"/>
        <item x="318"/>
        <item x="27"/>
        <item x="297"/>
        <item x="393"/>
        <item x="419"/>
        <item x="68"/>
        <item x="365"/>
        <item x="373"/>
        <item x="272"/>
        <item x="138"/>
        <item x="292"/>
        <item x="228"/>
        <item x="470"/>
        <item x="11"/>
        <item x="86"/>
        <item x="331"/>
        <item x="70"/>
        <item x="145"/>
        <item x="214"/>
        <item x="207"/>
        <item x="255"/>
        <item x="21"/>
        <item x="426"/>
        <item x="87"/>
        <item x="148"/>
        <item x="467"/>
        <item x="433"/>
        <item x="161"/>
        <item x="170"/>
        <item x="291"/>
        <item x="324"/>
        <item x="239"/>
        <item x="134"/>
        <item x="390"/>
        <item x="35"/>
        <item x="177"/>
        <item x="387"/>
        <item x="142"/>
        <item x="3"/>
        <item x="382"/>
        <item x="274"/>
        <item x="222"/>
        <item x="208"/>
        <item x="243"/>
        <item x="67"/>
        <item x="117"/>
        <item x="24"/>
        <item x="374"/>
        <item x="25"/>
        <item x="357"/>
        <item x="2"/>
        <item x="249"/>
        <item x="200"/>
        <item x="190"/>
        <item x="29"/>
        <item x="341"/>
        <item x="402"/>
        <item x="186"/>
        <item x="375"/>
        <item x="76"/>
        <item x="362"/>
        <item x="372"/>
        <item x="282"/>
        <item x="363"/>
        <item x="339"/>
        <item x="137"/>
        <item x="154"/>
        <item x="231"/>
        <item x="96"/>
        <item x="179"/>
        <item x="129"/>
        <item x="220"/>
        <item x="110"/>
        <item x="26"/>
        <item x="92"/>
        <item x="232"/>
        <item x="116"/>
        <item x="400"/>
        <item x="118"/>
        <item x="304"/>
        <item x="429"/>
        <item x="12"/>
        <item x="159"/>
        <item x="20"/>
        <item x="233"/>
        <item x="334"/>
        <item x="317"/>
        <item x="303"/>
        <item x="119"/>
        <item x="14"/>
        <item x="234"/>
        <item x="395"/>
        <item x="438"/>
        <item x="366"/>
        <item x="203"/>
        <item x="30"/>
        <item x="320"/>
        <item x="368"/>
        <item x="182"/>
        <item x="100"/>
        <item x="173"/>
        <item x="19"/>
        <item x="388"/>
        <item x="184"/>
        <item x="380"/>
        <item x="17"/>
        <item x="305"/>
        <item x="385"/>
        <item x="81"/>
        <item x="39"/>
        <item x="270"/>
        <item x="359"/>
        <item x="109"/>
        <item x="335"/>
        <item x="127"/>
        <item x="169"/>
        <item x="260"/>
        <item x="265"/>
        <item x="327"/>
        <item x="8"/>
        <item x="464"/>
        <item x="48"/>
        <item x="466"/>
        <item x="122"/>
        <item x="47"/>
        <item x="434"/>
        <item x="461"/>
        <item x="72"/>
        <item x="455"/>
        <item x="174"/>
        <item x="355"/>
        <item x="139"/>
        <item x="348"/>
        <item x="293"/>
        <item x="286"/>
        <item x="308"/>
        <item x="281"/>
        <item x="446"/>
        <item x="302"/>
        <item x="298"/>
        <item x="1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dmission Date" fld="3" subtotal="count" baseField="0" baseItem="0"/>
    <dataField name="Count of Discharge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4808C-B28F-4BC5-A88C-BD87838182E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8" firstHeaderRow="0" firstDataRow="1" firstDataCol="1"/>
  <pivotFields count="22">
    <pivotField dataField="1"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tient ID" fld="0" subtotal="count" baseField="0" baseItem="0"/>
    <dataField name="Count of Docto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1"/>
  <sheetViews>
    <sheetView workbookViewId="0">
      <selection activeCell="E21" sqref="E21"/>
    </sheetView>
  </sheetViews>
  <sheetFormatPr defaultColWidth="12.5703125" defaultRowHeight="15" customHeight="1"/>
  <cols>
    <col min="1" max="1" width="9.7109375" bestFit="1" customWidth="1"/>
    <col min="2" max="2" width="8.5703125" customWidth="1"/>
    <col min="3" max="3" width="16.85546875" bestFit="1" customWidth="1"/>
    <col min="4" max="4" width="23" bestFit="1" customWidth="1"/>
    <col min="5" max="5" width="17.28515625" customWidth="1"/>
    <col min="6" max="6" width="17.28515625" bestFit="1" customWidth="1"/>
    <col min="7" max="7" width="23.5703125" bestFit="1" customWidth="1"/>
    <col min="8" max="8" width="22.28515625" bestFit="1" customWidth="1"/>
    <col min="9" max="9" width="21.28515625" bestFit="1" customWidth="1"/>
    <col min="10" max="10" width="11.42578125" bestFit="1" customWidth="1"/>
    <col min="11" max="11" width="19.28515625" bestFit="1" customWidth="1"/>
    <col min="12" max="12" width="15.7109375" bestFit="1" customWidth="1"/>
    <col min="13" max="13" width="17.85546875" bestFit="1" customWidth="1"/>
    <col min="14" max="14" width="14.42578125" bestFit="1" customWidth="1"/>
    <col min="15" max="15" width="22.28515625" bestFit="1" customWidth="1"/>
    <col min="16" max="16" width="21.5703125" bestFit="1" customWidth="1"/>
    <col min="17" max="17" width="14" bestFit="1" customWidth="1"/>
    <col min="18" max="18" width="15.28515625" bestFit="1" customWidth="1"/>
    <col min="19" max="19" width="10.140625" bestFit="1" customWidth="1"/>
    <col min="20" max="20" width="23.140625" bestFit="1" customWidth="1"/>
    <col min="21" max="21" width="24.28515625" bestFit="1" customWidth="1"/>
    <col min="22" max="22" width="19.28515625" bestFit="1" customWidth="1"/>
    <col min="23" max="24" width="8.5703125" customWidth="1"/>
    <col min="25" max="25" width="19.5703125" bestFit="1" customWidth="1"/>
    <col min="26" max="27" width="8.570312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4" t="s">
        <v>1968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  <c r="W1" s="4"/>
      <c r="Y1" s="20" t="s">
        <v>1984</v>
      </c>
      <c r="Z1" t="s">
        <v>1983</v>
      </c>
    </row>
    <row r="2" spans="1:26">
      <c r="A2" s="5" t="s">
        <v>21</v>
      </c>
      <c r="B2" s="6">
        <v>52</v>
      </c>
      <c r="C2" s="5" t="s">
        <v>22</v>
      </c>
      <c r="D2" s="15">
        <v>45041</v>
      </c>
      <c r="E2" s="6" t="str">
        <f t="shared" ref="E2:E7" si="0">TEXT(D2,"MMM")</f>
        <v>Apr</v>
      </c>
      <c r="F2" s="7">
        <v>45082</v>
      </c>
      <c r="G2" s="6">
        <v>11</v>
      </c>
      <c r="H2" s="5" t="s">
        <v>24</v>
      </c>
      <c r="I2" s="6">
        <v>3</v>
      </c>
      <c r="J2" s="5" t="s">
        <v>25</v>
      </c>
      <c r="K2" s="6">
        <v>40901</v>
      </c>
      <c r="L2" s="5" t="s">
        <v>26</v>
      </c>
      <c r="M2" s="5" t="s">
        <v>27</v>
      </c>
      <c r="N2" s="5" t="s">
        <v>28</v>
      </c>
      <c r="O2" s="6" t="s">
        <v>29</v>
      </c>
      <c r="P2" s="6" t="s">
        <v>30</v>
      </c>
      <c r="Q2" s="5" t="s">
        <v>31</v>
      </c>
      <c r="R2" s="5" t="s">
        <v>32</v>
      </c>
      <c r="S2" s="5" t="s">
        <v>33</v>
      </c>
      <c r="T2" s="6">
        <v>9</v>
      </c>
      <c r="U2" s="6">
        <v>12</v>
      </c>
      <c r="V2" s="5" t="s">
        <v>34</v>
      </c>
      <c r="W2" s="8"/>
      <c r="X2" t="e">
        <f>(P2-O2)*24</f>
        <v>#VALUE!</v>
      </c>
      <c r="Y2">
        <f>(T2/U2*100)</f>
        <v>75</v>
      </c>
    </row>
    <row r="3" spans="1:26">
      <c r="A3" s="5" t="s">
        <v>35</v>
      </c>
      <c r="B3" s="6">
        <v>15</v>
      </c>
      <c r="C3" s="5" t="s">
        <v>36</v>
      </c>
      <c r="D3" s="15">
        <v>44952</v>
      </c>
      <c r="E3" s="6" t="str">
        <f t="shared" si="0"/>
        <v>Jan</v>
      </c>
      <c r="F3" s="7">
        <v>44959</v>
      </c>
      <c r="G3" s="6">
        <v>7</v>
      </c>
      <c r="H3" s="5" t="s">
        <v>38</v>
      </c>
      <c r="I3" s="6">
        <v>2</v>
      </c>
      <c r="J3" s="5" t="s">
        <v>39</v>
      </c>
      <c r="K3" s="6">
        <v>49380</v>
      </c>
      <c r="L3" s="5" t="s">
        <v>40</v>
      </c>
      <c r="M3" s="5" t="s">
        <v>27</v>
      </c>
      <c r="N3" s="5" t="s">
        <v>28</v>
      </c>
      <c r="O3" s="6" t="s">
        <v>41</v>
      </c>
      <c r="P3" s="6" t="s">
        <v>42</v>
      </c>
      <c r="Q3" s="5" t="s">
        <v>43</v>
      </c>
      <c r="R3" s="5" t="s">
        <v>44</v>
      </c>
      <c r="S3" s="5" t="s">
        <v>33</v>
      </c>
      <c r="T3" s="6">
        <v>9</v>
      </c>
      <c r="U3" s="6">
        <v>10</v>
      </c>
      <c r="V3" s="5" t="s">
        <v>34</v>
      </c>
      <c r="W3" s="8"/>
      <c r="X3" t="e">
        <f>(P3-O3)*24</f>
        <v>#VALUE!</v>
      </c>
      <c r="Y3">
        <f t="shared" ref="Y3:Y66" si="1">(T3/U3*100)</f>
        <v>90</v>
      </c>
    </row>
    <row r="4" spans="1:26">
      <c r="A4" s="5" t="s">
        <v>45</v>
      </c>
      <c r="B4" s="6">
        <v>72</v>
      </c>
      <c r="C4" s="5" t="s">
        <v>22</v>
      </c>
      <c r="D4" s="7">
        <v>45179</v>
      </c>
      <c r="E4" s="6" t="str">
        <f t="shared" si="0"/>
        <v>Sep</v>
      </c>
      <c r="F4" s="7">
        <v>45240</v>
      </c>
      <c r="G4" s="6">
        <v>2</v>
      </c>
      <c r="H4" s="5" t="s">
        <v>46</v>
      </c>
      <c r="I4" s="6">
        <v>5</v>
      </c>
      <c r="J4" s="5" t="s">
        <v>25</v>
      </c>
      <c r="K4" s="6">
        <v>25493</v>
      </c>
      <c r="L4" s="5" t="s">
        <v>26</v>
      </c>
      <c r="M4" s="5" t="s">
        <v>27</v>
      </c>
      <c r="N4" s="5" t="s">
        <v>47</v>
      </c>
      <c r="O4" s="7">
        <v>45179</v>
      </c>
      <c r="P4" s="7">
        <v>45179.083333333336</v>
      </c>
      <c r="Q4" s="5" t="s">
        <v>48</v>
      </c>
      <c r="R4" s="5" t="s">
        <v>44</v>
      </c>
      <c r="S4" s="5" t="s">
        <v>49</v>
      </c>
      <c r="T4" s="6">
        <v>10</v>
      </c>
      <c r="U4" s="6">
        <v>10</v>
      </c>
      <c r="V4" s="5" t="s">
        <v>34</v>
      </c>
      <c r="W4" s="8"/>
      <c r="Y4">
        <f t="shared" si="1"/>
        <v>100</v>
      </c>
    </row>
    <row r="5" spans="1:26">
      <c r="A5" s="5" t="s">
        <v>50</v>
      </c>
      <c r="B5" s="6">
        <v>61</v>
      </c>
      <c r="C5" s="5" t="s">
        <v>51</v>
      </c>
      <c r="D5" s="7">
        <v>45147</v>
      </c>
      <c r="E5" s="6" t="str">
        <f t="shared" si="0"/>
        <v>Aug</v>
      </c>
      <c r="F5" s="7">
        <v>45239</v>
      </c>
      <c r="G5" s="6">
        <v>3</v>
      </c>
      <c r="H5" s="5" t="s">
        <v>38</v>
      </c>
      <c r="I5" s="6">
        <v>3</v>
      </c>
      <c r="J5" s="5" t="s">
        <v>52</v>
      </c>
      <c r="K5" s="6">
        <v>23595</v>
      </c>
      <c r="L5" s="5" t="s">
        <v>26</v>
      </c>
      <c r="M5" s="5" t="s">
        <v>27</v>
      </c>
      <c r="N5" s="5" t="s">
        <v>28</v>
      </c>
      <c r="O5" s="7">
        <v>45025</v>
      </c>
      <c r="P5" s="7">
        <v>45025.583333333336</v>
      </c>
      <c r="Q5" s="5" t="s">
        <v>48</v>
      </c>
      <c r="R5" s="5" t="s">
        <v>32</v>
      </c>
      <c r="S5" s="5" t="s">
        <v>53</v>
      </c>
      <c r="T5" s="6">
        <v>7</v>
      </c>
      <c r="U5" s="6">
        <v>12</v>
      </c>
      <c r="V5" s="5" t="s">
        <v>54</v>
      </c>
      <c r="W5" s="8"/>
      <c r="Y5">
        <f t="shared" si="1"/>
        <v>58.333333333333336</v>
      </c>
    </row>
    <row r="6" spans="1:26">
      <c r="A6" s="5" t="s">
        <v>55</v>
      </c>
      <c r="B6" s="6">
        <v>21</v>
      </c>
      <c r="C6" s="5" t="s">
        <v>47</v>
      </c>
      <c r="D6" s="15">
        <v>45155</v>
      </c>
      <c r="E6" s="6" t="str">
        <f t="shared" si="0"/>
        <v>Aug</v>
      </c>
      <c r="F6" s="6" t="s">
        <v>57</v>
      </c>
      <c r="G6" s="6">
        <v>1</v>
      </c>
      <c r="H6" s="5" t="s">
        <v>58</v>
      </c>
      <c r="I6" s="6">
        <v>1</v>
      </c>
      <c r="J6" s="5" t="s">
        <v>52</v>
      </c>
      <c r="K6" s="6">
        <v>26923</v>
      </c>
      <c r="L6" s="5" t="s">
        <v>40</v>
      </c>
      <c r="M6" s="5" t="s">
        <v>27</v>
      </c>
      <c r="N6" s="5" t="s">
        <v>47</v>
      </c>
      <c r="O6" s="6" t="s">
        <v>59</v>
      </c>
      <c r="P6" s="6" t="s">
        <v>60</v>
      </c>
      <c r="Q6" s="5" t="s">
        <v>48</v>
      </c>
      <c r="R6" s="5" t="s">
        <v>32</v>
      </c>
      <c r="S6" s="5" t="s">
        <v>53</v>
      </c>
      <c r="T6" s="6">
        <v>5</v>
      </c>
      <c r="U6" s="6">
        <v>10</v>
      </c>
      <c r="V6" s="5" t="s">
        <v>34</v>
      </c>
      <c r="W6" s="8"/>
      <c r="Y6">
        <f t="shared" si="1"/>
        <v>50</v>
      </c>
    </row>
    <row r="7" spans="1:26">
      <c r="A7" s="5" t="s">
        <v>61</v>
      </c>
      <c r="B7" s="6">
        <v>83</v>
      </c>
      <c r="C7" s="5" t="s">
        <v>62</v>
      </c>
      <c r="D7" s="15">
        <v>45161</v>
      </c>
      <c r="E7" s="6" t="str">
        <f t="shared" si="0"/>
        <v>Aug</v>
      </c>
      <c r="F7" s="6" t="s">
        <v>64</v>
      </c>
      <c r="G7" s="6">
        <v>1</v>
      </c>
      <c r="H7" s="5" t="s">
        <v>58</v>
      </c>
      <c r="I7" s="6">
        <v>3</v>
      </c>
      <c r="J7" s="5" t="s">
        <v>25</v>
      </c>
      <c r="K7" s="6">
        <v>14735</v>
      </c>
      <c r="L7" s="5" t="s">
        <v>65</v>
      </c>
      <c r="M7" s="5" t="s">
        <v>66</v>
      </c>
      <c r="N7" s="5" t="s">
        <v>28</v>
      </c>
      <c r="O7" s="6" t="s">
        <v>67</v>
      </c>
      <c r="P7" s="6" t="s">
        <v>68</v>
      </c>
      <c r="Q7" s="5" t="s">
        <v>69</v>
      </c>
      <c r="R7" s="5" t="s">
        <v>44</v>
      </c>
      <c r="S7" s="5" t="s">
        <v>49</v>
      </c>
      <c r="T7" s="6">
        <v>9</v>
      </c>
      <c r="U7" s="6">
        <v>12</v>
      </c>
      <c r="V7" s="5" t="s">
        <v>54</v>
      </c>
      <c r="W7" s="8"/>
      <c r="Y7">
        <f t="shared" si="1"/>
        <v>75</v>
      </c>
    </row>
    <row r="8" spans="1:26">
      <c r="A8" s="5" t="s">
        <v>70</v>
      </c>
      <c r="B8" s="6">
        <v>87</v>
      </c>
      <c r="C8" s="5" t="s">
        <v>62</v>
      </c>
      <c r="D8" s="15">
        <v>45031</v>
      </c>
      <c r="E8" s="6" t="str">
        <f t="shared" ref="E8:E71" si="2">TEXT(D8,"MMM")</f>
        <v>Apr</v>
      </c>
      <c r="F8" s="6" t="s">
        <v>72</v>
      </c>
      <c r="G8" s="6">
        <v>5</v>
      </c>
      <c r="H8" s="5" t="s">
        <v>73</v>
      </c>
      <c r="I8" s="6">
        <v>1</v>
      </c>
      <c r="J8" s="5" t="s">
        <v>39</v>
      </c>
      <c r="K8" s="6">
        <v>39457</v>
      </c>
      <c r="L8" s="5" t="s">
        <v>26</v>
      </c>
      <c r="M8" s="5" t="s">
        <v>66</v>
      </c>
      <c r="N8" s="5" t="s">
        <v>47</v>
      </c>
      <c r="O8" s="7">
        <v>45264</v>
      </c>
      <c r="P8" s="6" t="s">
        <v>74</v>
      </c>
      <c r="Q8" s="5" t="s">
        <v>31</v>
      </c>
      <c r="R8" s="5" t="s">
        <v>32</v>
      </c>
      <c r="S8" s="5" t="s">
        <v>33</v>
      </c>
      <c r="T8" s="6">
        <v>10</v>
      </c>
      <c r="U8" s="6">
        <v>8</v>
      </c>
      <c r="V8" s="5" t="s">
        <v>34</v>
      </c>
      <c r="W8" s="8"/>
      <c r="Y8">
        <f t="shared" si="1"/>
        <v>125</v>
      </c>
    </row>
    <row r="9" spans="1:26">
      <c r="A9" s="5" t="s">
        <v>75</v>
      </c>
      <c r="B9" s="6">
        <v>75</v>
      </c>
      <c r="C9" s="5" t="s">
        <v>36</v>
      </c>
      <c r="D9" s="15">
        <v>45016</v>
      </c>
      <c r="E9" s="6" t="str">
        <f t="shared" si="2"/>
        <v>Mar</v>
      </c>
      <c r="F9" s="7">
        <v>45142</v>
      </c>
      <c r="G9" s="6">
        <v>8</v>
      </c>
      <c r="H9" s="5" t="s">
        <v>58</v>
      </c>
      <c r="I9" s="6">
        <v>5</v>
      </c>
      <c r="J9" s="5" t="s">
        <v>25</v>
      </c>
      <c r="K9" s="6">
        <v>47531</v>
      </c>
      <c r="L9" s="5" t="s">
        <v>26</v>
      </c>
      <c r="M9" s="5" t="s">
        <v>66</v>
      </c>
      <c r="N9" s="5" t="s">
        <v>47</v>
      </c>
      <c r="O9" s="6" t="s">
        <v>77</v>
      </c>
      <c r="P9" s="6" t="s">
        <v>78</v>
      </c>
      <c r="Q9" s="5" t="s">
        <v>69</v>
      </c>
      <c r="R9" s="5" t="s">
        <v>32</v>
      </c>
      <c r="S9" s="5" t="s">
        <v>33</v>
      </c>
      <c r="T9" s="6">
        <v>4</v>
      </c>
      <c r="U9" s="6">
        <v>8</v>
      </c>
      <c r="V9" s="5" t="s">
        <v>54</v>
      </c>
      <c r="W9" s="8"/>
      <c r="Y9">
        <f t="shared" si="1"/>
        <v>50</v>
      </c>
    </row>
    <row r="10" spans="1:26">
      <c r="A10" s="5" t="s">
        <v>79</v>
      </c>
      <c r="B10" s="6">
        <v>75</v>
      </c>
      <c r="C10" s="5" t="s">
        <v>51</v>
      </c>
      <c r="D10" s="7">
        <v>45359</v>
      </c>
      <c r="E10" s="6" t="str">
        <f t="shared" si="2"/>
        <v>Mar</v>
      </c>
      <c r="F10" s="7">
        <v>45568</v>
      </c>
      <c r="G10" s="6">
        <v>2</v>
      </c>
      <c r="H10" s="5" t="s">
        <v>38</v>
      </c>
      <c r="I10" s="6">
        <v>5</v>
      </c>
      <c r="J10" s="5" t="s">
        <v>25</v>
      </c>
      <c r="K10" s="6">
        <v>12727</v>
      </c>
      <c r="L10" s="5" t="s">
        <v>80</v>
      </c>
      <c r="M10" s="5" t="s">
        <v>66</v>
      </c>
      <c r="N10" s="5" t="s">
        <v>28</v>
      </c>
      <c r="O10" s="7">
        <v>45446</v>
      </c>
      <c r="P10" s="7">
        <v>45446.208333333336</v>
      </c>
      <c r="Q10" s="5" t="s">
        <v>69</v>
      </c>
      <c r="R10" s="5" t="s">
        <v>32</v>
      </c>
      <c r="S10" s="5" t="s">
        <v>53</v>
      </c>
      <c r="T10" s="6">
        <v>9</v>
      </c>
      <c r="U10" s="6">
        <v>12</v>
      </c>
      <c r="V10" s="5" t="s">
        <v>54</v>
      </c>
      <c r="W10" s="8"/>
      <c r="Y10">
        <f t="shared" si="1"/>
        <v>75</v>
      </c>
    </row>
    <row r="11" spans="1:26">
      <c r="A11" s="5" t="s">
        <v>81</v>
      </c>
      <c r="B11" s="6">
        <v>88</v>
      </c>
      <c r="C11" s="5" t="s">
        <v>82</v>
      </c>
      <c r="D11" s="7">
        <v>44959</v>
      </c>
      <c r="E11" s="6" t="str">
        <f t="shared" si="2"/>
        <v>Feb</v>
      </c>
      <c r="F11" s="7">
        <v>45018</v>
      </c>
      <c r="G11" s="6">
        <v>2</v>
      </c>
      <c r="H11" s="5" t="s">
        <v>83</v>
      </c>
      <c r="I11" s="6">
        <v>4</v>
      </c>
      <c r="J11" s="5" t="s">
        <v>25</v>
      </c>
      <c r="K11" s="6">
        <v>12764</v>
      </c>
      <c r="L11" s="5" t="s">
        <v>40</v>
      </c>
      <c r="M11" s="5" t="s">
        <v>66</v>
      </c>
      <c r="N11" s="5" t="s">
        <v>28</v>
      </c>
      <c r="O11" s="6" t="s">
        <v>84</v>
      </c>
      <c r="P11" s="6" t="s">
        <v>85</v>
      </c>
      <c r="Q11" s="5" t="s">
        <v>86</v>
      </c>
      <c r="R11" s="5" t="s">
        <v>32</v>
      </c>
      <c r="S11" s="5" t="s">
        <v>53</v>
      </c>
      <c r="T11" s="6">
        <v>6</v>
      </c>
      <c r="U11" s="6">
        <v>8</v>
      </c>
      <c r="V11" s="5" t="s">
        <v>54</v>
      </c>
      <c r="W11" s="8"/>
      <c r="Y11">
        <f t="shared" si="1"/>
        <v>75</v>
      </c>
    </row>
    <row r="12" spans="1:26">
      <c r="A12" s="5" t="s">
        <v>87</v>
      </c>
      <c r="B12" s="6">
        <v>24</v>
      </c>
      <c r="C12" s="5" t="s">
        <v>51</v>
      </c>
      <c r="D12" s="15">
        <v>44957</v>
      </c>
      <c r="E12" s="6" t="str">
        <f t="shared" si="2"/>
        <v>Jan</v>
      </c>
      <c r="F12" s="7">
        <v>45018</v>
      </c>
      <c r="G12" s="6">
        <v>4</v>
      </c>
      <c r="H12" s="5" t="s">
        <v>83</v>
      </c>
      <c r="I12" s="6">
        <v>4</v>
      </c>
      <c r="J12" s="5" t="s">
        <v>89</v>
      </c>
      <c r="K12" s="6">
        <v>32599</v>
      </c>
      <c r="L12" s="5" t="s">
        <v>90</v>
      </c>
      <c r="M12" s="5" t="s">
        <v>27</v>
      </c>
      <c r="N12" s="5" t="s">
        <v>28</v>
      </c>
      <c r="O12" s="6" t="s">
        <v>88</v>
      </c>
      <c r="P12" s="6" t="s">
        <v>91</v>
      </c>
      <c r="Q12" s="5" t="s">
        <v>31</v>
      </c>
      <c r="R12" s="5" t="s">
        <v>32</v>
      </c>
      <c r="S12" s="5" t="s">
        <v>53</v>
      </c>
      <c r="T12" s="6">
        <v>6</v>
      </c>
      <c r="U12" s="6">
        <v>10</v>
      </c>
      <c r="V12" s="5" t="s">
        <v>92</v>
      </c>
      <c r="W12" s="8"/>
      <c r="Y12">
        <f t="shared" si="1"/>
        <v>60</v>
      </c>
    </row>
    <row r="13" spans="1:26">
      <c r="A13" s="5" t="s">
        <v>93</v>
      </c>
      <c r="B13" s="6">
        <v>3</v>
      </c>
      <c r="C13" s="5" t="s">
        <v>62</v>
      </c>
      <c r="D13" s="7">
        <v>45022</v>
      </c>
      <c r="E13" s="6" t="str">
        <f t="shared" si="2"/>
        <v>Apr</v>
      </c>
      <c r="F13" s="6" t="s">
        <v>94</v>
      </c>
      <c r="G13" s="6">
        <v>15</v>
      </c>
      <c r="H13" s="5" t="s">
        <v>73</v>
      </c>
      <c r="I13" s="6">
        <v>4</v>
      </c>
      <c r="J13" s="5" t="s">
        <v>52</v>
      </c>
      <c r="K13" s="6">
        <v>5818</v>
      </c>
      <c r="L13" s="5" t="s">
        <v>65</v>
      </c>
      <c r="M13" s="5" t="s">
        <v>27</v>
      </c>
      <c r="N13" s="5" t="s">
        <v>47</v>
      </c>
      <c r="O13" s="7">
        <v>44961</v>
      </c>
      <c r="P13" s="7">
        <v>44989.541666666664</v>
      </c>
      <c r="Q13" s="5" t="s">
        <v>48</v>
      </c>
      <c r="R13" s="5" t="s">
        <v>32</v>
      </c>
      <c r="S13" s="5" t="s">
        <v>53</v>
      </c>
      <c r="T13" s="6">
        <v>4</v>
      </c>
      <c r="U13" s="6">
        <v>8</v>
      </c>
      <c r="V13" s="5" t="s">
        <v>34</v>
      </c>
      <c r="W13" s="8"/>
      <c r="Y13">
        <f t="shared" si="1"/>
        <v>50</v>
      </c>
    </row>
    <row r="14" spans="1:26">
      <c r="A14" s="5" t="s">
        <v>95</v>
      </c>
      <c r="B14" s="6">
        <v>22</v>
      </c>
      <c r="C14" s="5" t="s">
        <v>62</v>
      </c>
      <c r="D14" s="7">
        <v>45150</v>
      </c>
      <c r="E14" s="6" t="str">
        <f t="shared" si="2"/>
        <v>Aug</v>
      </c>
      <c r="F14" s="6" t="s">
        <v>96</v>
      </c>
      <c r="G14" s="6">
        <v>9</v>
      </c>
      <c r="H14" s="5" t="s">
        <v>24</v>
      </c>
      <c r="I14" s="6">
        <v>5</v>
      </c>
      <c r="J14" s="5" t="s">
        <v>97</v>
      </c>
      <c r="K14" s="6">
        <v>42289</v>
      </c>
      <c r="L14" s="5" t="s">
        <v>65</v>
      </c>
      <c r="M14" s="5" t="s">
        <v>66</v>
      </c>
      <c r="N14" s="5" t="s">
        <v>28</v>
      </c>
      <c r="O14" s="7">
        <v>45238</v>
      </c>
      <c r="P14" s="7">
        <v>45238.666666666664</v>
      </c>
      <c r="Q14" s="5" t="s">
        <v>43</v>
      </c>
      <c r="R14" s="5" t="s">
        <v>32</v>
      </c>
      <c r="S14" s="5" t="s">
        <v>53</v>
      </c>
      <c r="T14" s="6">
        <v>11</v>
      </c>
      <c r="U14" s="6">
        <v>8</v>
      </c>
      <c r="V14" s="5" t="s">
        <v>92</v>
      </c>
      <c r="W14" s="8"/>
      <c r="Y14">
        <f t="shared" si="1"/>
        <v>137.5</v>
      </c>
    </row>
    <row r="15" spans="1:26">
      <c r="A15" s="5" t="s">
        <v>98</v>
      </c>
      <c r="B15" s="6">
        <v>53</v>
      </c>
      <c r="C15" s="5" t="s">
        <v>47</v>
      </c>
      <c r="D15" s="15">
        <v>45165</v>
      </c>
      <c r="E15" s="6" t="str">
        <f t="shared" si="2"/>
        <v>Aug</v>
      </c>
      <c r="F15" s="6" t="s">
        <v>100</v>
      </c>
      <c r="G15" s="6">
        <v>3</v>
      </c>
      <c r="H15" s="5" t="s">
        <v>38</v>
      </c>
      <c r="I15" s="6">
        <v>2</v>
      </c>
      <c r="J15" s="5" t="s">
        <v>97</v>
      </c>
      <c r="K15" s="6">
        <v>38892</v>
      </c>
      <c r="L15" s="5" t="s">
        <v>40</v>
      </c>
      <c r="M15" s="5" t="s">
        <v>66</v>
      </c>
      <c r="N15" s="5" t="s">
        <v>28</v>
      </c>
      <c r="O15" s="6" t="s">
        <v>101</v>
      </c>
      <c r="P15" s="6" t="s">
        <v>102</v>
      </c>
      <c r="Q15" s="5" t="s">
        <v>48</v>
      </c>
      <c r="R15" s="5" t="s">
        <v>32</v>
      </c>
      <c r="S15" s="5" t="s">
        <v>33</v>
      </c>
      <c r="T15" s="6">
        <v>7</v>
      </c>
      <c r="U15" s="6">
        <v>12</v>
      </c>
      <c r="V15" s="5" t="s">
        <v>34</v>
      </c>
      <c r="W15" s="8"/>
      <c r="Y15">
        <f t="shared" si="1"/>
        <v>58.333333333333336</v>
      </c>
    </row>
    <row r="16" spans="1:26">
      <c r="A16" s="5" t="s">
        <v>103</v>
      </c>
      <c r="B16" s="6">
        <v>2</v>
      </c>
      <c r="C16" s="5" t="s">
        <v>51</v>
      </c>
      <c r="D16" s="7">
        <v>45297</v>
      </c>
      <c r="E16" s="6" t="str">
        <f t="shared" si="2"/>
        <v>Jan</v>
      </c>
      <c r="F16" s="7">
        <v>45510</v>
      </c>
      <c r="G16" s="6">
        <v>7</v>
      </c>
      <c r="H16" s="5" t="s">
        <v>38</v>
      </c>
      <c r="I16" s="6">
        <v>5</v>
      </c>
      <c r="J16" s="5" t="s">
        <v>89</v>
      </c>
      <c r="K16" s="6">
        <v>10660</v>
      </c>
      <c r="L16" s="5" t="s">
        <v>80</v>
      </c>
      <c r="M16" s="5" t="s">
        <v>27</v>
      </c>
      <c r="N16" s="5" t="s">
        <v>28</v>
      </c>
      <c r="O16" s="6" t="s">
        <v>104</v>
      </c>
      <c r="P16" s="6" t="s">
        <v>105</v>
      </c>
      <c r="Q16" s="5" t="s">
        <v>69</v>
      </c>
      <c r="R16" s="5" t="s">
        <v>32</v>
      </c>
      <c r="S16" s="5" t="s">
        <v>33</v>
      </c>
      <c r="T16" s="6">
        <v>11</v>
      </c>
      <c r="U16" s="6">
        <v>10</v>
      </c>
      <c r="V16" s="5" t="s">
        <v>34</v>
      </c>
      <c r="W16" s="8"/>
      <c r="Y16">
        <f t="shared" si="1"/>
        <v>110.00000000000001</v>
      </c>
    </row>
    <row r="17" spans="1:25">
      <c r="A17" s="5" t="s">
        <v>106</v>
      </c>
      <c r="B17" s="6">
        <v>88</v>
      </c>
      <c r="C17" s="5" t="s">
        <v>51</v>
      </c>
      <c r="D17" s="15">
        <v>44954</v>
      </c>
      <c r="E17" s="6" t="str">
        <f t="shared" si="2"/>
        <v>Jan</v>
      </c>
      <c r="F17" s="7">
        <v>45048</v>
      </c>
      <c r="G17" s="6">
        <v>8</v>
      </c>
      <c r="H17" s="5" t="s">
        <v>58</v>
      </c>
      <c r="I17" s="6">
        <v>3</v>
      </c>
      <c r="J17" s="5" t="s">
        <v>25</v>
      </c>
      <c r="K17" s="6">
        <v>34521</v>
      </c>
      <c r="L17" s="5" t="s">
        <v>80</v>
      </c>
      <c r="M17" s="5" t="s">
        <v>66</v>
      </c>
      <c r="N17" s="5" t="s">
        <v>47</v>
      </c>
      <c r="O17" s="6" t="s">
        <v>108</v>
      </c>
      <c r="P17" s="6" t="s">
        <v>109</v>
      </c>
      <c r="Q17" s="5" t="s">
        <v>31</v>
      </c>
      <c r="R17" s="5" t="s">
        <v>32</v>
      </c>
      <c r="S17" s="5" t="s">
        <v>33</v>
      </c>
      <c r="T17" s="6">
        <v>5</v>
      </c>
      <c r="U17" s="6">
        <v>8</v>
      </c>
      <c r="V17" s="5" t="s">
        <v>92</v>
      </c>
      <c r="W17" s="8"/>
      <c r="Y17">
        <f t="shared" si="1"/>
        <v>62.5</v>
      </c>
    </row>
    <row r="18" spans="1:25">
      <c r="A18" s="5" t="s">
        <v>110</v>
      </c>
      <c r="B18" s="6">
        <v>30</v>
      </c>
      <c r="C18" s="5" t="s">
        <v>62</v>
      </c>
      <c r="D18" s="15">
        <v>45130</v>
      </c>
      <c r="E18" s="6" t="str">
        <f t="shared" si="2"/>
        <v>Jul</v>
      </c>
      <c r="F18" s="6" t="s">
        <v>112</v>
      </c>
      <c r="G18" s="6">
        <v>6</v>
      </c>
      <c r="H18" s="5" t="s">
        <v>38</v>
      </c>
      <c r="I18" s="6">
        <v>5</v>
      </c>
      <c r="J18" s="5" t="s">
        <v>89</v>
      </c>
      <c r="K18" s="6">
        <v>43409</v>
      </c>
      <c r="L18" s="5" t="s">
        <v>40</v>
      </c>
      <c r="M18" s="5" t="s">
        <v>27</v>
      </c>
      <c r="N18" s="5" t="s">
        <v>28</v>
      </c>
      <c r="O18" s="6" t="s">
        <v>113</v>
      </c>
      <c r="P18" s="6" t="s">
        <v>114</v>
      </c>
      <c r="Q18" s="5" t="s">
        <v>31</v>
      </c>
      <c r="R18" s="5" t="s">
        <v>32</v>
      </c>
      <c r="S18" s="5" t="s">
        <v>33</v>
      </c>
      <c r="T18" s="6">
        <v>11</v>
      </c>
      <c r="U18" s="6">
        <v>8</v>
      </c>
      <c r="V18" s="5" t="s">
        <v>54</v>
      </c>
      <c r="W18" s="8"/>
      <c r="Y18">
        <f t="shared" si="1"/>
        <v>137.5</v>
      </c>
    </row>
    <row r="19" spans="1:25">
      <c r="A19" s="5" t="s">
        <v>115</v>
      </c>
      <c r="B19" s="6">
        <v>38</v>
      </c>
      <c r="C19" s="5" t="s">
        <v>82</v>
      </c>
      <c r="D19" s="7">
        <v>45356</v>
      </c>
      <c r="E19" s="6" t="str">
        <f t="shared" si="2"/>
        <v>Mar</v>
      </c>
      <c r="F19" s="6" t="s">
        <v>116</v>
      </c>
      <c r="G19" s="6">
        <v>11</v>
      </c>
      <c r="H19" s="5" t="s">
        <v>46</v>
      </c>
      <c r="I19" s="6">
        <v>5</v>
      </c>
      <c r="J19" s="5" t="s">
        <v>89</v>
      </c>
      <c r="K19" s="6">
        <v>39470</v>
      </c>
      <c r="L19" s="5" t="s">
        <v>80</v>
      </c>
      <c r="M19" s="5" t="s">
        <v>66</v>
      </c>
      <c r="N19" s="5" t="s">
        <v>47</v>
      </c>
      <c r="O19" s="6" t="s">
        <v>117</v>
      </c>
      <c r="P19" s="6" t="s">
        <v>118</v>
      </c>
      <c r="Q19" s="5" t="s">
        <v>31</v>
      </c>
      <c r="R19" s="5" t="s">
        <v>32</v>
      </c>
      <c r="S19" s="5" t="s">
        <v>49</v>
      </c>
      <c r="T19" s="6">
        <v>5</v>
      </c>
      <c r="U19" s="6">
        <v>12</v>
      </c>
      <c r="V19" s="5" t="s">
        <v>34</v>
      </c>
      <c r="W19" s="8"/>
      <c r="Y19">
        <f t="shared" si="1"/>
        <v>41.666666666666671</v>
      </c>
    </row>
    <row r="20" spans="1:25">
      <c r="A20" s="5" t="s">
        <v>119</v>
      </c>
      <c r="B20" s="6">
        <v>2</v>
      </c>
      <c r="C20" s="5" t="s">
        <v>36</v>
      </c>
      <c r="D20" s="15">
        <v>45152</v>
      </c>
      <c r="E20" s="6" t="str">
        <f t="shared" si="2"/>
        <v>Aug</v>
      </c>
      <c r="F20" s="6" t="s">
        <v>121</v>
      </c>
      <c r="G20" s="6">
        <v>12</v>
      </c>
      <c r="H20" s="5" t="s">
        <v>24</v>
      </c>
      <c r="I20" s="6">
        <v>1</v>
      </c>
      <c r="J20" s="5" t="s">
        <v>39</v>
      </c>
      <c r="K20" s="6">
        <v>23385</v>
      </c>
      <c r="L20" s="5" t="s">
        <v>65</v>
      </c>
      <c r="M20" s="5" t="s">
        <v>27</v>
      </c>
      <c r="N20" s="5" t="s">
        <v>28</v>
      </c>
      <c r="O20" s="7">
        <v>45268</v>
      </c>
      <c r="P20" s="6" t="s">
        <v>122</v>
      </c>
      <c r="Q20" s="5" t="s">
        <v>86</v>
      </c>
      <c r="R20" s="5" t="s">
        <v>32</v>
      </c>
      <c r="S20" s="5" t="s">
        <v>33</v>
      </c>
      <c r="T20" s="6">
        <v>9</v>
      </c>
      <c r="U20" s="6">
        <v>12</v>
      </c>
      <c r="V20" s="5" t="s">
        <v>54</v>
      </c>
      <c r="W20" s="8"/>
      <c r="Y20">
        <f t="shared" si="1"/>
        <v>75</v>
      </c>
    </row>
    <row r="21" spans="1:25" ht="15.75" customHeight="1">
      <c r="A21" s="5" t="s">
        <v>123</v>
      </c>
      <c r="B21" s="6">
        <v>64</v>
      </c>
      <c r="C21" s="5" t="s">
        <v>36</v>
      </c>
      <c r="D21" s="7">
        <v>45386</v>
      </c>
      <c r="E21" s="6" t="str">
        <f t="shared" si="2"/>
        <v>Apr</v>
      </c>
      <c r="F21" s="6" t="s">
        <v>124</v>
      </c>
      <c r="G21" s="6">
        <v>12</v>
      </c>
      <c r="H21" s="5" t="s">
        <v>58</v>
      </c>
      <c r="I21" s="6">
        <v>1</v>
      </c>
      <c r="J21" s="5" t="s">
        <v>52</v>
      </c>
      <c r="K21" s="6">
        <v>28296</v>
      </c>
      <c r="L21" s="5" t="s">
        <v>65</v>
      </c>
      <c r="M21" s="5" t="s">
        <v>66</v>
      </c>
      <c r="N21" s="5" t="s">
        <v>28</v>
      </c>
      <c r="O21" s="7">
        <v>45355</v>
      </c>
      <c r="P21" s="7">
        <v>45416</v>
      </c>
      <c r="Q21" s="5" t="s">
        <v>48</v>
      </c>
      <c r="R21" s="5" t="s">
        <v>32</v>
      </c>
      <c r="S21" s="5" t="s">
        <v>49</v>
      </c>
      <c r="T21" s="6">
        <v>6</v>
      </c>
      <c r="U21" s="6">
        <v>10</v>
      </c>
      <c r="V21" s="5" t="s">
        <v>92</v>
      </c>
      <c r="W21" s="8"/>
      <c r="Y21">
        <f t="shared" si="1"/>
        <v>60</v>
      </c>
    </row>
    <row r="22" spans="1:25" ht="15.75" customHeight="1">
      <c r="A22" s="5" t="s">
        <v>125</v>
      </c>
      <c r="B22" s="6">
        <v>60</v>
      </c>
      <c r="C22" s="5" t="s">
        <v>51</v>
      </c>
      <c r="D22" s="7">
        <v>45211</v>
      </c>
      <c r="E22" s="6" t="str">
        <f t="shared" si="2"/>
        <v>Oct</v>
      </c>
      <c r="F22" s="6" t="s">
        <v>126</v>
      </c>
      <c r="G22" s="6">
        <v>9</v>
      </c>
      <c r="H22" s="5" t="s">
        <v>46</v>
      </c>
      <c r="I22" s="6">
        <v>1</v>
      </c>
      <c r="J22" s="5" t="s">
        <v>97</v>
      </c>
      <c r="K22" s="6">
        <v>28616</v>
      </c>
      <c r="L22" s="5" t="s">
        <v>90</v>
      </c>
      <c r="M22" s="5" t="s">
        <v>27</v>
      </c>
      <c r="N22" s="5" t="s">
        <v>28</v>
      </c>
      <c r="O22" s="7">
        <v>45270</v>
      </c>
      <c r="P22" s="7">
        <v>45270.375</v>
      </c>
      <c r="Q22" s="5" t="s">
        <v>86</v>
      </c>
      <c r="R22" s="5" t="s">
        <v>32</v>
      </c>
      <c r="S22" s="5" t="s">
        <v>33</v>
      </c>
      <c r="T22" s="6">
        <v>7</v>
      </c>
      <c r="U22" s="6">
        <v>8</v>
      </c>
      <c r="V22" s="5" t="s">
        <v>54</v>
      </c>
      <c r="W22" s="8"/>
      <c r="Y22">
        <f t="shared" si="1"/>
        <v>87.5</v>
      </c>
    </row>
    <row r="23" spans="1:25" ht="15.75" customHeight="1">
      <c r="A23" s="5" t="s">
        <v>127</v>
      </c>
      <c r="B23" s="6">
        <v>21</v>
      </c>
      <c r="C23" s="5" t="s">
        <v>36</v>
      </c>
      <c r="D23" s="7">
        <v>44933</v>
      </c>
      <c r="E23" s="6" t="str">
        <f t="shared" si="2"/>
        <v>Jan</v>
      </c>
      <c r="F23" s="6" t="s">
        <v>128</v>
      </c>
      <c r="G23" s="6">
        <v>7</v>
      </c>
      <c r="H23" s="5" t="s">
        <v>73</v>
      </c>
      <c r="I23" s="6">
        <v>5</v>
      </c>
      <c r="J23" s="5" t="s">
        <v>25</v>
      </c>
      <c r="K23" s="6">
        <v>31382</v>
      </c>
      <c r="L23" s="5" t="s">
        <v>40</v>
      </c>
      <c r="M23" s="5" t="s">
        <v>66</v>
      </c>
      <c r="N23" s="5" t="s">
        <v>28</v>
      </c>
      <c r="O23" s="7">
        <v>45108</v>
      </c>
      <c r="P23" s="7">
        <v>45139.875</v>
      </c>
      <c r="Q23" s="5" t="s">
        <v>43</v>
      </c>
      <c r="R23" s="5" t="s">
        <v>32</v>
      </c>
      <c r="S23" s="5" t="s">
        <v>53</v>
      </c>
      <c r="T23" s="6">
        <v>7</v>
      </c>
      <c r="U23" s="6">
        <v>12</v>
      </c>
      <c r="V23" s="5" t="s">
        <v>34</v>
      </c>
      <c r="W23" s="8"/>
      <c r="Y23">
        <f t="shared" si="1"/>
        <v>58.333333333333336</v>
      </c>
    </row>
    <row r="24" spans="1:25" ht="15.75" customHeight="1">
      <c r="A24" s="5" t="s">
        <v>129</v>
      </c>
      <c r="B24" s="6">
        <v>33</v>
      </c>
      <c r="C24" s="5" t="s">
        <v>62</v>
      </c>
      <c r="D24" s="15">
        <v>45090</v>
      </c>
      <c r="E24" s="6" t="str">
        <f t="shared" si="2"/>
        <v>Jun</v>
      </c>
      <c r="F24" s="6" t="s">
        <v>131</v>
      </c>
      <c r="G24" s="6">
        <v>10</v>
      </c>
      <c r="H24" s="5" t="s">
        <v>83</v>
      </c>
      <c r="I24" s="6">
        <v>2</v>
      </c>
      <c r="J24" s="5" t="s">
        <v>97</v>
      </c>
      <c r="K24" s="6">
        <v>16139</v>
      </c>
      <c r="L24" s="5" t="s">
        <v>26</v>
      </c>
      <c r="M24" s="5" t="s">
        <v>66</v>
      </c>
      <c r="N24" s="5" t="s">
        <v>28</v>
      </c>
      <c r="O24" s="7">
        <v>45144</v>
      </c>
      <c r="P24" s="7">
        <v>45175.958333333336</v>
      </c>
      <c r="Q24" s="5" t="s">
        <v>69</v>
      </c>
      <c r="R24" s="5" t="s">
        <v>32</v>
      </c>
      <c r="S24" s="5" t="s">
        <v>53</v>
      </c>
      <c r="T24" s="6">
        <v>7</v>
      </c>
      <c r="U24" s="6">
        <v>12</v>
      </c>
      <c r="V24" s="5" t="s">
        <v>34</v>
      </c>
      <c r="W24" s="8"/>
      <c r="Y24">
        <f t="shared" si="1"/>
        <v>58.333333333333336</v>
      </c>
    </row>
    <row r="25" spans="1:25" ht="15.75" customHeight="1">
      <c r="A25" s="5" t="s">
        <v>132</v>
      </c>
      <c r="B25" s="6">
        <v>76</v>
      </c>
      <c r="C25" s="5" t="s">
        <v>62</v>
      </c>
      <c r="D25" s="7">
        <v>45359</v>
      </c>
      <c r="E25" s="6" t="str">
        <f t="shared" si="2"/>
        <v>Mar</v>
      </c>
      <c r="F25" s="6" t="s">
        <v>133</v>
      </c>
      <c r="G25" s="6">
        <v>12</v>
      </c>
      <c r="H25" s="5" t="s">
        <v>73</v>
      </c>
      <c r="I25" s="6">
        <v>3</v>
      </c>
      <c r="J25" s="5" t="s">
        <v>97</v>
      </c>
      <c r="K25" s="6">
        <v>37060</v>
      </c>
      <c r="L25" s="5" t="s">
        <v>26</v>
      </c>
      <c r="M25" s="5" t="s">
        <v>66</v>
      </c>
      <c r="N25" s="5" t="s">
        <v>28</v>
      </c>
      <c r="O25" s="7">
        <v>45476</v>
      </c>
      <c r="P25" s="7">
        <v>45476.25</v>
      </c>
      <c r="Q25" s="5" t="s">
        <v>86</v>
      </c>
      <c r="R25" s="5" t="s">
        <v>32</v>
      </c>
      <c r="S25" s="5" t="s">
        <v>53</v>
      </c>
      <c r="T25" s="6">
        <v>9</v>
      </c>
      <c r="U25" s="6">
        <v>12</v>
      </c>
      <c r="V25" s="5" t="s">
        <v>34</v>
      </c>
      <c r="W25" s="8"/>
      <c r="Y25">
        <f t="shared" si="1"/>
        <v>75</v>
      </c>
    </row>
    <row r="26" spans="1:25" ht="15.75" customHeight="1">
      <c r="A26" s="5" t="s">
        <v>134</v>
      </c>
      <c r="B26" s="6">
        <v>58</v>
      </c>
      <c r="C26" s="5" t="s">
        <v>51</v>
      </c>
      <c r="D26" s="15">
        <v>45275</v>
      </c>
      <c r="E26" s="6" t="str">
        <f t="shared" si="2"/>
        <v>Dec</v>
      </c>
      <c r="F26" s="6" t="s">
        <v>136</v>
      </c>
      <c r="G26" s="6">
        <v>12</v>
      </c>
      <c r="H26" s="5" t="s">
        <v>83</v>
      </c>
      <c r="I26" s="6">
        <v>3</v>
      </c>
      <c r="J26" s="5" t="s">
        <v>52</v>
      </c>
      <c r="K26" s="6">
        <v>27419</v>
      </c>
      <c r="L26" s="5" t="s">
        <v>90</v>
      </c>
      <c r="M26" s="5" t="s">
        <v>66</v>
      </c>
      <c r="N26" s="5" t="s">
        <v>28</v>
      </c>
      <c r="O26" s="7">
        <v>45272</v>
      </c>
      <c r="P26" s="6" t="s">
        <v>137</v>
      </c>
      <c r="Q26" s="5" t="s">
        <v>86</v>
      </c>
      <c r="R26" s="5" t="s">
        <v>32</v>
      </c>
      <c r="S26" s="5" t="s">
        <v>49</v>
      </c>
      <c r="T26" s="6">
        <v>5</v>
      </c>
      <c r="U26" s="6">
        <v>10</v>
      </c>
      <c r="V26" s="5" t="s">
        <v>92</v>
      </c>
      <c r="W26" s="8"/>
      <c r="Y26">
        <f t="shared" si="1"/>
        <v>50</v>
      </c>
    </row>
    <row r="27" spans="1:25" ht="15.75" customHeight="1">
      <c r="A27" s="5" t="s">
        <v>138</v>
      </c>
      <c r="B27" s="6">
        <v>22</v>
      </c>
      <c r="C27" s="5" t="s">
        <v>51</v>
      </c>
      <c r="D27" s="7">
        <v>45211</v>
      </c>
      <c r="E27" s="6" t="str">
        <f t="shared" si="2"/>
        <v>Oct</v>
      </c>
      <c r="F27" s="6" t="s">
        <v>139</v>
      </c>
      <c r="G27" s="6">
        <v>3</v>
      </c>
      <c r="H27" s="5" t="s">
        <v>73</v>
      </c>
      <c r="I27" s="6">
        <v>2</v>
      </c>
      <c r="J27" s="5" t="s">
        <v>97</v>
      </c>
      <c r="K27" s="6">
        <v>32785</v>
      </c>
      <c r="L27" s="5" t="s">
        <v>90</v>
      </c>
      <c r="M27" s="5" t="s">
        <v>27</v>
      </c>
      <c r="N27" s="5" t="s">
        <v>28</v>
      </c>
      <c r="O27" s="7">
        <v>45148</v>
      </c>
      <c r="P27" s="7">
        <v>45209</v>
      </c>
      <c r="Q27" s="5" t="s">
        <v>69</v>
      </c>
      <c r="R27" s="5" t="s">
        <v>32</v>
      </c>
      <c r="S27" s="5" t="s">
        <v>33</v>
      </c>
      <c r="T27" s="6">
        <v>7</v>
      </c>
      <c r="U27" s="6">
        <v>12</v>
      </c>
      <c r="V27" s="5" t="s">
        <v>34</v>
      </c>
      <c r="W27" s="8"/>
      <c r="Y27">
        <f t="shared" si="1"/>
        <v>58.333333333333336</v>
      </c>
    </row>
    <row r="28" spans="1:25" ht="15.75" customHeight="1">
      <c r="A28" s="5" t="s">
        <v>140</v>
      </c>
      <c r="B28" s="6">
        <v>89</v>
      </c>
      <c r="C28" s="5" t="s">
        <v>47</v>
      </c>
      <c r="D28" s="7">
        <v>45086</v>
      </c>
      <c r="E28" s="6" t="str">
        <f t="shared" si="2"/>
        <v>Jun</v>
      </c>
      <c r="F28" s="6" t="s">
        <v>141</v>
      </c>
      <c r="G28" s="6">
        <v>15</v>
      </c>
      <c r="H28" s="5" t="s">
        <v>38</v>
      </c>
      <c r="I28" s="6">
        <v>2</v>
      </c>
      <c r="J28" s="5" t="s">
        <v>97</v>
      </c>
      <c r="K28" s="6">
        <v>20702</v>
      </c>
      <c r="L28" s="5" t="s">
        <v>80</v>
      </c>
      <c r="M28" s="5" t="s">
        <v>27</v>
      </c>
      <c r="N28" s="5" t="s">
        <v>28</v>
      </c>
      <c r="O28" s="7">
        <v>45083</v>
      </c>
      <c r="P28" s="7">
        <v>45083.958333333336</v>
      </c>
      <c r="Q28" s="5" t="s">
        <v>31</v>
      </c>
      <c r="R28" s="5" t="s">
        <v>32</v>
      </c>
      <c r="S28" s="5" t="s">
        <v>33</v>
      </c>
      <c r="T28" s="6">
        <v>9</v>
      </c>
      <c r="U28" s="6">
        <v>10</v>
      </c>
      <c r="V28" s="5" t="s">
        <v>92</v>
      </c>
      <c r="W28" s="8"/>
      <c r="Y28">
        <f t="shared" si="1"/>
        <v>90</v>
      </c>
    </row>
    <row r="29" spans="1:25" ht="15.75" customHeight="1">
      <c r="A29" s="5" t="s">
        <v>142</v>
      </c>
      <c r="B29" s="6">
        <v>49</v>
      </c>
      <c r="C29" s="5" t="s">
        <v>51</v>
      </c>
      <c r="D29" s="7">
        <v>45147</v>
      </c>
      <c r="E29" s="6" t="str">
        <f t="shared" si="2"/>
        <v>Aug</v>
      </c>
      <c r="F29" s="6" t="s">
        <v>59</v>
      </c>
      <c r="G29" s="6">
        <v>7</v>
      </c>
      <c r="H29" s="5" t="s">
        <v>46</v>
      </c>
      <c r="I29" s="6">
        <v>3</v>
      </c>
      <c r="J29" s="5" t="s">
        <v>89</v>
      </c>
      <c r="K29" s="6">
        <v>34217</v>
      </c>
      <c r="L29" s="5" t="s">
        <v>90</v>
      </c>
      <c r="M29" s="5" t="s">
        <v>66</v>
      </c>
      <c r="N29" s="5" t="s">
        <v>28</v>
      </c>
      <c r="O29" s="7">
        <v>45054</v>
      </c>
      <c r="P29" s="7">
        <v>45054.166666666664</v>
      </c>
      <c r="Q29" s="5" t="s">
        <v>69</v>
      </c>
      <c r="R29" s="5" t="s">
        <v>32</v>
      </c>
      <c r="S29" s="5" t="s">
        <v>49</v>
      </c>
      <c r="T29" s="6">
        <v>9</v>
      </c>
      <c r="U29" s="6">
        <v>10</v>
      </c>
      <c r="V29" s="5" t="s">
        <v>54</v>
      </c>
      <c r="W29" s="8"/>
      <c r="Y29">
        <f t="shared" si="1"/>
        <v>90</v>
      </c>
    </row>
    <row r="30" spans="1:25" ht="15.75" customHeight="1">
      <c r="A30" s="5" t="s">
        <v>143</v>
      </c>
      <c r="B30" s="6">
        <v>59</v>
      </c>
      <c r="C30" s="5" t="s">
        <v>82</v>
      </c>
      <c r="D30" s="7">
        <v>45271</v>
      </c>
      <c r="E30" s="6" t="str">
        <f t="shared" si="2"/>
        <v>Dec</v>
      </c>
      <c r="F30" s="6" t="s">
        <v>144</v>
      </c>
      <c r="G30" s="6">
        <v>11</v>
      </c>
      <c r="H30" s="5" t="s">
        <v>83</v>
      </c>
      <c r="I30" s="6">
        <v>4</v>
      </c>
      <c r="J30" s="5" t="s">
        <v>52</v>
      </c>
      <c r="K30" s="6">
        <v>44291</v>
      </c>
      <c r="L30" s="5" t="s">
        <v>90</v>
      </c>
      <c r="M30" s="5" t="s">
        <v>66</v>
      </c>
      <c r="N30" s="5" t="s">
        <v>28</v>
      </c>
      <c r="O30" s="7">
        <v>45242</v>
      </c>
      <c r="P30" s="7">
        <v>45242.291666666664</v>
      </c>
      <c r="Q30" s="5" t="s">
        <v>48</v>
      </c>
      <c r="R30" s="5" t="s">
        <v>32</v>
      </c>
      <c r="S30" s="5" t="s">
        <v>49</v>
      </c>
      <c r="T30" s="6">
        <v>4</v>
      </c>
      <c r="U30" s="6">
        <v>8</v>
      </c>
      <c r="V30" s="5" t="s">
        <v>34</v>
      </c>
      <c r="W30" s="8"/>
      <c r="Y30">
        <f t="shared" si="1"/>
        <v>50</v>
      </c>
    </row>
    <row r="31" spans="1:25" ht="15.75" customHeight="1">
      <c r="A31" s="5" t="s">
        <v>145</v>
      </c>
      <c r="B31" s="6">
        <v>42</v>
      </c>
      <c r="C31" s="5" t="s">
        <v>36</v>
      </c>
      <c r="D31" s="15">
        <v>45031</v>
      </c>
      <c r="E31" s="6" t="str">
        <f t="shared" si="2"/>
        <v>Apr</v>
      </c>
      <c r="F31" s="6" t="s">
        <v>146</v>
      </c>
      <c r="G31" s="6">
        <v>2</v>
      </c>
      <c r="H31" s="5" t="s">
        <v>58</v>
      </c>
      <c r="I31" s="6">
        <v>1</v>
      </c>
      <c r="J31" s="5" t="s">
        <v>39</v>
      </c>
      <c r="K31" s="6">
        <v>17397</v>
      </c>
      <c r="L31" s="5" t="s">
        <v>26</v>
      </c>
      <c r="M31" s="5" t="s">
        <v>66</v>
      </c>
      <c r="N31" s="5" t="s">
        <v>28</v>
      </c>
      <c r="O31" s="6" t="s">
        <v>147</v>
      </c>
      <c r="P31" s="6" t="s">
        <v>148</v>
      </c>
      <c r="Q31" s="5" t="s">
        <v>69</v>
      </c>
      <c r="R31" s="5" t="s">
        <v>32</v>
      </c>
      <c r="S31" s="5" t="s">
        <v>49</v>
      </c>
      <c r="T31" s="6">
        <v>8</v>
      </c>
      <c r="U31" s="6">
        <v>8</v>
      </c>
      <c r="V31" s="5" t="s">
        <v>34</v>
      </c>
      <c r="W31" s="8"/>
      <c r="Y31">
        <f t="shared" si="1"/>
        <v>100</v>
      </c>
    </row>
    <row r="32" spans="1:25" ht="15.75" customHeight="1">
      <c r="A32" s="5" t="s">
        <v>149</v>
      </c>
      <c r="B32" s="6">
        <v>60</v>
      </c>
      <c r="C32" s="5" t="s">
        <v>51</v>
      </c>
      <c r="D32" s="7">
        <v>45021</v>
      </c>
      <c r="E32" s="6" t="str">
        <f t="shared" si="2"/>
        <v>Apr</v>
      </c>
      <c r="F32" s="6" t="s">
        <v>150</v>
      </c>
      <c r="G32" s="6">
        <v>14</v>
      </c>
      <c r="H32" s="5" t="s">
        <v>46</v>
      </c>
      <c r="I32" s="6">
        <v>1</v>
      </c>
      <c r="J32" s="5" t="s">
        <v>25</v>
      </c>
      <c r="K32" s="6">
        <v>45879</v>
      </c>
      <c r="L32" s="5" t="s">
        <v>80</v>
      </c>
      <c r="M32" s="5" t="s">
        <v>27</v>
      </c>
      <c r="N32" s="5" t="s">
        <v>28</v>
      </c>
      <c r="O32" s="7">
        <v>44989</v>
      </c>
      <c r="P32" s="7">
        <v>44989.625</v>
      </c>
      <c r="Q32" s="5" t="s">
        <v>31</v>
      </c>
      <c r="R32" s="5" t="s">
        <v>32</v>
      </c>
      <c r="S32" s="5" t="s">
        <v>49</v>
      </c>
      <c r="T32" s="6">
        <v>11</v>
      </c>
      <c r="U32" s="6">
        <v>10</v>
      </c>
      <c r="V32" s="5" t="s">
        <v>34</v>
      </c>
      <c r="W32" s="8"/>
      <c r="Y32">
        <f t="shared" si="1"/>
        <v>110.00000000000001</v>
      </c>
    </row>
    <row r="33" spans="1:25" ht="15.75" customHeight="1">
      <c r="A33" s="5" t="s">
        <v>151</v>
      </c>
      <c r="B33" s="6">
        <v>80</v>
      </c>
      <c r="C33" s="5" t="s">
        <v>22</v>
      </c>
      <c r="D33" s="15">
        <v>45316</v>
      </c>
      <c r="E33" s="6" t="str">
        <f t="shared" si="2"/>
        <v>Jan</v>
      </c>
      <c r="F33" s="7">
        <v>45324</v>
      </c>
      <c r="G33" s="6">
        <v>8</v>
      </c>
      <c r="H33" s="5" t="s">
        <v>58</v>
      </c>
      <c r="I33" s="6">
        <v>3</v>
      </c>
      <c r="J33" s="5" t="s">
        <v>97</v>
      </c>
      <c r="K33" s="6">
        <v>40169</v>
      </c>
      <c r="L33" s="5" t="s">
        <v>90</v>
      </c>
      <c r="M33" s="5" t="s">
        <v>27</v>
      </c>
      <c r="N33" s="5" t="s">
        <v>28</v>
      </c>
      <c r="O33" s="6" t="s">
        <v>153</v>
      </c>
      <c r="P33" s="6" t="s">
        <v>154</v>
      </c>
      <c r="Q33" s="5" t="s">
        <v>69</v>
      </c>
      <c r="R33" s="5" t="s">
        <v>32</v>
      </c>
      <c r="S33" s="5" t="s">
        <v>49</v>
      </c>
      <c r="T33" s="6">
        <v>7</v>
      </c>
      <c r="U33" s="6">
        <v>8</v>
      </c>
      <c r="V33" s="5" t="s">
        <v>54</v>
      </c>
      <c r="W33" s="8"/>
      <c r="Y33">
        <f t="shared" si="1"/>
        <v>87.5</v>
      </c>
    </row>
    <row r="34" spans="1:25" ht="15.75" customHeight="1">
      <c r="A34" s="5" t="s">
        <v>155</v>
      </c>
      <c r="B34" s="6">
        <v>15</v>
      </c>
      <c r="C34" s="5" t="s">
        <v>47</v>
      </c>
      <c r="D34" s="7">
        <v>45026</v>
      </c>
      <c r="E34" s="6" t="str">
        <f t="shared" si="2"/>
        <v>Apr</v>
      </c>
      <c r="F34" s="6" t="s">
        <v>72</v>
      </c>
      <c r="G34" s="6">
        <v>10</v>
      </c>
      <c r="H34" s="5" t="s">
        <v>46</v>
      </c>
      <c r="I34" s="6">
        <v>2</v>
      </c>
      <c r="J34" s="5" t="s">
        <v>25</v>
      </c>
      <c r="K34" s="6">
        <v>31940</v>
      </c>
      <c r="L34" s="5" t="s">
        <v>90</v>
      </c>
      <c r="M34" s="5" t="s">
        <v>66</v>
      </c>
      <c r="N34" s="5" t="s">
        <v>47</v>
      </c>
      <c r="O34" s="7">
        <v>45111</v>
      </c>
      <c r="P34" s="7">
        <v>45111.916666666664</v>
      </c>
      <c r="Q34" s="5" t="s">
        <v>86</v>
      </c>
      <c r="R34" s="5" t="s">
        <v>44</v>
      </c>
      <c r="S34" s="5" t="s">
        <v>53</v>
      </c>
      <c r="T34" s="6">
        <v>8</v>
      </c>
      <c r="U34" s="6">
        <v>8</v>
      </c>
      <c r="V34" s="5" t="s">
        <v>34</v>
      </c>
      <c r="W34" s="8"/>
      <c r="Y34">
        <f t="shared" si="1"/>
        <v>100</v>
      </c>
    </row>
    <row r="35" spans="1:25" ht="15.75" customHeight="1">
      <c r="A35" s="5" t="s">
        <v>156</v>
      </c>
      <c r="B35" s="6">
        <v>62</v>
      </c>
      <c r="C35" s="5" t="s">
        <v>22</v>
      </c>
      <c r="D35" s="7">
        <v>45294</v>
      </c>
      <c r="E35" s="6" t="str">
        <f t="shared" si="2"/>
        <v>Jan</v>
      </c>
      <c r="F35" s="7">
        <v>45566</v>
      </c>
      <c r="G35" s="6">
        <v>7</v>
      </c>
      <c r="H35" s="5" t="s">
        <v>46</v>
      </c>
      <c r="I35" s="6">
        <v>4</v>
      </c>
      <c r="J35" s="5" t="s">
        <v>39</v>
      </c>
      <c r="K35" s="6">
        <v>47249</v>
      </c>
      <c r="L35" s="5" t="s">
        <v>80</v>
      </c>
      <c r="M35" s="5" t="s">
        <v>27</v>
      </c>
      <c r="N35" s="5" t="s">
        <v>28</v>
      </c>
      <c r="O35" s="7">
        <v>45323</v>
      </c>
      <c r="P35" s="7">
        <v>45352.625</v>
      </c>
      <c r="Q35" s="5" t="s">
        <v>43</v>
      </c>
      <c r="R35" s="5" t="s">
        <v>32</v>
      </c>
      <c r="S35" s="5" t="s">
        <v>33</v>
      </c>
      <c r="T35" s="6">
        <v>5</v>
      </c>
      <c r="U35" s="6">
        <v>12</v>
      </c>
      <c r="V35" s="5" t="s">
        <v>92</v>
      </c>
      <c r="W35" s="8"/>
      <c r="Y35">
        <f t="shared" si="1"/>
        <v>41.666666666666671</v>
      </c>
    </row>
    <row r="36" spans="1:25" ht="15.75" customHeight="1">
      <c r="A36" s="5" t="s">
        <v>157</v>
      </c>
      <c r="B36" s="6">
        <v>62</v>
      </c>
      <c r="C36" s="5" t="s">
        <v>62</v>
      </c>
      <c r="D36" s="15">
        <v>45279</v>
      </c>
      <c r="E36" s="6" t="str">
        <f t="shared" si="2"/>
        <v>Dec</v>
      </c>
      <c r="F36" s="6" t="s">
        <v>159</v>
      </c>
      <c r="G36" s="6">
        <v>5</v>
      </c>
      <c r="H36" s="5" t="s">
        <v>73</v>
      </c>
      <c r="I36" s="6">
        <v>3</v>
      </c>
      <c r="J36" s="5" t="s">
        <v>25</v>
      </c>
      <c r="K36" s="6">
        <v>33341</v>
      </c>
      <c r="L36" s="5" t="s">
        <v>40</v>
      </c>
      <c r="M36" s="5" t="s">
        <v>27</v>
      </c>
      <c r="N36" s="5" t="s">
        <v>28</v>
      </c>
      <c r="O36" s="6" t="s">
        <v>135</v>
      </c>
      <c r="P36" s="6" t="s">
        <v>160</v>
      </c>
      <c r="Q36" s="5" t="s">
        <v>86</v>
      </c>
      <c r="R36" s="5" t="s">
        <v>32</v>
      </c>
      <c r="S36" s="5" t="s">
        <v>49</v>
      </c>
      <c r="T36" s="6">
        <v>9</v>
      </c>
      <c r="U36" s="6">
        <v>8</v>
      </c>
      <c r="V36" s="5" t="s">
        <v>54</v>
      </c>
      <c r="W36" s="8"/>
      <c r="Y36">
        <f t="shared" si="1"/>
        <v>112.5</v>
      </c>
    </row>
    <row r="37" spans="1:25" ht="15.75" customHeight="1">
      <c r="A37" s="5" t="s">
        <v>161</v>
      </c>
      <c r="B37" s="6">
        <v>47</v>
      </c>
      <c r="C37" s="5" t="s">
        <v>36</v>
      </c>
      <c r="D37" s="15">
        <v>45197</v>
      </c>
      <c r="E37" s="6" t="str">
        <f t="shared" si="2"/>
        <v>Sep</v>
      </c>
      <c r="F37" s="6" t="s">
        <v>163</v>
      </c>
      <c r="G37" s="6">
        <v>1</v>
      </c>
      <c r="H37" s="5" t="s">
        <v>83</v>
      </c>
      <c r="I37" s="6">
        <v>1</v>
      </c>
      <c r="J37" s="5" t="s">
        <v>39</v>
      </c>
      <c r="K37" s="6">
        <v>15067</v>
      </c>
      <c r="L37" s="5" t="s">
        <v>80</v>
      </c>
      <c r="M37" s="5" t="s">
        <v>27</v>
      </c>
      <c r="N37" s="5" t="s">
        <v>47</v>
      </c>
      <c r="O37" s="6" t="s">
        <v>164</v>
      </c>
      <c r="P37" s="6" t="s">
        <v>165</v>
      </c>
      <c r="Q37" s="5" t="s">
        <v>43</v>
      </c>
      <c r="R37" s="5" t="s">
        <v>32</v>
      </c>
      <c r="S37" s="5" t="s">
        <v>53</v>
      </c>
      <c r="T37" s="6">
        <v>10</v>
      </c>
      <c r="U37" s="6">
        <v>10</v>
      </c>
      <c r="V37" s="5" t="s">
        <v>54</v>
      </c>
      <c r="W37" s="8"/>
      <c r="Y37">
        <f t="shared" si="1"/>
        <v>100</v>
      </c>
    </row>
    <row r="38" spans="1:25" ht="15.75" customHeight="1">
      <c r="A38" s="5" t="s">
        <v>166</v>
      </c>
      <c r="B38" s="6">
        <v>62</v>
      </c>
      <c r="C38" s="5" t="s">
        <v>51</v>
      </c>
      <c r="D38" s="15">
        <v>37666</v>
      </c>
      <c r="E38" s="6" t="str">
        <f t="shared" si="2"/>
        <v>Feb</v>
      </c>
      <c r="F38" s="6" t="s">
        <v>168</v>
      </c>
      <c r="G38" s="6">
        <v>12</v>
      </c>
      <c r="H38" s="5" t="s">
        <v>83</v>
      </c>
      <c r="I38" s="6">
        <v>5</v>
      </c>
      <c r="J38" s="5" t="s">
        <v>89</v>
      </c>
      <c r="K38" s="6">
        <v>18824</v>
      </c>
      <c r="L38" s="5" t="s">
        <v>26</v>
      </c>
      <c r="M38" s="5" t="s">
        <v>27</v>
      </c>
      <c r="N38" s="5" t="s">
        <v>47</v>
      </c>
      <c r="O38" s="7">
        <v>45171</v>
      </c>
      <c r="P38" s="7">
        <v>45201.083333333336</v>
      </c>
      <c r="Q38" s="5" t="s">
        <v>69</v>
      </c>
      <c r="R38" s="5" t="s">
        <v>32</v>
      </c>
      <c r="S38" s="5" t="s">
        <v>49</v>
      </c>
      <c r="T38" s="6">
        <v>11</v>
      </c>
      <c r="U38" s="6">
        <v>8</v>
      </c>
      <c r="V38" s="5" t="s">
        <v>54</v>
      </c>
      <c r="W38" s="8"/>
      <c r="Y38">
        <f t="shared" si="1"/>
        <v>137.5</v>
      </c>
    </row>
    <row r="39" spans="1:25" ht="15.75" customHeight="1">
      <c r="A39" s="5" t="s">
        <v>169</v>
      </c>
      <c r="B39" s="6">
        <v>51</v>
      </c>
      <c r="C39" s="5" t="s">
        <v>22</v>
      </c>
      <c r="D39" s="15">
        <v>45397</v>
      </c>
      <c r="E39" s="6" t="str">
        <f t="shared" si="2"/>
        <v>Apr</v>
      </c>
      <c r="F39" s="6" t="s">
        <v>171</v>
      </c>
      <c r="G39" s="6">
        <v>6</v>
      </c>
      <c r="H39" s="5" t="s">
        <v>46</v>
      </c>
      <c r="I39" s="6">
        <v>2</v>
      </c>
      <c r="J39" s="5" t="s">
        <v>97</v>
      </c>
      <c r="K39" s="6">
        <v>18444</v>
      </c>
      <c r="L39" s="5" t="s">
        <v>40</v>
      </c>
      <c r="M39" s="5" t="s">
        <v>27</v>
      </c>
      <c r="N39" s="5" t="s">
        <v>28</v>
      </c>
      <c r="O39" s="7">
        <v>45630</v>
      </c>
      <c r="P39" s="7">
        <v>45630.875</v>
      </c>
      <c r="Q39" s="5" t="s">
        <v>48</v>
      </c>
      <c r="R39" s="5" t="s">
        <v>32</v>
      </c>
      <c r="S39" s="5" t="s">
        <v>53</v>
      </c>
      <c r="T39" s="6">
        <v>11</v>
      </c>
      <c r="U39" s="6">
        <v>12</v>
      </c>
      <c r="V39" s="5" t="s">
        <v>54</v>
      </c>
      <c r="W39" s="8"/>
      <c r="Y39">
        <f t="shared" si="1"/>
        <v>91.666666666666657</v>
      </c>
    </row>
    <row r="40" spans="1:25" ht="15.75" customHeight="1">
      <c r="A40" s="5" t="s">
        <v>172</v>
      </c>
      <c r="B40" s="6">
        <v>55</v>
      </c>
      <c r="C40" s="5" t="s">
        <v>36</v>
      </c>
      <c r="D40" s="7">
        <v>45054</v>
      </c>
      <c r="E40" s="6" t="str">
        <f t="shared" si="2"/>
        <v>May</v>
      </c>
      <c r="F40" s="7">
        <v>45265</v>
      </c>
      <c r="G40" s="6">
        <v>4</v>
      </c>
      <c r="H40" s="5" t="s">
        <v>38</v>
      </c>
      <c r="I40" s="6">
        <v>5</v>
      </c>
      <c r="J40" s="5" t="s">
        <v>39</v>
      </c>
      <c r="K40" s="6">
        <v>38307</v>
      </c>
      <c r="L40" s="5" t="s">
        <v>65</v>
      </c>
      <c r="M40" s="5" t="s">
        <v>27</v>
      </c>
      <c r="N40" s="5" t="s">
        <v>28</v>
      </c>
      <c r="O40" s="7">
        <v>45112</v>
      </c>
      <c r="P40" s="7">
        <v>45112.083333333336</v>
      </c>
      <c r="Q40" s="5" t="s">
        <v>69</v>
      </c>
      <c r="R40" s="5" t="s">
        <v>32</v>
      </c>
      <c r="S40" s="5" t="s">
        <v>49</v>
      </c>
      <c r="T40" s="6">
        <v>7</v>
      </c>
      <c r="U40" s="6">
        <v>10</v>
      </c>
      <c r="V40" s="5" t="s">
        <v>54</v>
      </c>
      <c r="W40" s="8"/>
      <c r="Y40">
        <f t="shared" si="1"/>
        <v>70</v>
      </c>
    </row>
    <row r="41" spans="1:25" ht="15.75" customHeight="1">
      <c r="A41" s="5" t="s">
        <v>173</v>
      </c>
      <c r="B41" s="6">
        <v>64</v>
      </c>
      <c r="C41" s="5" t="s">
        <v>62</v>
      </c>
      <c r="D41" s="15">
        <v>45314</v>
      </c>
      <c r="E41" s="6" t="str">
        <f t="shared" si="2"/>
        <v>Jan</v>
      </c>
      <c r="F41" s="6" t="s">
        <v>175</v>
      </c>
      <c r="G41" s="6">
        <v>8</v>
      </c>
      <c r="H41" s="5" t="s">
        <v>38</v>
      </c>
      <c r="I41" s="6">
        <v>3</v>
      </c>
      <c r="J41" s="5" t="s">
        <v>25</v>
      </c>
      <c r="K41" s="6">
        <v>15974</v>
      </c>
      <c r="L41" s="5" t="s">
        <v>80</v>
      </c>
      <c r="M41" s="5" t="s">
        <v>66</v>
      </c>
      <c r="N41" s="5" t="s">
        <v>28</v>
      </c>
      <c r="O41" s="6" t="s">
        <v>174</v>
      </c>
      <c r="P41" s="6" t="s">
        <v>176</v>
      </c>
      <c r="Q41" s="5" t="s">
        <v>31</v>
      </c>
      <c r="R41" s="5" t="s">
        <v>32</v>
      </c>
      <c r="S41" s="5" t="s">
        <v>33</v>
      </c>
      <c r="T41" s="6">
        <v>10</v>
      </c>
      <c r="U41" s="6">
        <v>8</v>
      </c>
      <c r="V41" s="5" t="s">
        <v>92</v>
      </c>
      <c r="W41" s="8"/>
      <c r="Y41">
        <f t="shared" si="1"/>
        <v>125</v>
      </c>
    </row>
    <row r="42" spans="1:25" ht="15.75" customHeight="1">
      <c r="A42" s="5" t="s">
        <v>177</v>
      </c>
      <c r="B42" s="6">
        <v>3</v>
      </c>
      <c r="C42" s="5" t="s">
        <v>82</v>
      </c>
      <c r="D42" s="15">
        <v>37702</v>
      </c>
      <c r="E42" s="6" t="str">
        <f t="shared" si="2"/>
        <v>Mar</v>
      </c>
      <c r="F42" s="6" t="s">
        <v>179</v>
      </c>
      <c r="G42" s="6">
        <v>8</v>
      </c>
      <c r="H42" s="5" t="s">
        <v>58</v>
      </c>
      <c r="I42" s="6">
        <v>1</v>
      </c>
      <c r="J42" s="5" t="s">
        <v>97</v>
      </c>
      <c r="K42" s="6">
        <v>43383</v>
      </c>
      <c r="L42" s="5" t="s">
        <v>26</v>
      </c>
      <c r="M42" s="5" t="s">
        <v>27</v>
      </c>
      <c r="N42" s="5" t="s">
        <v>47</v>
      </c>
      <c r="O42" s="6" t="s">
        <v>180</v>
      </c>
      <c r="P42" s="6" t="s">
        <v>181</v>
      </c>
      <c r="Q42" s="5" t="s">
        <v>69</v>
      </c>
      <c r="R42" s="5" t="s">
        <v>32</v>
      </c>
      <c r="S42" s="5" t="s">
        <v>49</v>
      </c>
      <c r="T42" s="6">
        <v>6</v>
      </c>
      <c r="U42" s="6">
        <v>10</v>
      </c>
      <c r="V42" s="5" t="s">
        <v>54</v>
      </c>
      <c r="W42" s="8"/>
      <c r="Y42">
        <f t="shared" si="1"/>
        <v>60</v>
      </c>
    </row>
    <row r="43" spans="1:25" ht="15.75" customHeight="1">
      <c r="A43" s="5" t="s">
        <v>182</v>
      </c>
      <c r="B43" s="6">
        <v>51</v>
      </c>
      <c r="C43" s="5" t="s">
        <v>47</v>
      </c>
      <c r="D43" s="15">
        <v>45227</v>
      </c>
      <c r="E43" s="6" t="str">
        <f t="shared" si="2"/>
        <v>Oct</v>
      </c>
      <c r="F43" s="7">
        <v>44937</v>
      </c>
      <c r="G43" s="6">
        <v>4</v>
      </c>
      <c r="H43" s="5" t="s">
        <v>58</v>
      </c>
      <c r="I43" s="6">
        <v>4</v>
      </c>
      <c r="J43" s="5" t="s">
        <v>89</v>
      </c>
      <c r="K43" s="6">
        <v>34290</v>
      </c>
      <c r="L43" s="5" t="s">
        <v>40</v>
      </c>
      <c r="M43" s="5" t="s">
        <v>66</v>
      </c>
      <c r="N43" s="5" t="s">
        <v>28</v>
      </c>
      <c r="O43" s="6" t="s">
        <v>183</v>
      </c>
      <c r="P43" s="6" t="s">
        <v>184</v>
      </c>
      <c r="Q43" s="5" t="s">
        <v>43</v>
      </c>
      <c r="R43" s="5" t="s">
        <v>32</v>
      </c>
      <c r="S43" s="5" t="s">
        <v>49</v>
      </c>
      <c r="T43" s="6">
        <v>5</v>
      </c>
      <c r="U43" s="6">
        <v>8</v>
      </c>
      <c r="V43" s="5" t="s">
        <v>34</v>
      </c>
      <c r="W43" s="8"/>
      <c r="Y43">
        <f t="shared" si="1"/>
        <v>62.5</v>
      </c>
    </row>
    <row r="44" spans="1:25" ht="15.75" customHeight="1">
      <c r="A44" s="5" t="s">
        <v>185</v>
      </c>
      <c r="B44" s="6">
        <v>7</v>
      </c>
      <c r="C44" s="5" t="s">
        <v>36</v>
      </c>
      <c r="D44" s="7">
        <v>45297</v>
      </c>
      <c r="E44" s="6" t="str">
        <f t="shared" si="2"/>
        <v>Jan</v>
      </c>
      <c r="F44" s="6" t="s">
        <v>153</v>
      </c>
      <c r="G44" s="6">
        <v>14</v>
      </c>
      <c r="H44" s="5" t="s">
        <v>73</v>
      </c>
      <c r="I44" s="6">
        <v>5</v>
      </c>
      <c r="J44" s="5" t="s">
        <v>97</v>
      </c>
      <c r="K44" s="6">
        <v>21016</v>
      </c>
      <c r="L44" s="5" t="s">
        <v>80</v>
      </c>
      <c r="M44" s="5" t="s">
        <v>66</v>
      </c>
      <c r="N44" s="5" t="s">
        <v>47</v>
      </c>
      <c r="O44" s="7">
        <v>45352</v>
      </c>
      <c r="P44" s="7">
        <v>45383.333333333336</v>
      </c>
      <c r="Q44" s="5" t="s">
        <v>86</v>
      </c>
      <c r="R44" s="5" t="s">
        <v>32</v>
      </c>
      <c r="S44" s="5" t="s">
        <v>33</v>
      </c>
      <c r="T44" s="6">
        <v>4</v>
      </c>
      <c r="U44" s="6">
        <v>12</v>
      </c>
      <c r="V44" s="5" t="s">
        <v>54</v>
      </c>
      <c r="W44" s="8"/>
      <c r="Y44">
        <f t="shared" si="1"/>
        <v>33.333333333333329</v>
      </c>
    </row>
    <row r="45" spans="1:25" ht="15.75" customHeight="1">
      <c r="A45" s="5" t="s">
        <v>186</v>
      </c>
      <c r="B45" s="6">
        <v>21</v>
      </c>
      <c r="C45" s="5" t="s">
        <v>36</v>
      </c>
      <c r="D45" s="15">
        <v>45123</v>
      </c>
      <c r="E45" s="6" t="str">
        <f t="shared" si="2"/>
        <v>Jul</v>
      </c>
      <c r="F45" s="6" t="s">
        <v>188</v>
      </c>
      <c r="G45" s="6">
        <v>6</v>
      </c>
      <c r="H45" s="5" t="s">
        <v>46</v>
      </c>
      <c r="I45" s="6">
        <v>4</v>
      </c>
      <c r="J45" s="5" t="s">
        <v>39</v>
      </c>
      <c r="K45" s="6">
        <v>37112</v>
      </c>
      <c r="L45" s="5" t="s">
        <v>90</v>
      </c>
      <c r="M45" s="5" t="s">
        <v>66</v>
      </c>
      <c r="N45" s="5" t="s">
        <v>28</v>
      </c>
      <c r="O45" s="6" t="s">
        <v>189</v>
      </c>
      <c r="P45" s="6" t="s">
        <v>190</v>
      </c>
      <c r="Q45" s="5" t="s">
        <v>48</v>
      </c>
      <c r="R45" s="5" t="s">
        <v>32</v>
      </c>
      <c r="S45" s="5" t="s">
        <v>33</v>
      </c>
      <c r="T45" s="6">
        <v>4</v>
      </c>
      <c r="U45" s="6">
        <v>8</v>
      </c>
      <c r="V45" s="5" t="s">
        <v>54</v>
      </c>
      <c r="W45" s="8"/>
      <c r="Y45">
        <f t="shared" si="1"/>
        <v>50</v>
      </c>
    </row>
    <row r="46" spans="1:25" ht="15.75" customHeight="1">
      <c r="A46" s="5" t="s">
        <v>191</v>
      </c>
      <c r="B46" s="6">
        <v>73</v>
      </c>
      <c r="C46" s="5" t="s">
        <v>82</v>
      </c>
      <c r="D46" s="15">
        <v>44998</v>
      </c>
      <c r="E46" s="6" t="str">
        <f t="shared" si="2"/>
        <v>Mar</v>
      </c>
      <c r="F46" s="6" t="s">
        <v>193</v>
      </c>
      <c r="G46" s="6">
        <v>2</v>
      </c>
      <c r="H46" s="5" t="s">
        <v>58</v>
      </c>
      <c r="I46" s="6">
        <v>1</v>
      </c>
      <c r="J46" s="5" t="s">
        <v>89</v>
      </c>
      <c r="K46" s="6">
        <v>33513</v>
      </c>
      <c r="L46" s="5" t="s">
        <v>80</v>
      </c>
      <c r="M46" s="5" t="s">
        <v>27</v>
      </c>
      <c r="N46" s="5" t="s">
        <v>47</v>
      </c>
      <c r="O46" s="7">
        <v>45141</v>
      </c>
      <c r="P46" s="7">
        <v>45141.958333333336</v>
      </c>
      <c r="Q46" s="5" t="s">
        <v>69</v>
      </c>
      <c r="R46" s="5" t="s">
        <v>44</v>
      </c>
      <c r="S46" s="5" t="s">
        <v>49</v>
      </c>
      <c r="T46" s="6">
        <v>8</v>
      </c>
      <c r="U46" s="6">
        <v>10</v>
      </c>
      <c r="V46" s="5" t="s">
        <v>54</v>
      </c>
      <c r="W46" s="8"/>
      <c r="Y46">
        <f t="shared" si="1"/>
        <v>80</v>
      </c>
    </row>
    <row r="47" spans="1:25" ht="15.75" customHeight="1">
      <c r="A47" s="5" t="s">
        <v>194</v>
      </c>
      <c r="B47" s="6">
        <v>39</v>
      </c>
      <c r="C47" s="5" t="s">
        <v>36</v>
      </c>
      <c r="D47" s="15">
        <v>45704</v>
      </c>
      <c r="E47" s="6" t="str">
        <f t="shared" si="2"/>
        <v>Feb</v>
      </c>
      <c r="F47" s="6" t="s">
        <v>196</v>
      </c>
      <c r="G47" s="6">
        <v>11</v>
      </c>
      <c r="H47" s="5" t="s">
        <v>58</v>
      </c>
      <c r="I47" s="6">
        <v>5</v>
      </c>
      <c r="J47" s="5" t="s">
        <v>25</v>
      </c>
      <c r="K47" s="6">
        <v>7956</v>
      </c>
      <c r="L47" s="5" t="s">
        <v>65</v>
      </c>
      <c r="M47" s="5" t="s">
        <v>66</v>
      </c>
      <c r="N47" s="5" t="s">
        <v>47</v>
      </c>
      <c r="O47" s="6" t="s">
        <v>197</v>
      </c>
      <c r="P47" s="6" t="s">
        <v>198</v>
      </c>
      <c r="Q47" s="5" t="s">
        <v>69</v>
      </c>
      <c r="R47" s="5" t="s">
        <v>32</v>
      </c>
      <c r="S47" s="5" t="s">
        <v>33</v>
      </c>
      <c r="T47" s="6">
        <v>9</v>
      </c>
      <c r="U47" s="6">
        <v>10</v>
      </c>
      <c r="V47" s="5" t="s">
        <v>54</v>
      </c>
      <c r="W47" s="8"/>
      <c r="Y47">
        <f t="shared" si="1"/>
        <v>90</v>
      </c>
    </row>
    <row r="48" spans="1:25" ht="15.75" customHeight="1">
      <c r="A48" s="5" t="s">
        <v>199</v>
      </c>
      <c r="B48" s="6">
        <v>18</v>
      </c>
      <c r="C48" s="5" t="s">
        <v>62</v>
      </c>
      <c r="D48" s="15">
        <v>45160</v>
      </c>
      <c r="E48" s="6" t="str">
        <f t="shared" si="2"/>
        <v>Aug</v>
      </c>
      <c r="F48" s="6" t="s">
        <v>201</v>
      </c>
      <c r="G48" s="6">
        <v>6</v>
      </c>
      <c r="H48" s="5" t="s">
        <v>24</v>
      </c>
      <c r="I48" s="6">
        <v>4</v>
      </c>
      <c r="J48" s="5" t="s">
        <v>89</v>
      </c>
      <c r="K48" s="6">
        <v>13077</v>
      </c>
      <c r="L48" s="5" t="s">
        <v>80</v>
      </c>
      <c r="M48" s="5" t="s">
        <v>66</v>
      </c>
      <c r="N48" s="5" t="s">
        <v>47</v>
      </c>
      <c r="O48" s="6" t="s">
        <v>200</v>
      </c>
      <c r="P48" s="6" t="s">
        <v>202</v>
      </c>
      <c r="Q48" s="5" t="s">
        <v>86</v>
      </c>
      <c r="R48" s="5" t="s">
        <v>32</v>
      </c>
      <c r="S48" s="5" t="s">
        <v>33</v>
      </c>
      <c r="T48" s="6">
        <v>8</v>
      </c>
      <c r="U48" s="6">
        <v>10</v>
      </c>
      <c r="V48" s="5" t="s">
        <v>54</v>
      </c>
      <c r="W48" s="8"/>
      <c r="Y48">
        <f t="shared" si="1"/>
        <v>80</v>
      </c>
    </row>
    <row r="49" spans="1:25" ht="15.75" customHeight="1">
      <c r="A49" s="5" t="s">
        <v>203</v>
      </c>
      <c r="B49" s="6">
        <v>4</v>
      </c>
      <c r="C49" s="5" t="s">
        <v>62</v>
      </c>
      <c r="D49" s="15">
        <v>45223</v>
      </c>
      <c r="E49" s="6" t="str">
        <f t="shared" si="2"/>
        <v>Oct</v>
      </c>
      <c r="F49" s="7">
        <v>44968</v>
      </c>
      <c r="G49" s="6">
        <v>9</v>
      </c>
      <c r="H49" s="5" t="s">
        <v>46</v>
      </c>
      <c r="I49" s="6">
        <v>4</v>
      </c>
      <c r="J49" s="5" t="s">
        <v>89</v>
      </c>
      <c r="K49" s="6">
        <v>41490</v>
      </c>
      <c r="L49" s="5" t="s">
        <v>40</v>
      </c>
      <c r="M49" s="5" t="s">
        <v>66</v>
      </c>
      <c r="N49" s="5" t="s">
        <v>28</v>
      </c>
      <c r="O49" s="6" t="s">
        <v>205</v>
      </c>
      <c r="P49" s="6" t="s">
        <v>206</v>
      </c>
      <c r="Q49" s="5" t="s">
        <v>48</v>
      </c>
      <c r="R49" s="5" t="s">
        <v>32</v>
      </c>
      <c r="S49" s="5" t="s">
        <v>53</v>
      </c>
      <c r="T49" s="6">
        <v>6</v>
      </c>
      <c r="U49" s="6">
        <v>8</v>
      </c>
      <c r="V49" s="5" t="s">
        <v>92</v>
      </c>
      <c r="W49" s="8"/>
      <c r="Y49">
        <f t="shared" si="1"/>
        <v>75</v>
      </c>
    </row>
    <row r="50" spans="1:25" ht="15.75" customHeight="1">
      <c r="A50" s="5" t="s">
        <v>207</v>
      </c>
      <c r="B50" s="6">
        <v>89</v>
      </c>
      <c r="C50" s="5" t="s">
        <v>82</v>
      </c>
      <c r="D50" s="15">
        <v>45008</v>
      </c>
      <c r="E50" s="6" t="str">
        <f t="shared" si="2"/>
        <v>Mar</v>
      </c>
      <c r="F50" s="7">
        <v>45111</v>
      </c>
      <c r="G50" s="6">
        <v>15</v>
      </c>
      <c r="H50" s="5" t="s">
        <v>73</v>
      </c>
      <c r="I50" s="6">
        <v>5</v>
      </c>
      <c r="J50" s="5" t="s">
        <v>52</v>
      </c>
      <c r="K50" s="6">
        <v>49827</v>
      </c>
      <c r="L50" s="5" t="s">
        <v>40</v>
      </c>
      <c r="M50" s="5" t="s">
        <v>66</v>
      </c>
      <c r="N50" s="5" t="s">
        <v>47</v>
      </c>
      <c r="O50" s="6" t="s">
        <v>180</v>
      </c>
      <c r="P50" s="6" t="s">
        <v>209</v>
      </c>
      <c r="Q50" s="5" t="s">
        <v>69</v>
      </c>
      <c r="R50" s="5" t="s">
        <v>32</v>
      </c>
      <c r="S50" s="5" t="s">
        <v>33</v>
      </c>
      <c r="T50" s="6">
        <v>6</v>
      </c>
      <c r="U50" s="6">
        <v>8</v>
      </c>
      <c r="V50" s="5" t="s">
        <v>92</v>
      </c>
      <c r="W50" s="8"/>
      <c r="Y50">
        <f t="shared" si="1"/>
        <v>75</v>
      </c>
    </row>
    <row r="51" spans="1:25" ht="15.75" customHeight="1">
      <c r="A51" s="5" t="s">
        <v>210</v>
      </c>
      <c r="B51" s="6">
        <v>60</v>
      </c>
      <c r="C51" s="5" t="s">
        <v>47</v>
      </c>
      <c r="D51" s="15">
        <v>45165</v>
      </c>
      <c r="E51" s="6" t="str">
        <f t="shared" si="2"/>
        <v>Aug</v>
      </c>
      <c r="F51" s="7">
        <v>45116</v>
      </c>
      <c r="G51" s="6">
        <v>11</v>
      </c>
      <c r="H51" s="5" t="s">
        <v>58</v>
      </c>
      <c r="I51" s="6">
        <v>1</v>
      </c>
      <c r="J51" s="5" t="s">
        <v>89</v>
      </c>
      <c r="K51" s="6">
        <v>42855</v>
      </c>
      <c r="L51" s="5" t="s">
        <v>80</v>
      </c>
      <c r="M51" s="5" t="s">
        <v>66</v>
      </c>
      <c r="N51" s="5" t="s">
        <v>28</v>
      </c>
      <c r="O51" s="6" t="s">
        <v>200</v>
      </c>
      <c r="P51" s="6" t="s">
        <v>211</v>
      </c>
      <c r="Q51" s="5" t="s">
        <v>69</v>
      </c>
      <c r="R51" s="5" t="s">
        <v>32</v>
      </c>
      <c r="S51" s="5" t="s">
        <v>33</v>
      </c>
      <c r="T51" s="6">
        <v>11</v>
      </c>
      <c r="U51" s="6">
        <v>8</v>
      </c>
      <c r="V51" s="5" t="s">
        <v>54</v>
      </c>
      <c r="W51" s="8"/>
      <c r="Y51">
        <f t="shared" si="1"/>
        <v>137.5</v>
      </c>
    </row>
    <row r="52" spans="1:25" ht="15.75" customHeight="1">
      <c r="A52" s="5" t="s">
        <v>212</v>
      </c>
      <c r="B52" s="6">
        <v>14</v>
      </c>
      <c r="C52" s="5" t="s">
        <v>51</v>
      </c>
      <c r="D52" s="15">
        <v>45030</v>
      </c>
      <c r="E52" s="6" t="str">
        <f t="shared" si="2"/>
        <v>Apr</v>
      </c>
      <c r="F52" s="6" t="s">
        <v>72</v>
      </c>
      <c r="G52" s="6">
        <v>6</v>
      </c>
      <c r="H52" s="5" t="s">
        <v>73</v>
      </c>
      <c r="I52" s="6">
        <v>4</v>
      </c>
      <c r="J52" s="5" t="s">
        <v>89</v>
      </c>
      <c r="K52" s="6">
        <v>48106</v>
      </c>
      <c r="L52" s="5" t="s">
        <v>40</v>
      </c>
      <c r="M52" s="5" t="s">
        <v>27</v>
      </c>
      <c r="N52" s="5" t="s">
        <v>28</v>
      </c>
      <c r="O52" s="7">
        <v>45264</v>
      </c>
      <c r="P52" s="6" t="s">
        <v>214</v>
      </c>
      <c r="Q52" s="5" t="s">
        <v>43</v>
      </c>
      <c r="R52" s="5" t="s">
        <v>32</v>
      </c>
      <c r="S52" s="5" t="s">
        <v>49</v>
      </c>
      <c r="T52" s="6">
        <v>4</v>
      </c>
      <c r="U52" s="6">
        <v>12</v>
      </c>
      <c r="V52" s="5" t="s">
        <v>92</v>
      </c>
      <c r="W52" s="8"/>
      <c r="Y52">
        <f t="shared" si="1"/>
        <v>33.333333333333329</v>
      </c>
    </row>
    <row r="53" spans="1:25" ht="15.75" customHeight="1">
      <c r="A53" s="5" t="s">
        <v>215</v>
      </c>
      <c r="B53" s="6">
        <v>9</v>
      </c>
      <c r="C53" s="5" t="s">
        <v>22</v>
      </c>
      <c r="D53" s="15">
        <v>45316</v>
      </c>
      <c r="E53" s="6" t="str">
        <f t="shared" si="2"/>
        <v>Jan</v>
      </c>
      <c r="F53" s="6" t="s">
        <v>216</v>
      </c>
      <c r="G53" s="6">
        <v>1</v>
      </c>
      <c r="H53" s="5" t="s">
        <v>83</v>
      </c>
      <c r="I53" s="6">
        <v>3</v>
      </c>
      <c r="J53" s="5" t="s">
        <v>97</v>
      </c>
      <c r="K53" s="6">
        <v>39938</v>
      </c>
      <c r="L53" s="5" t="s">
        <v>90</v>
      </c>
      <c r="M53" s="5" t="s">
        <v>27</v>
      </c>
      <c r="N53" s="5" t="s">
        <v>28</v>
      </c>
      <c r="O53" s="6" t="s">
        <v>153</v>
      </c>
      <c r="P53" s="6" t="s">
        <v>217</v>
      </c>
      <c r="Q53" s="5" t="s">
        <v>43</v>
      </c>
      <c r="R53" s="5" t="s">
        <v>32</v>
      </c>
      <c r="S53" s="5" t="s">
        <v>49</v>
      </c>
      <c r="T53" s="6">
        <v>10</v>
      </c>
      <c r="U53" s="6">
        <v>12</v>
      </c>
      <c r="V53" s="5" t="s">
        <v>34</v>
      </c>
      <c r="W53" s="8"/>
      <c r="Y53">
        <f t="shared" si="1"/>
        <v>83.333333333333343</v>
      </c>
    </row>
    <row r="54" spans="1:25" ht="15.75" customHeight="1">
      <c r="A54" s="5" t="s">
        <v>218</v>
      </c>
      <c r="B54" s="6">
        <v>53</v>
      </c>
      <c r="C54" s="5" t="s">
        <v>51</v>
      </c>
      <c r="D54" s="7">
        <v>45211</v>
      </c>
      <c r="E54" s="6" t="str">
        <f t="shared" si="2"/>
        <v>Oct</v>
      </c>
      <c r="F54" s="6" t="s">
        <v>205</v>
      </c>
      <c r="G54" s="6">
        <v>7</v>
      </c>
      <c r="H54" s="5" t="s">
        <v>73</v>
      </c>
      <c r="I54" s="6">
        <v>5</v>
      </c>
      <c r="J54" s="5" t="s">
        <v>25</v>
      </c>
      <c r="K54" s="6">
        <v>41159</v>
      </c>
      <c r="L54" s="5" t="s">
        <v>80</v>
      </c>
      <c r="M54" s="5" t="s">
        <v>66</v>
      </c>
      <c r="N54" s="5" t="s">
        <v>28</v>
      </c>
      <c r="O54" s="7">
        <v>45270</v>
      </c>
      <c r="P54" s="6" t="s">
        <v>219</v>
      </c>
      <c r="Q54" s="5" t="s">
        <v>31</v>
      </c>
      <c r="R54" s="5" t="s">
        <v>44</v>
      </c>
      <c r="S54" s="5" t="s">
        <v>53</v>
      </c>
      <c r="T54" s="6">
        <v>7</v>
      </c>
      <c r="U54" s="6">
        <v>12</v>
      </c>
      <c r="V54" s="5" t="s">
        <v>54</v>
      </c>
      <c r="W54" s="8"/>
      <c r="Y54">
        <f t="shared" si="1"/>
        <v>58.333333333333336</v>
      </c>
    </row>
    <row r="55" spans="1:25" ht="15.75" customHeight="1">
      <c r="A55" s="5" t="s">
        <v>220</v>
      </c>
      <c r="B55" s="6">
        <v>2</v>
      </c>
      <c r="C55" s="5" t="s">
        <v>36</v>
      </c>
      <c r="D55" s="7">
        <v>45391</v>
      </c>
      <c r="E55" s="6" t="str">
        <f t="shared" si="2"/>
        <v>Apr</v>
      </c>
      <c r="F55" s="6" t="s">
        <v>221</v>
      </c>
      <c r="G55" s="6">
        <v>5</v>
      </c>
      <c r="H55" s="5" t="s">
        <v>38</v>
      </c>
      <c r="I55" s="6">
        <v>2</v>
      </c>
      <c r="J55" s="5" t="s">
        <v>97</v>
      </c>
      <c r="K55" s="6">
        <v>44710</v>
      </c>
      <c r="L55" s="5" t="s">
        <v>90</v>
      </c>
      <c r="M55" s="5" t="s">
        <v>27</v>
      </c>
      <c r="N55" s="5" t="s">
        <v>28</v>
      </c>
      <c r="O55" s="7">
        <v>45416</v>
      </c>
      <c r="P55" s="7">
        <v>45416.25</v>
      </c>
      <c r="Q55" s="5" t="s">
        <v>86</v>
      </c>
      <c r="R55" s="5" t="s">
        <v>32</v>
      </c>
      <c r="S55" s="5" t="s">
        <v>49</v>
      </c>
      <c r="T55" s="6">
        <v>4</v>
      </c>
      <c r="U55" s="6">
        <v>10</v>
      </c>
      <c r="V55" s="5" t="s">
        <v>34</v>
      </c>
      <c r="W55" s="8"/>
      <c r="Y55">
        <f t="shared" si="1"/>
        <v>40</v>
      </c>
    </row>
    <row r="56" spans="1:25" ht="15.75" customHeight="1">
      <c r="A56" s="5" t="s">
        <v>222</v>
      </c>
      <c r="B56" s="6">
        <v>84</v>
      </c>
      <c r="C56" s="5" t="s">
        <v>22</v>
      </c>
      <c r="D56" s="7">
        <v>45300</v>
      </c>
      <c r="E56" s="6" t="str">
        <f t="shared" si="2"/>
        <v>Jan</v>
      </c>
      <c r="F56" s="6" t="s">
        <v>223</v>
      </c>
      <c r="G56" s="6">
        <v>4</v>
      </c>
      <c r="H56" s="5" t="s">
        <v>38</v>
      </c>
      <c r="I56" s="6">
        <v>2</v>
      </c>
      <c r="J56" s="5" t="s">
        <v>97</v>
      </c>
      <c r="K56" s="6">
        <v>23000</v>
      </c>
      <c r="L56" s="5" t="s">
        <v>90</v>
      </c>
      <c r="M56" s="5" t="s">
        <v>27</v>
      </c>
      <c r="N56" s="5" t="s">
        <v>47</v>
      </c>
      <c r="O56" s="7">
        <v>45413</v>
      </c>
      <c r="P56" s="7">
        <v>45444.666666666664</v>
      </c>
      <c r="Q56" s="5" t="s">
        <v>48</v>
      </c>
      <c r="R56" s="5" t="s">
        <v>32</v>
      </c>
      <c r="S56" s="5" t="s">
        <v>33</v>
      </c>
      <c r="T56" s="6">
        <v>4</v>
      </c>
      <c r="U56" s="6">
        <v>10</v>
      </c>
      <c r="V56" s="5" t="s">
        <v>34</v>
      </c>
      <c r="W56" s="8"/>
      <c r="Y56">
        <f t="shared" si="1"/>
        <v>40</v>
      </c>
    </row>
    <row r="57" spans="1:25" ht="15.75" customHeight="1">
      <c r="A57" s="5" t="s">
        <v>224</v>
      </c>
      <c r="B57" s="6">
        <v>60</v>
      </c>
      <c r="C57" s="5" t="s">
        <v>82</v>
      </c>
      <c r="D57" s="15">
        <v>37788</v>
      </c>
      <c r="E57" s="6" t="str">
        <f t="shared" si="2"/>
        <v>Jun</v>
      </c>
      <c r="F57" s="6" t="s">
        <v>226</v>
      </c>
      <c r="G57" s="6">
        <v>2</v>
      </c>
      <c r="H57" s="5" t="s">
        <v>73</v>
      </c>
      <c r="I57" s="6">
        <v>1</v>
      </c>
      <c r="J57" s="5" t="s">
        <v>39</v>
      </c>
      <c r="K57" s="6">
        <v>18806</v>
      </c>
      <c r="L57" s="5" t="s">
        <v>26</v>
      </c>
      <c r="M57" s="5" t="s">
        <v>66</v>
      </c>
      <c r="N57" s="5" t="s">
        <v>28</v>
      </c>
      <c r="O57" s="6" t="s">
        <v>227</v>
      </c>
      <c r="P57" s="6" t="s">
        <v>228</v>
      </c>
      <c r="Q57" s="5" t="s">
        <v>69</v>
      </c>
      <c r="R57" s="5" t="s">
        <v>32</v>
      </c>
      <c r="S57" s="5" t="s">
        <v>33</v>
      </c>
      <c r="T57" s="6">
        <v>10</v>
      </c>
      <c r="U57" s="6">
        <v>10</v>
      </c>
      <c r="V57" s="5" t="s">
        <v>54</v>
      </c>
      <c r="W57" s="8"/>
      <c r="Y57">
        <f t="shared" si="1"/>
        <v>100</v>
      </c>
    </row>
    <row r="58" spans="1:25" ht="15.75" customHeight="1">
      <c r="A58" s="5" t="s">
        <v>229</v>
      </c>
      <c r="B58" s="6">
        <v>71</v>
      </c>
      <c r="C58" s="5" t="s">
        <v>82</v>
      </c>
      <c r="D58" s="15">
        <v>38001</v>
      </c>
      <c r="E58" s="6" t="str">
        <f t="shared" si="2"/>
        <v>Jan</v>
      </c>
      <c r="F58" s="6" t="s">
        <v>231</v>
      </c>
      <c r="G58" s="6">
        <v>14</v>
      </c>
      <c r="H58" s="5" t="s">
        <v>38</v>
      </c>
      <c r="I58" s="6">
        <v>3</v>
      </c>
      <c r="J58" s="5" t="s">
        <v>97</v>
      </c>
      <c r="K58" s="6">
        <v>17809</v>
      </c>
      <c r="L58" s="5" t="s">
        <v>80</v>
      </c>
      <c r="M58" s="5" t="s">
        <v>27</v>
      </c>
      <c r="N58" s="5" t="s">
        <v>47</v>
      </c>
      <c r="O58" s="6" t="s">
        <v>223</v>
      </c>
      <c r="P58" s="6" t="s">
        <v>232</v>
      </c>
      <c r="Q58" s="5" t="s">
        <v>69</v>
      </c>
      <c r="R58" s="5" t="s">
        <v>32</v>
      </c>
      <c r="S58" s="5" t="s">
        <v>33</v>
      </c>
      <c r="T58" s="6">
        <v>11</v>
      </c>
      <c r="U58" s="6">
        <v>10</v>
      </c>
      <c r="V58" s="5" t="s">
        <v>34</v>
      </c>
      <c r="W58" s="8"/>
      <c r="Y58">
        <f t="shared" si="1"/>
        <v>110.00000000000001</v>
      </c>
    </row>
    <row r="59" spans="1:25" ht="15.75" customHeight="1">
      <c r="A59" s="5" t="s">
        <v>233</v>
      </c>
      <c r="B59" s="6">
        <v>44</v>
      </c>
      <c r="C59" s="5" t="s">
        <v>47</v>
      </c>
      <c r="D59" s="15">
        <v>45290</v>
      </c>
      <c r="E59" s="6" t="str">
        <f t="shared" si="2"/>
        <v>Dec</v>
      </c>
      <c r="F59" s="6" t="s">
        <v>223</v>
      </c>
      <c r="G59" s="6">
        <v>14</v>
      </c>
      <c r="H59" s="5" t="s">
        <v>83</v>
      </c>
      <c r="I59" s="6">
        <v>4</v>
      </c>
      <c r="J59" s="5" t="s">
        <v>52</v>
      </c>
      <c r="K59" s="6">
        <v>19855</v>
      </c>
      <c r="L59" s="5" t="s">
        <v>40</v>
      </c>
      <c r="M59" s="5" t="s">
        <v>27</v>
      </c>
      <c r="N59" s="5" t="s">
        <v>47</v>
      </c>
      <c r="O59" s="6" t="s">
        <v>235</v>
      </c>
      <c r="P59" s="6" t="s">
        <v>236</v>
      </c>
      <c r="Q59" s="5" t="s">
        <v>31</v>
      </c>
      <c r="R59" s="5" t="s">
        <v>32</v>
      </c>
      <c r="S59" s="5" t="s">
        <v>49</v>
      </c>
      <c r="T59" s="6">
        <v>11</v>
      </c>
      <c r="U59" s="6">
        <v>10</v>
      </c>
      <c r="V59" s="5" t="s">
        <v>34</v>
      </c>
      <c r="W59" s="8"/>
      <c r="Y59">
        <f t="shared" si="1"/>
        <v>110.00000000000001</v>
      </c>
    </row>
    <row r="60" spans="1:25" ht="15.75" customHeight="1">
      <c r="A60" s="5" t="s">
        <v>237</v>
      </c>
      <c r="B60" s="6">
        <v>8</v>
      </c>
      <c r="C60" s="5" t="s">
        <v>22</v>
      </c>
      <c r="D60" s="7">
        <v>45141</v>
      </c>
      <c r="E60" s="6" t="str">
        <f t="shared" si="2"/>
        <v>Aug</v>
      </c>
      <c r="F60" s="7">
        <v>45238</v>
      </c>
      <c r="G60" s="6">
        <v>8</v>
      </c>
      <c r="H60" s="5" t="s">
        <v>46</v>
      </c>
      <c r="I60" s="6">
        <v>2</v>
      </c>
      <c r="J60" s="5" t="s">
        <v>52</v>
      </c>
      <c r="K60" s="6">
        <v>46876</v>
      </c>
      <c r="L60" s="5" t="s">
        <v>90</v>
      </c>
      <c r="M60" s="5" t="s">
        <v>66</v>
      </c>
      <c r="N60" s="5" t="s">
        <v>28</v>
      </c>
      <c r="O60" s="6" t="s">
        <v>112</v>
      </c>
      <c r="P60" s="6" t="s">
        <v>238</v>
      </c>
      <c r="Q60" s="5" t="s">
        <v>69</v>
      </c>
      <c r="R60" s="5" t="s">
        <v>32</v>
      </c>
      <c r="S60" s="5" t="s">
        <v>33</v>
      </c>
      <c r="T60" s="6">
        <v>10</v>
      </c>
      <c r="U60" s="6">
        <v>8</v>
      </c>
      <c r="V60" s="5" t="s">
        <v>34</v>
      </c>
      <c r="W60" s="8"/>
      <c r="Y60">
        <f t="shared" si="1"/>
        <v>125</v>
      </c>
    </row>
    <row r="61" spans="1:25" ht="15.75" customHeight="1">
      <c r="A61" s="5" t="s">
        <v>239</v>
      </c>
      <c r="B61" s="6">
        <v>47</v>
      </c>
      <c r="C61" s="5" t="s">
        <v>62</v>
      </c>
      <c r="D61" s="7">
        <v>45200</v>
      </c>
      <c r="E61" s="6" t="str">
        <f t="shared" si="2"/>
        <v>Oct</v>
      </c>
      <c r="F61" s="7">
        <v>44995</v>
      </c>
      <c r="G61" s="6">
        <v>2</v>
      </c>
      <c r="H61" s="5" t="s">
        <v>38</v>
      </c>
      <c r="I61" s="6">
        <v>1</v>
      </c>
      <c r="J61" s="5" t="s">
        <v>39</v>
      </c>
      <c r="K61" s="6">
        <v>34388</v>
      </c>
      <c r="L61" s="5" t="s">
        <v>26</v>
      </c>
      <c r="M61" s="5" t="s">
        <v>66</v>
      </c>
      <c r="N61" s="5" t="s">
        <v>28</v>
      </c>
      <c r="O61" s="6" t="s">
        <v>164</v>
      </c>
      <c r="P61" s="6" t="s">
        <v>240</v>
      </c>
      <c r="Q61" s="5" t="s">
        <v>86</v>
      </c>
      <c r="R61" s="5" t="s">
        <v>32</v>
      </c>
      <c r="S61" s="5" t="s">
        <v>33</v>
      </c>
      <c r="T61" s="6">
        <v>6</v>
      </c>
      <c r="U61" s="6">
        <v>10</v>
      </c>
      <c r="V61" s="5" t="s">
        <v>54</v>
      </c>
      <c r="W61" s="8"/>
      <c r="Y61">
        <f t="shared" si="1"/>
        <v>60</v>
      </c>
    </row>
    <row r="62" spans="1:25" ht="15.75" customHeight="1">
      <c r="A62" s="5" t="s">
        <v>241</v>
      </c>
      <c r="B62" s="6">
        <v>35</v>
      </c>
      <c r="C62" s="5" t="s">
        <v>22</v>
      </c>
      <c r="D62" s="15">
        <v>45000</v>
      </c>
      <c r="E62" s="6" t="str">
        <f t="shared" si="2"/>
        <v>Mar</v>
      </c>
      <c r="F62" s="6" t="s">
        <v>242</v>
      </c>
      <c r="G62" s="6">
        <v>11</v>
      </c>
      <c r="H62" s="5" t="s">
        <v>38</v>
      </c>
      <c r="I62" s="6">
        <v>3</v>
      </c>
      <c r="J62" s="5" t="s">
        <v>25</v>
      </c>
      <c r="K62" s="6">
        <v>11458</v>
      </c>
      <c r="L62" s="5" t="s">
        <v>80</v>
      </c>
      <c r="M62" s="5" t="s">
        <v>27</v>
      </c>
      <c r="N62" s="5" t="s">
        <v>28</v>
      </c>
      <c r="O62" s="7">
        <v>45202</v>
      </c>
      <c r="P62" s="7">
        <v>45202.75</v>
      </c>
      <c r="Q62" s="5" t="s">
        <v>31</v>
      </c>
      <c r="R62" s="5" t="s">
        <v>32</v>
      </c>
      <c r="S62" s="5" t="s">
        <v>53</v>
      </c>
      <c r="T62" s="6">
        <v>10</v>
      </c>
      <c r="U62" s="6">
        <v>8</v>
      </c>
      <c r="V62" s="5" t="s">
        <v>54</v>
      </c>
      <c r="W62" s="8"/>
      <c r="Y62">
        <f t="shared" si="1"/>
        <v>125</v>
      </c>
    </row>
    <row r="63" spans="1:25" ht="15.75" customHeight="1">
      <c r="A63" s="5" t="s">
        <v>243</v>
      </c>
      <c r="B63" s="6">
        <v>78</v>
      </c>
      <c r="C63" s="5" t="s">
        <v>36</v>
      </c>
      <c r="D63" s="15">
        <v>45102</v>
      </c>
      <c r="E63" s="6" t="str">
        <f t="shared" si="2"/>
        <v>Jun</v>
      </c>
      <c r="F63" s="6" t="s">
        <v>245</v>
      </c>
      <c r="G63" s="6">
        <v>4</v>
      </c>
      <c r="H63" s="5" t="s">
        <v>73</v>
      </c>
      <c r="I63" s="6">
        <v>3</v>
      </c>
      <c r="J63" s="5" t="s">
        <v>25</v>
      </c>
      <c r="K63" s="6">
        <v>40524</v>
      </c>
      <c r="L63" s="5" t="s">
        <v>80</v>
      </c>
      <c r="M63" s="5" t="s">
        <v>66</v>
      </c>
      <c r="N63" s="5" t="s">
        <v>28</v>
      </c>
      <c r="O63" s="6" t="s">
        <v>246</v>
      </c>
      <c r="P63" s="6" t="s">
        <v>247</v>
      </c>
      <c r="Q63" s="5" t="s">
        <v>86</v>
      </c>
      <c r="R63" s="5" t="s">
        <v>32</v>
      </c>
      <c r="S63" s="5" t="s">
        <v>53</v>
      </c>
      <c r="T63" s="6">
        <v>8</v>
      </c>
      <c r="U63" s="6">
        <v>12</v>
      </c>
      <c r="V63" s="5" t="s">
        <v>34</v>
      </c>
      <c r="W63" s="8"/>
      <c r="Y63">
        <f t="shared" si="1"/>
        <v>66.666666666666657</v>
      </c>
    </row>
    <row r="64" spans="1:25" ht="15.75" customHeight="1">
      <c r="A64" s="5" t="s">
        <v>248</v>
      </c>
      <c r="B64" s="6">
        <v>81</v>
      </c>
      <c r="C64" s="5" t="s">
        <v>62</v>
      </c>
      <c r="D64" s="7">
        <v>45177</v>
      </c>
      <c r="E64" s="6" t="str">
        <f t="shared" si="2"/>
        <v>Sep</v>
      </c>
      <c r="F64" s="6" t="s">
        <v>249</v>
      </c>
      <c r="G64" s="6">
        <v>11</v>
      </c>
      <c r="H64" s="5" t="s">
        <v>83</v>
      </c>
      <c r="I64" s="6">
        <v>1</v>
      </c>
      <c r="J64" s="5" t="s">
        <v>97</v>
      </c>
      <c r="K64" s="6">
        <v>11853</v>
      </c>
      <c r="L64" s="5" t="s">
        <v>65</v>
      </c>
      <c r="M64" s="5" t="s">
        <v>66</v>
      </c>
      <c r="N64" s="5" t="s">
        <v>28</v>
      </c>
      <c r="O64" s="7">
        <v>45116</v>
      </c>
      <c r="P64" s="7">
        <v>45147.041666666664</v>
      </c>
      <c r="Q64" s="5" t="s">
        <v>31</v>
      </c>
      <c r="R64" s="5" t="s">
        <v>32</v>
      </c>
      <c r="S64" s="5" t="s">
        <v>53</v>
      </c>
      <c r="T64" s="6">
        <v>6</v>
      </c>
      <c r="U64" s="6">
        <v>12</v>
      </c>
      <c r="V64" s="5" t="s">
        <v>54</v>
      </c>
      <c r="W64" s="8"/>
      <c r="Y64">
        <f t="shared" si="1"/>
        <v>50</v>
      </c>
    </row>
    <row r="65" spans="1:25" ht="15.75" customHeight="1">
      <c r="A65" s="5" t="s">
        <v>250</v>
      </c>
      <c r="B65" s="6">
        <v>36</v>
      </c>
      <c r="C65" s="5" t="s">
        <v>82</v>
      </c>
      <c r="D65" s="15">
        <v>45094</v>
      </c>
      <c r="E65" s="6" t="str">
        <f t="shared" si="2"/>
        <v>Jun</v>
      </c>
      <c r="F65" s="6" t="s">
        <v>252</v>
      </c>
      <c r="G65" s="6">
        <v>11</v>
      </c>
      <c r="H65" s="5" t="s">
        <v>46</v>
      </c>
      <c r="I65" s="6">
        <v>1</v>
      </c>
      <c r="J65" s="5" t="s">
        <v>97</v>
      </c>
      <c r="K65" s="6">
        <v>45477</v>
      </c>
      <c r="L65" s="5" t="s">
        <v>65</v>
      </c>
      <c r="M65" s="5" t="s">
        <v>66</v>
      </c>
      <c r="N65" s="5" t="s">
        <v>47</v>
      </c>
      <c r="O65" s="6" t="s">
        <v>253</v>
      </c>
      <c r="P65" s="6" t="s">
        <v>254</v>
      </c>
      <c r="Q65" s="5" t="s">
        <v>69</v>
      </c>
      <c r="R65" s="5" t="s">
        <v>32</v>
      </c>
      <c r="S65" s="5" t="s">
        <v>49</v>
      </c>
      <c r="T65" s="6">
        <v>10</v>
      </c>
      <c r="U65" s="6">
        <v>12</v>
      </c>
      <c r="V65" s="5" t="s">
        <v>54</v>
      </c>
      <c r="W65" s="8"/>
      <c r="Y65">
        <f t="shared" si="1"/>
        <v>83.333333333333343</v>
      </c>
    </row>
    <row r="66" spans="1:25" ht="15.75" customHeight="1">
      <c r="A66" s="5" t="s">
        <v>255</v>
      </c>
      <c r="B66" s="6">
        <v>50</v>
      </c>
      <c r="C66" s="5" t="s">
        <v>22</v>
      </c>
      <c r="D66" s="15">
        <v>45400</v>
      </c>
      <c r="E66" s="6" t="str">
        <f t="shared" si="2"/>
        <v>Apr</v>
      </c>
      <c r="F66" s="6" t="s">
        <v>257</v>
      </c>
      <c r="G66" s="6">
        <v>10</v>
      </c>
      <c r="H66" s="5" t="s">
        <v>73</v>
      </c>
      <c r="I66" s="6">
        <v>4</v>
      </c>
      <c r="J66" s="5" t="s">
        <v>97</v>
      </c>
      <c r="K66" s="6">
        <v>37222</v>
      </c>
      <c r="L66" s="5" t="s">
        <v>90</v>
      </c>
      <c r="M66" s="5" t="s">
        <v>66</v>
      </c>
      <c r="N66" s="5" t="s">
        <v>47</v>
      </c>
      <c r="O66" s="6" t="s">
        <v>221</v>
      </c>
      <c r="P66" s="6" t="s">
        <v>258</v>
      </c>
      <c r="Q66" s="5" t="s">
        <v>31</v>
      </c>
      <c r="R66" s="5" t="s">
        <v>32</v>
      </c>
      <c r="S66" s="5" t="s">
        <v>33</v>
      </c>
      <c r="T66" s="6">
        <v>9</v>
      </c>
      <c r="U66" s="6">
        <v>12</v>
      </c>
      <c r="V66" s="5" t="s">
        <v>34</v>
      </c>
      <c r="W66" s="8"/>
      <c r="Y66">
        <f t="shared" si="1"/>
        <v>75</v>
      </c>
    </row>
    <row r="67" spans="1:25" ht="15.75" customHeight="1">
      <c r="A67" s="5" t="s">
        <v>259</v>
      </c>
      <c r="B67" s="6">
        <v>4</v>
      </c>
      <c r="C67" s="5" t="s">
        <v>51</v>
      </c>
      <c r="D67" s="15">
        <v>45315</v>
      </c>
      <c r="E67" s="6" t="str">
        <f t="shared" si="2"/>
        <v>Jan</v>
      </c>
      <c r="F67" s="6" t="s">
        <v>152</v>
      </c>
      <c r="G67" s="6">
        <v>1</v>
      </c>
      <c r="H67" s="5" t="s">
        <v>73</v>
      </c>
      <c r="I67" s="6">
        <v>1</v>
      </c>
      <c r="J67" s="5" t="s">
        <v>25</v>
      </c>
      <c r="K67" s="6">
        <v>23320</v>
      </c>
      <c r="L67" s="5" t="s">
        <v>65</v>
      </c>
      <c r="M67" s="5" t="s">
        <v>27</v>
      </c>
      <c r="N67" s="5" t="s">
        <v>47</v>
      </c>
      <c r="O67" s="6" t="s">
        <v>174</v>
      </c>
      <c r="P67" s="6" t="s">
        <v>261</v>
      </c>
      <c r="Q67" s="5" t="s">
        <v>43</v>
      </c>
      <c r="R67" s="5" t="s">
        <v>32</v>
      </c>
      <c r="S67" s="5" t="s">
        <v>33</v>
      </c>
      <c r="T67" s="6">
        <v>6</v>
      </c>
      <c r="U67" s="6">
        <v>12</v>
      </c>
      <c r="V67" s="5" t="s">
        <v>54</v>
      </c>
      <c r="W67" s="8"/>
      <c r="Y67">
        <f t="shared" ref="Y67:Y130" si="3">(T67/U67*100)</f>
        <v>50</v>
      </c>
    </row>
    <row r="68" spans="1:25" ht="15.75" customHeight="1">
      <c r="A68" s="5" t="s">
        <v>262</v>
      </c>
      <c r="B68" s="6">
        <v>2</v>
      </c>
      <c r="C68" s="5" t="s">
        <v>47</v>
      </c>
      <c r="D68" s="7">
        <v>45203</v>
      </c>
      <c r="E68" s="6" t="str">
        <f t="shared" si="2"/>
        <v>Oct</v>
      </c>
      <c r="F68" s="7">
        <v>45056</v>
      </c>
      <c r="G68" s="6">
        <v>1</v>
      </c>
      <c r="H68" s="5" t="s">
        <v>24</v>
      </c>
      <c r="I68" s="6">
        <v>4</v>
      </c>
      <c r="J68" s="5" t="s">
        <v>89</v>
      </c>
      <c r="K68" s="6">
        <v>33618</v>
      </c>
      <c r="L68" s="5" t="s">
        <v>90</v>
      </c>
      <c r="M68" s="5" t="s">
        <v>66</v>
      </c>
      <c r="N68" s="5" t="s">
        <v>47</v>
      </c>
      <c r="O68" s="7">
        <v>45026</v>
      </c>
      <c r="P68" s="7">
        <v>45087</v>
      </c>
      <c r="Q68" s="5" t="s">
        <v>48</v>
      </c>
      <c r="R68" s="5" t="s">
        <v>32</v>
      </c>
      <c r="S68" s="5" t="s">
        <v>33</v>
      </c>
      <c r="T68" s="6">
        <v>6</v>
      </c>
      <c r="U68" s="6">
        <v>10</v>
      </c>
      <c r="V68" s="5" t="s">
        <v>92</v>
      </c>
      <c r="W68" s="8"/>
      <c r="Y68">
        <f t="shared" si="3"/>
        <v>60</v>
      </c>
    </row>
    <row r="69" spans="1:25" ht="15.75" customHeight="1">
      <c r="A69" s="5" t="s">
        <v>263</v>
      </c>
      <c r="B69" s="6">
        <v>6</v>
      </c>
      <c r="C69" s="5" t="s">
        <v>51</v>
      </c>
      <c r="D69" s="15">
        <v>45151</v>
      </c>
      <c r="E69" s="6" t="str">
        <f t="shared" si="2"/>
        <v>Aug</v>
      </c>
      <c r="F69" s="6" t="s">
        <v>121</v>
      </c>
      <c r="G69" s="6">
        <v>13</v>
      </c>
      <c r="H69" s="5" t="s">
        <v>83</v>
      </c>
      <c r="I69" s="6">
        <v>4</v>
      </c>
      <c r="J69" s="5" t="s">
        <v>52</v>
      </c>
      <c r="K69" s="6">
        <v>22352</v>
      </c>
      <c r="L69" s="5" t="s">
        <v>40</v>
      </c>
      <c r="M69" s="5" t="s">
        <v>66</v>
      </c>
      <c r="N69" s="5" t="s">
        <v>28</v>
      </c>
      <c r="O69" s="7">
        <v>45268</v>
      </c>
      <c r="P69" s="6" t="s">
        <v>122</v>
      </c>
      <c r="Q69" s="5" t="s">
        <v>69</v>
      </c>
      <c r="R69" s="5" t="s">
        <v>32</v>
      </c>
      <c r="S69" s="5" t="s">
        <v>53</v>
      </c>
      <c r="T69" s="6">
        <v>4</v>
      </c>
      <c r="U69" s="6">
        <v>10</v>
      </c>
      <c r="V69" s="5" t="s">
        <v>54</v>
      </c>
      <c r="W69" s="8"/>
      <c r="Y69">
        <f t="shared" si="3"/>
        <v>40</v>
      </c>
    </row>
    <row r="70" spans="1:25" ht="15.75" customHeight="1">
      <c r="A70" s="5" t="s">
        <v>265</v>
      </c>
      <c r="B70" s="6">
        <v>54</v>
      </c>
      <c r="C70" s="5" t="s">
        <v>47</v>
      </c>
      <c r="D70" s="15">
        <v>45259</v>
      </c>
      <c r="E70" s="6" t="str">
        <f t="shared" si="2"/>
        <v>Nov</v>
      </c>
      <c r="F70" s="7">
        <v>45058</v>
      </c>
      <c r="G70" s="6">
        <v>6</v>
      </c>
      <c r="H70" s="5" t="s">
        <v>46</v>
      </c>
      <c r="I70" s="6">
        <v>5</v>
      </c>
      <c r="J70" s="5" t="s">
        <v>89</v>
      </c>
      <c r="K70" s="6">
        <v>12297</v>
      </c>
      <c r="L70" s="5" t="s">
        <v>90</v>
      </c>
      <c r="M70" s="5" t="s">
        <v>27</v>
      </c>
      <c r="N70" s="5" t="s">
        <v>28</v>
      </c>
      <c r="O70" s="6" t="s">
        <v>267</v>
      </c>
      <c r="P70" s="6" t="s">
        <v>268</v>
      </c>
      <c r="Q70" s="5" t="s">
        <v>48</v>
      </c>
      <c r="R70" s="5" t="s">
        <v>32</v>
      </c>
      <c r="S70" s="5" t="s">
        <v>33</v>
      </c>
      <c r="T70" s="6">
        <v>7</v>
      </c>
      <c r="U70" s="6">
        <v>10</v>
      </c>
      <c r="V70" s="5" t="s">
        <v>92</v>
      </c>
      <c r="W70" s="8"/>
      <c r="Y70">
        <f t="shared" si="3"/>
        <v>70</v>
      </c>
    </row>
    <row r="71" spans="1:25" ht="15.75" customHeight="1">
      <c r="A71" s="5" t="s">
        <v>269</v>
      </c>
      <c r="B71" s="6">
        <v>4</v>
      </c>
      <c r="C71" s="5" t="s">
        <v>36</v>
      </c>
      <c r="D71" s="15">
        <v>44984</v>
      </c>
      <c r="E71" s="6" t="str">
        <f t="shared" si="2"/>
        <v>Feb</v>
      </c>
      <c r="F71" s="7">
        <v>44988</v>
      </c>
      <c r="G71" s="6">
        <v>4</v>
      </c>
      <c r="H71" s="5" t="s">
        <v>83</v>
      </c>
      <c r="I71" s="6">
        <v>3</v>
      </c>
      <c r="J71" s="5" t="s">
        <v>89</v>
      </c>
      <c r="K71" s="6">
        <v>32940</v>
      </c>
      <c r="L71" s="5" t="s">
        <v>65</v>
      </c>
      <c r="M71" s="5" t="s">
        <v>66</v>
      </c>
      <c r="N71" s="5" t="s">
        <v>47</v>
      </c>
      <c r="O71" s="6" t="s">
        <v>168</v>
      </c>
      <c r="P71" s="6" t="s">
        <v>196</v>
      </c>
      <c r="Q71" s="5" t="s">
        <v>69</v>
      </c>
      <c r="R71" s="5" t="s">
        <v>32</v>
      </c>
      <c r="S71" s="5" t="s">
        <v>33</v>
      </c>
      <c r="T71" s="6">
        <v>4</v>
      </c>
      <c r="U71" s="6">
        <v>12</v>
      </c>
      <c r="V71" s="5" t="s">
        <v>34</v>
      </c>
      <c r="W71" s="8"/>
      <c r="Y71">
        <f t="shared" si="3"/>
        <v>33.333333333333329</v>
      </c>
    </row>
    <row r="72" spans="1:25" ht="15.75" customHeight="1">
      <c r="A72" s="5" t="s">
        <v>270</v>
      </c>
      <c r="B72" s="6">
        <v>54</v>
      </c>
      <c r="C72" s="5" t="s">
        <v>51</v>
      </c>
      <c r="D72" s="15">
        <v>45161</v>
      </c>
      <c r="E72" s="6" t="str">
        <f t="shared" ref="E72:E78" si="4">TEXT(D72,"MMM")</f>
        <v>Aug</v>
      </c>
      <c r="F72" s="6" t="s">
        <v>121</v>
      </c>
      <c r="G72" s="6">
        <v>3</v>
      </c>
      <c r="H72" s="5" t="s">
        <v>46</v>
      </c>
      <c r="I72" s="6">
        <v>3</v>
      </c>
      <c r="J72" s="5" t="s">
        <v>25</v>
      </c>
      <c r="K72" s="6">
        <v>8203</v>
      </c>
      <c r="L72" s="5" t="s">
        <v>40</v>
      </c>
      <c r="M72" s="5" t="s">
        <v>66</v>
      </c>
      <c r="N72" s="5" t="s">
        <v>28</v>
      </c>
      <c r="O72" s="6" t="s">
        <v>271</v>
      </c>
      <c r="P72" s="6" t="s">
        <v>272</v>
      </c>
      <c r="Q72" s="5" t="s">
        <v>48</v>
      </c>
      <c r="R72" s="5" t="s">
        <v>32</v>
      </c>
      <c r="S72" s="5" t="s">
        <v>33</v>
      </c>
      <c r="T72" s="6">
        <v>5</v>
      </c>
      <c r="U72" s="6">
        <v>12</v>
      </c>
      <c r="V72" s="5" t="s">
        <v>54</v>
      </c>
      <c r="W72" s="8"/>
      <c r="Y72">
        <f t="shared" si="3"/>
        <v>41.666666666666671</v>
      </c>
    </row>
    <row r="73" spans="1:25" ht="15.75" customHeight="1">
      <c r="A73" s="5" t="s">
        <v>273</v>
      </c>
      <c r="B73" s="6">
        <v>63</v>
      </c>
      <c r="C73" s="5" t="s">
        <v>22</v>
      </c>
      <c r="D73" s="7">
        <v>44959</v>
      </c>
      <c r="E73" s="6" t="str">
        <f t="shared" si="4"/>
        <v>Feb</v>
      </c>
      <c r="F73" s="6" t="s">
        <v>274</v>
      </c>
      <c r="G73" s="6">
        <v>13</v>
      </c>
      <c r="H73" s="5" t="s">
        <v>83</v>
      </c>
      <c r="I73" s="6">
        <v>3</v>
      </c>
      <c r="J73" s="5" t="s">
        <v>89</v>
      </c>
      <c r="K73" s="6">
        <v>44267</v>
      </c>
      <c r="L73" s="5" t="s">
        <v>65</v>
      </c>
      <c r="M73" s="5" t="s">
        <v>66</v>
      </c>
      <c r="N73" s="5" t="s">
        <v>28</v>
      </c>
      <c r="O73" s="7">
        <v>44959</v>
      </c>
      <c r="P73" s="7">
        <v>44959.25</v>
      </c>
      <c r="Q73" s="5" t="s">
        <v>43</v>
      </c>
      <c r="R73" s="5" t="s">
        <v>32</v>
      </c>
      <c r="S73" s="5" t="s">
        <v>33</v>
      </c>
      <c r="T73" s="6">
        <v>6</v>
      </c>
      <c r="U73" s="6">
        <v>8</v>
      </c>
      <c r="V73" s="5" t="s">
        <v>34</v>
      </c>
      <c r="W73" s="8"/>
      <c r="Y73">
        <f t="shared" si="3"/>
        <v>75</v>
      </c>
    </row>
    <row r="74" spans="1:25" ht="15.75" customHeight="1">
      <c r="A74" s="5" t="s">
        <v>275</v>
      </c>
      <c r="B74" s="6">
        <v>18</v>
      </c>
      <c r="C74" s="5" t="s">
        <v>22</v>
      </c>
      <c r="D74" s="15">
        <v>45250</v>
      </c>
      <c r="E74" s="6" t="str">
        <f t="shared" si="4"/>
        <v>Nov</v>
      </c>
      <c r="F74" s="6" t="s">
        <v>277</v>
      </c>
      <c r="G74" s="6">
        <v>10</v>
      </c>
      <c r="H74" s="5" t="s">
        <v>73</v>
      </c>
      <c r="I74" s="6">
        <v>5</v>
      </c>
      <c r="J74" s="5" t="s">
        <v>39</v>
      </c>
      <c r="K74" s="6">
        <v>42941</v>
      </c>
      <c r="L74" s="5" t="s">
        <v>90</v>
      </c>
      <c r="M74" s="5" t="s">
        <v>27</v>
      </c>
      <c r="N74" s="5" t="s">
        <v>47</v>
      </c>
      <c r="O74" s="6" t="s">
        <v>278</v>
      </c>
      <c r="P74" s="6" t="s">
        <v>279</v>
      </c>
      <c r="Q74" s="5" t="s">
        <v>48</v>
      </c>
      <c r="R74" s="5" t="s">
        <v>32</v>
      </c>
      <c r="S74" s="5" t="s">
        <v>33</v>
      </c>
      <c r="T74" s="6">
        <v>10</v>
      </c>
      <c r="U74" s="6">
        <v>10</v>
      </c>
      <c r="V74" s="5" t="s">
        <v>34</v>
      </c>
      <c r="W74" s="8"/>
      <c r="Y74">
        <f t="shared" si="3"/>
        <v>100</v>
      </c>
    </row>
    <row r="75" spans="1:25" ht="15.75" customHeight="1">
      <c r="A75" s="5" t="s">
        <v>280</v>
      </c>
      <c r="B75" s="6">
        <v>44</v>
      </c>
      <c r="C75" s="5" t="s">
        <v>51</v>
      </c>
      <c r="D75" s="15">
        <v>45337</v>
      </c>
      <c r="E75" s="6" t="str">
        <f t="shared" si="4"/>
        <v>Feb</v>
      </c>
      <c r="F75" s="6" t="s">
        <v>282</v>
      </c>
      <c r="G75" s="6">
        <v>4</v>
      </c>
      <c r="H75" s="5" t="s">
        <v>73</v>
      </c>
      <c r="I75" s="6">
        <v>4</v>
      </c>
      <c r="J75" s="5" t="s">
        <v>97</v>
      </c>
      <c r="K75" s="6">
        <v>22273</v>
      </c>
      <c r="L75" s="5" t="s">
        <v>26</v>
      </c>
      <c r="M75" s="5" t="s">
        <v>66</v>
      </c>
      <c r="N75" s="5" t="s">
        <v>47</v>
      </c>
      <c r="O75" s="7">
        <v>45598</v>
      </c>
      <c r="P75" s="7">
        <v>45598.833333333336</v>
      </c>
      <c r="Q75" s="5" t="s">
        <v>31</v>
      </c>
      <c r="R75" s="5" t="s">
        <v>32</v>
      </c>
      <c r="S75" s="5" t="s">
        <v>49</v>
      </c>
      <c r="T75" s="6">
        <v>10</v>
      </c>
      <c r="U75" s="6">
        <v>12</v>
      </c>
      <c r="V75" s="5" t="s">
        <v>34</v>
      </c>
      <c r="W75" s="8"/>
      <c r="Y75">
        <f t="shared" si="3"/>
        <v>83.333333333333343</v>
      </c>
    </row>
    <row r="76" spans="1:25" ht="15.75" customHeight="1">
      <c r="A76" s="5" t="s">
        <v>283</v>
      </c>
      <c r="B76" s="6">
        <v>34</v>
      </c>
      <c r="C76" s="5" t="s">
        <v>22</v>
      </c>
      <c r="D76" s="7">
        <v>45201</v>
      </c>
      <c r="E76" s="6" t="str">
        <f t="shared" si="4"/>
        <v>Oct</v>
      </c>
      <c r="F76" s="7">
        <v>45026</v>
      </c>
      <c r="G76" s="6">
        <v>2</v>
      </c>
      <c r="H76" s="5" t="s">
        <v>58</v>
      </c>
      <c r="I76" s="6">
        <v>4</v>
      </c>
      <c r="J76" s="5" t="s">
        <v>39</v>
      </c>
      <c r="K76" s="6">
        <v>30368</v>
      </c>
      <c r="L76" s="5" t="s">
        <v>80</v>
      </c>
      <c r="M76" s="5" t="s">
        <v>66</v>
      </c>
      <c r="N76" s="5" t="s">
        <v>47</v>
      </c>
      <c r="O76" s="6" t="s">
        <v>162</v>
      </c>
      <c r="P76" s="6" t="s">
        <v>284</v>
      </c>
      <c r="Q76" s="5" t="s">
        <v>48</v>
      </c>
      <c r="R76" s="5" t="s">
        <v>32</v>
      </c>
      <c r="S76" s="5" t="s">
        <v>33</v>
      </c>
      <c r="T76" s="6">
        <v>10</v>
      </c>
      <c r="U76" s="6">
        <v>12</v>
      </c>
      <c r="V76" s="5" t="s">
        <v>34</v>
      </c>
      <c r="W76" s="8"/>
      <c r="Y76">
        <f t="shared" si="3"/>
        <v>83.333333333333343</v>
      </c>
    </row>
    <row r="77" spans="1:25" ht="15.75" customHeight="1">
      <c r="A77" s="5" t="s">
        <v>285</v>
      </c>
      <c r="B77" s="6">
        <v>74</v>
      </c>
      <c r="C77" s="5" t="s">
        <v>36</v>
      </c>
      <c r="D77" s="7">
        <v>44994</v>
      </c>
      <c r="E77" s="6" t="str">
        <f t="shared" si="4"/>
        <v>Mar</v>
      </c>
      <c r="F77" s="6" t="s">
        <v>208</v>
      </c>
      <c r="G77" s="6">
        <v>14</v>
      </c>
      <c r="H77" s="5" t="s">
        <v>38</v>
      </c>
      <c r="I77" s="6">
        <v>1</v>
      </c>
      <c r="J77" s="5" t="s">
        <v>52</v>
      </c>
      <c r="K77" s="6">
        <v>16650</v>
      </c>
      <c r="L77" s="5" t="s">
        <v>65</v>
      </c>
      <c r="M77" s="5" t="s">
        <v>66</v>
      </c>
      <c r="N77" s="5" t="s">
        <v>47</v>
      </c>
      <c r="O77" s="7">
        <v>45110</v>
      </c>
      <c r="P77" s="7">
        <v>45141</v>
      </c>
      <c r="Q77" s="5" t="s">
        <v>69</v>
      </c>
      <c r="R77" s="5" t="s">
        <v>32</v>
      </c>
      <c r="S77" s="5" t="s">
        <v>49</v>
      </c>
      <c r="T77" s="6">
        <v>6</v>
      </c>
      <c r="U77" s="6">
        <v>12</v>
      </c>
      <c r="V77" s="5" t="s">
        <v>34</v>
      </c>
      <c r="W77" s="8"/>
      <c r="Y77">
        <f t="shared" si="3"/>
        <v>50</v>
      </c>
    </row>
    <row r="78" spans="1:25" ht="15.75" customHeight="1">
      <c r="A78" s="5" t="s">
        <v>286</v>
      </c>
      <c r="B78" s="6">
        <v>62</v>
      </c>
      <c r="C78" s="5" t="s">
        <v>62</v>
      </c>
      <c r="D78" s="7">
        <v>45143</v>
      </c>
      <c r="E78" s="6" t="str">
        <f t="shared" si="4"/>
        <v>Aug</v>
      </c>
      <c r="F78" s="6" t="s">
        <v>57</v>
      </c>
      <c r="G78" s="6">
        <v>13</v>
      </c>
      <c r="H78" s="5" t="s">
        <v>24</v>
      </c>
      <c r="I78" s="6">
        <v>5</v>
      </c>
      <c r="J78" s="5" t="s">
        <v>97</v>
      </c>
      <c r="K78" s="6">
        <v>35984</v>
      </c>
      <c r="L78" s="5" t="s">
        <v>90</v>
      </c>
      <c r="M78" s="5" t="s">
        <v>66</v>
      </c>
      <c r="N78" s="5" t="s">
        <v>47</v>
      </c>
      <c r="O78" s="7">
        <v>44965</v>
      </c>
      <c r="P78" s="7">
        <v>44965.75</v>
      </c>
      <c r="Q78" s="5" t="s">
        <v>86</v>
      </c>
      <c r="R78" s="5" t="s">
        <v>32</v>
      </c>
      <c r="S78" s="5" t="s">
        <v>33</v>
      </c>
      <c r="T78" s="6">
        <v>10</v>
      </c>
      <c r="U78" s="6">
        <v>8</v>
      </c>
      <c r="V78" s="5" t="s">
        <v>54</v>
      </c>
      <c r="W78" s="8"/>
      <c r="Y78">
        <f t="shared" si="3"/>
        <v>125</v>
      </c>
    </row>
    <row r="79" spans="1:25" ht="15.75" customHeight="1">
      <c r="A79" s="5" t="s">
        <v>287</v>
      </c>
      <c r="B79" s="6">
        <v>14</v>
      </c>
      <c r="C79" s="5" t="s">
        <v>36</v>
      </c>
      <c r="D79" s="6" t="s">
        <v>288</v>
      </c>
      <c r="E79" s="6"/>
      <c r="F79" s="6" t="s">
        <v>267</v>
      </c>
      <c r="G79" s="6">
        <v>9</v>
      </c>
      <c r="H79" s="5" t="s">
        <v>83</v>
      </c>
      <c r="I79" s="6">
        <v>1</v>
      </c>
      <c r="J79" s="5" t="s">
        <v>89</v>
      </c>
      <c r="K79" s="6">
        <v>46941</v>
      </c>
      <c r="L79" s="5" t="s">
        <v>40</v>
      </c>
      <c r="M79" s="5" t="s">
        <v>66</v>
      </c>
      <c r="N79" s="5" t="s">
        <v>28</v>
      </c>
      <c r="O79" s="6" t="s">
        <v>289</v>
      </c>
      <c r="P79" s="6" t="s">
        <v>290</v>
      </c>
      <c r="Q79" s="5" t="s">
        <v>48</v>
      </c>
      <c r="R79" s="5" t="s">
        <v>32</v>
      </c>
      <c r="S79" s="5" t="s">
        <v>49</v>
      </c>
      <c r="T79" s="6">
        <v>5</v>
      </c>
      <c r="U79" s="6">
        <v>12</v>
      </c>
      <c r="V79" s="5" t="s">
        <v>92</v>
      </c>
      <c r="W79" s="8"/>
      <c r="Y79">
        <f t="shared" si="3"/>
        <v>41.666666666666671</v>
      </c>
    </row>
    <row r="80" spans="1:25" ht="15.75" customHeight="1">
      <c r="A80" s="5" t="s">
        <v>291</v>
      </c>
      <c r="B80" s="6">
        <v>48</v>
      </c>
      <c r="C80" s="5" t="s">
        <v>47</v>
      </c>
      <c r="D80" s="7">
        <v>45085</v>
      </c>
      <c r="E80" s="7"/>
      <c r="F80" s="7">
        <v>45207</v>
      </c>
      <c r="G80" s="6">
        <v>4</v>
      </c>
      <c r="H80" s="5" t="s">
        <v>24</v>
      </c>
      <c r="I80" s="6">
        <v>5</v>
      </c>
      <c r="J80" s="5" t="s">
        <v>52</v>
      </c>
      <c r="K80" s="6">
        <v>12382</v>
      </c>
      <c r="L80" s="5" t="s">
        <v>65</v>
      </c>
      <c r="M80" s="5" t="s">
        <v>66</v>
      </c>
      <c r="N80" s="5" t="s">
        <v>47</v>
      </c>
      <c r="O80" s="7">
        <v>45054</v>
      </c>
      <c r="P80" s="7">
        <v>45054.375</v>
      </c>
      <c r="Q80" s="5" t="s">
        <v>48</v>
      </c>
      <c r="R80" s="5" t="s">
        <v>32</v>
      </c>
      <c r="S80" s="5" t="s">
        <v>33</v>
      </c>
      <c r="T80" s="6">
        <v>6</v>
      </c>
      <c r="U80" s="6">
        <v>8</v>
      </c>
      <c r="V80" s="5" t="s">
        <v>54</v>
      </c>
      <c r="W80" s="8"/>
      <c r="Y80">
        <f t="shared" si="3"/>
        <v>75</v>
      </c>
    </row>
    <row r="81" spans="1:25" ht="15.75" customHeight="1">
      <c r="A81" s="5" t="s">
        <v>292</v>
      </c>
      <c r="B81" s="6">
        <v>15</v>
      </c>
      <c r="C81" s="5" t="s">
        <v>36</v>
      </c>
      <c r="D81" s="6" t="s">
        <v>293</v>
      </c>
      <c r="E81" s="6"/>
      <c r="F81" s="7">
        <v>45418</v>
      </c>
      <c r="G81" s="6">
        <v>10</v>
      </c>
      <c r="H81" s="5" t="s">
        <v>58</v>
      </c>
      <c r="I81" s="6">
        <v>1</v>
      </c>
      <c r="J81" s="5" t="s">
        <v>97</v>
      </c>
      <c r="K81" s="6">
        <v>5801</v>
      </c>
      <c r="L81" s="5" t="s">
        <v>65</v>
      </c>
      <c r="M81" s="5" t="s">
        <v>27</v>
      </c>
      <c r="N81" s="5" t="s">
        <v>28</v>
      </c>
      <c r="O81" s="6" t="s">
        <v>294</v>
      </c>
      <c r="P81" s="6" t="s">
        <v>295</v>
      </c>
      <c r="Q81" s="5" t="s">
        <v>48</v>
      </c>
      <c r="R81" s="5" t="s">
        <v>32</v>
      </c>
      <c r="S81" s="5" t="s">
        <v>33</v>
      </c>
      <c r="T81" s="6">
        <v>10</v>
      </c>
      <c r="U81" s="6">
        <v>8</v>
      </c>
      <c r="V81" s="5" t="s">
        <v>54</v>
      </c>
      <c r="W81" s="8"/>
      <c r="Y81">
        <f t="shared" si="3"/>
        <v>125</v>
      </c>
    </row>
    <row r="82" spans="1:25" ht="15.75" customHeight="1">
      <c r="A82" s="5" t="s">
        <v>296</v>
      </c>
      <c r="B82" s="6">
        <v>72</v>
      </c>
      <c r="C82" s="5" t="s">
        <v>47</v>
      </c>
      <c r="D82" s="7">
        <v>45567</v>
      </c>
      <c r="E82" s="7"/>
      <c r="F82" s="6" t="s">
        <v>297</v>
      </c>
      <c r="G82" s="6">
        <v>4</v>
      </c>
      <c r="H82" s="5" t="s">
        <v>38</v>
      </c>
      <c r="I82" s="6">
        <v>2</v>
      </c>
      <c r="J82" s="5" t="s">
        <v>89</v>
      </c>
      <c r="K82" s="6">
        <v>46002</v>
      </c>
      <c r="L82" s="5" t="s">
        <v>80</v>
      </c>
      <c r="M82" s="5" t="s">
        <v>66</v>
      </c>
      <c r="N82" s="5" t="s">
        <v>28</v>
      </c>
      <c r="O82" s="7">
        <v>45567</v>
      </c>
      <c r="P82" s="7">
        <v>45567.5</v>
      </c>
      <c r="Q82" s="5" t="s">
        <v>69</v>
      </c>
      <c r="R82" s="5" t="s">
        <v>32</v>
      </c>
      <c r="S82" s="5" t="s">
        <v>33</v>
      </c>
      <c r="T82" s="6">
        <v>6</v>
      </c>
      <c r="U82" s="6">
        <v>10</v>
      </c>
      <c r="V82" s="5" t="s">
        <v>54</v>
      </c>
      <c r="W82" s="8"/>
      <c r="Y82">
        <f t="shared" si="3"/>
        <v>60</v>
      </c>
    </row>
    <row r="83" spans="1:25" ht="15.75" customHeight="1">
      <c r="A83" s="5" t="s">
        <v>298</v>
      </c>
      <c r="B83" s="6">
        <v>78</v>
      </c>
      <c r="C83" s="5" t="s">
        <v>22</v>
      </c>
      <c r="D83" s="6" t="s">
        <v>221</v>
      </c>
      <c r="E83" s="6"/>
      <c r="F83" s="6" t="s">
        <v>257</v>
      </c>
      <c r="G83" s="6">
        <v>14</v>
      </c>
      <c r="H83" s="5" t="s">
        <v>83</v>
      </c>
      <c r="I83" s="6">
        <v>3</v>
      </c>
      <c r="J83" s="5" t="s">
        <v>39</v>
      </c>
      <c r="K83" s="6">
        <v>24733</v>
      </c>
      <c r="L83" s="5" t="s">
        <v>90</v>
      </c>
      <c r="M83" s="5" t="s">
        <v>27</v>
      </c>
      <c r="N83" s="5" t="s">
        <v>28</v>
      </c>
      <c r="O83" s="6" t="s">
        <v>221</v>
      </c>
      <c r="P83" s="6" t="s">
        <v>299</v>
      </c>
      <c r="Q83" s="5" t="s">
        <v>48</v>
      </c>
      <c r="R83" s="5" t="s">
        <v>32</v>
      </c>
      <c r="S83" s="5" t="s">
        <v>33</v>
      </c>
      <c r="T83" s="6">
        <v>9</v>
      </c>
      <c r="U83" s="6">
        <v>12</v>
      </c>
      <c r="V83" s="5" t="s">
        <v>54</v>
      </c>
      <c r="W83" s="8"/>
      <c r="Y83">
        <f t="shared" si="3"/>
        <v>75</v>
      </c>
    </row>
    <row r="84" spans="1:25" ht="15.75" customHeight="1">
      <c r="A84" s="5" t="s">
        <v>300</v>
      </c>
      <c r="B84" s="6">
        <v>87</v>
      </c>
      <c r="C84" s="5" t="s">
        <v>62</v>
      </c>
      <c r="D84" s="6" t="s">
        <v>301</v>
      </c>
      <c r="E84" s="6"/>
      <c r="F84" s="7">
        <v>45205</v>
      </c>
      <c r="G84" s="6">
        <v>14</v>
      </c>
      <c r="H84" s="5" t="s">
        <v>46</v>
      </c>
      <c r="I84" s="6">
        <v>3</v>
      </c>
      <c r="J84" s="5" t="s">
        <v>97</v>
      </c>
      <c r="K84" s="6">
        <v>14969</v>
      </c>
      <c r="L84" s="5" t="s">
        <v>26</v>
      </c>
      <c r="M84" s="5" t="s">
        <v>66</v>
      </c>
      <c r="N84" s="5" t="s">
        <v>28</v>
      </c>
      <c r="O84" s="6" t="s">
        <v>302</v>
      </c>
      <c r="P84" s="6" t="s">
        <v>303</v>
      </c>
      <c r="Q84" s="5" t="s">
        <v>69</v>
      </c>
      <c r="R84" s="5" t="s">
        <v>32</v>
      </c>
      <c r="S84" s="5" t="s">
        <v>53</v>
      </c>
      <c r="T84" s="6">
        <v>6</v>
      </c>
      <c r="U84" s="6">
        <v>8</v>
      </c>
      <c r="V84" s="5" t="s">
        <v>92</v>
      </c>
      <c r="W84" s="8"/>
      <c r="Y84">
        <f t="shared" si="3"/>
        <v>75</v>
      </c>
    </row>
    <row r="85" spans="1:25" ht="15.75" customHeight="1">
      <c r="A85" s="5" t="s">
        <v>304</v>
      </c>
      <c r="B85" s="6">
        <v>62</v>
      </c>
      <c r="C85" s="5" t="s">
        <v>22</v>
      </c>
      <c r="D85" s="6" t="s">
        <v>163</v>
      </c>
      <c r="E85" s="6"/>
      <c r="F85" s="7">
        <v>44995</v>
      </c>
      <c r="G85" s="6">
        <v>4</v>
      </c>
      <c r="H85" s="5" t="s">
        <v>38</v>
      </c>
      <c r="I85" s="6">
        <v>4</v>
      </c>
      <c r="J85" s="5" t="s">
        <v>89</v>
      </c>
      <c r="K85" s="6">
        <v>40969</v>
      </c>
      <c r="L85" s="5" t="s">
        <v>40</v>
      </c>
      <c r="M85" s="5" t="s">
        <v>27</v>
      </c>
      <c r="N85" s="5" t="s">
        <v>47</v>
      </c>
      <c r="O85" s="6" t="s">
        <v>164</v>
      </c>
      <c r="P85" s="6" t="s">
        <v>305</v>
      </c>
      <c r="Q85" s="5" t="s">
        <v>69</v>
      </c>
      <c r="R85" s="5" t="s">
        <v>32</v>
      </c>
      <c r="S85" s="5" t="s">
        <v>33</v>
      </c>
      <c r="T85" s="6">
        <v>5</v>
      </c>
      <c r="U85" s="6">
        <v>12</v>
      </c>
      <c r="V85" s="5" t="s">
        <v>54</v>
      </c>
      <c r="W85" s="8"/>
      <c r="Y85">
        <f t="shared" si="3"/>
        <v>41.666666666666671</v>
      </c>
    </row>
    <row r="86" spans="1:25" ht="15.75" customHeight="1">
      <c r="A86" s="5" t="s">
        <v>306</v>
      </c>
      <c r="B86" s="6">
        <v>40</v>
      </c>
      <c r="C86" s="5" t="s">
        <v>82</v>
      </c>
      <c r="D86" s="6" t="s">
        <v>63</v>
      </c>
      <c r="E86" s="6"/>
      <c r="F86" s="6" t="s">
        <v>307</v>
      </c>
      <c r="G86" s="6">
        <v>6</v>
      </c>
      <c r="H86" s="5" t="s">
        <v>73</v>
      </c>
      <c r="I86" s="6">
        <v>2</v>
      </c>
      <c r="J86" s="5" t="s">
        <v>39</v>
      </c>
      <c r="K86" s="6">
        <v>21733</v>
      </c>
      <c r="L86" s="5" t="s">
        <v>90</v>
      </c>
      <c r="M86" s="5" t="s">
        <v>66</v>
      </c>
      <c r="N86" s="5" t="s">
        <v>28</v>
      </c>
      <c r="O86" s="6" t="s">
        <v>67</v>
      </c>
      <c r="P86" s="6" t="s">
        <v>308</v>
      </c>
      <c r="Q86" s="5" t="s">
        <v>86</v>
      </c>
      <c r="R86" s="5" t="s">
        <v>32</v>
      </c>
      <c r="S86" s="5" t="s">
        <v>49</v>
      </c>
      <c r="T86" s="6">
        <v>4</v>
      </c>
      <c r="U86" s="6">
        <v>10</v>
      </c>
      <c r="V86" s="5" t="s">
        <v>34</v>
      </c>
      <c r="W86" s="8"/>
      <c r="Y86">
        <f t="shared" si="3"/>
        <v>40</v>
      </c>
    </row>
    <row r="87" spans="1:25" ht="15.75" customHeight="1">
      <c r="A87" s="5" t="s">
        <v>309</v>
      </c>
      <c r="B87" s="6">
        <v>85</v>
      </c>
      <c r="C87" s="5" t="s">
        <v>22</v>
      </c>
      <c r="D87" s="7">
        <v>45208</v>
      </c>
      <c r="E87" s="7"/>
      <c r="F87" s="6" t="s">
        <v>310</v>
      </c>
      <c r="G87" s="6">
        <v>13</v>
      </c>
      <c r="H87" s="5" t="s">
        <v>58</v>
      </c>
      <c r="I87" s="6">
        <v>3</v>
      </c>
      <c r="J87" s="5" t="s">
        <v>52</v>
      </c>
      <c r="K87" s="6">
        <v>37449</v>
      </c>
      <c r="L87" s="5" t="s">
        <v>40</v>
      </c>
      <c r="M87" s="5" t="s">
        <v>27</v>
      </c>
      <c r="N87" s="5" t="s">
        <v>28</v>
      </c>
      <c r="O87" s="7">
        <v>45055</v>
      </c>
      <c r="P87" s="7">
        <v>45086.375</v>
      </c>
      <c r="Q87" s="5" t="s">
        <v>31</v>
      </c>
      <c r="R87" s="5" t="s">
        <v>32</v>
      </c>
      <c r="S87" s="5" t="s">
        <v>53</v>
      </c>
      <c r="T87" s="6">
        <v>6</v>
      </c>
      <c r="U87" s="6">
        <v>10</v>
      </c>
      <c r="V87" s="5" t="s">
        <v>54</v>
      </c>
      <c r="W87" s="8"/>
      <c r="Y87">
        <f t="shared" si="3"/>
        <v>60</v>
      </c>
    </row>
    <row r="88" spans="1:25" ht="15.75" customHeight="1">
      <c r="A88" s="5" t="s">
        <v>311</v>
      </c>
      <c r="B88" s="6">
        <v>80</v>
      </c>
      <c r="C88" s="5" t="s">
        <v>47</v>
      </c>
      <c r="D88" s="6" t="s">
        <v>312</v>
      </c>
      <c r="E88" s="6"/>
      <c r="F88" s="6" t="s">
        <v>313</v>
      </c>
      <c r="G88" s="6">
        <v>3</v>
      </c>
      <c r="H88" s="5" t="s">
        <v>38</v>
      </c>
      <c r="I88" s="6">
        <v>4</v>
      </c>
      <c r="J88" s="5" t="s">
        <v>52</v>
      </c>
      <c r="K88" s="6">
        <v>31143</v>
      </c>
      <c r="L88" s="5" t="s">
        <v>65</v>
      </c>
      <c r="M88" s="5" t="s">
        <v>66</v>
      </c>
      <c r="N88" s="5" t="s">
        <v>47</v>
      </c>
      <c r="O88" s="6" t="s">
        <v>314</v>
      </c>
      <c r="P88" s="6" t="s">
        <v>315</v>
      </c>
      <c r="Q88" s="5" t="s">
        <v>69</v>
      </c>
      <c r="R88" s="5" t="s">
        <v>32</v>
      </c>
      <c r="S88" s="5" t="s">
        <v>53</v>
      </c>
      <c r="T88" s="6">
        <v>7</v>
      </c>
      <c r="U88" s="6">
        <v>8</v>
      </c>
      <c r="V88" s="5" t="s">
        <v>54</v>
      </c>
      <c r="W88" s="8"/>
      <c r="Y88">
        <f t="shared" si="3"/>
        <v>87.5</v>
      </c>
    </row>
    <row r="89" spans="1:25" ht="15.75" customHeight="1">
      <c r="A89" s="5" t="s">
        <v>316</v>
      </c>
      <c r="B89" s="6">
        <v>82</v>
      </c>
      <c r="C89" s="5" t="s">
        <v>22</v>
      </c>
      <c r="D89" s="6" t="s">
        <v>317</v>
      </c>
      <c r="E89" s="6"/>
      <c r="F89" s="6" t="s">
        <v>318</v>
      </c>
      <c r="G89" s="6">
        <v>13</v>
      </c>
      <c r="H89" s="5" t="s">
        <v>38</v>
      </c>
      <c r="I89" s="6">
        <v>2</v>
      </c>
      <c r="J89" s="5" t="s">
        <v>52</v>
      </c>
      <c r="K89" s="6">
        <v>30705</v>
      </c>
      <c r="L89" s="5" t="s">
        <v>80</v>
      </c>
      <c r="M89" s="5" t="s">
        <v>66</v>
      </c>
      <c r="N89" s="5" t="s">
        <v>47</v>
      </c>
      <c r="O89" s="7">
        <v>45568</v>
      </c>
      <c r="P89" s="7">
        <v>45568.291666666664</v>
      </c>
      <c r="Q89" s="5" t="s">
        <v>43</v>
      </c>
      <c r="R89" s="5" t="s">
        <v>32</v>
      </c>
      <c r="S89" s="5" t="s">
        <v>33</v>
      </c>
      <c r="T89" s="6">
        <v>5</v>
      </c>
      <c r="U89" s="6">
        <v>10</v>
      </c>
      <c r="V89" s="5" t="s">
        <v>92</v>
      </c>
      <c r="W89" s="8"/>
      <c r="Y89">
        <f t="shared" si="3"/>
        <v>50</v>
      </c>
    </row>
    <row r="90" spans="1:25" ht="15.75" customHeight="1">
      <c r="A90" s="5" t="s">
        <v>319</v>
      </c>
      <c r="B90" s="6">
        <v>53</v>
      </c>
      <c r="C90" s="5" t="s">
        <v>22</v>
      </c>
      <c r="D90" s="6" t="s">
        <v>320</v>
      </c>
      <c r="E90" s="6"/>
      <c r="F90" s="6" t="s">
        <v>321</v>
      </c>
      <c r="G90" s="6">
        <v>15</v>
      </c>
      <c r="H90" s="5" t="s">
        <v>73</v>
      </c>
      <c r="I90" s="6">
        <v>3</v>
      </c>
      <c r="J90" s="5" t="s">
        <v>52</v>
      </c>
      <c r="K90" s="6">
        <v>33363</v>
      </c>
      <c r="L90" s="5" t="s">
        <v>80</v>
      </c>
      <c r="M90" s="5" t="s">
        <v>66</v>
      </c>
      <c r="N90" s="5" t="s">
        <v>28</v>
      </c>
      <c r="O90" s="7">
        <v>45567</v>
      </c>
      <c r="P90" s="7">
        <v>45567.083333333336</v>
      </c>
      <c r="Q90" s="5" t="s">
        <v>48</v>
      </c>
      <c r="R90" s="5" t="s">
        <v>32</v>
      </c>
      <c r="S90" s="5" t="s">
        <v>49</v>
      </c>
      <c r="T90" s="6">
        <v>8</v>
      </c>
      <c r="U90" s="6">
        <v>10</v>
      </c>
      <c r="V90" s="5" t="s">
        <v>92</v>
      </c>
      <c r="W90" s="8"/>
      <c r="Y90">
        <f t="shared" si="3"/>
        <v>80</v>
      </c>
    </row>
    <row r="91" spans="1:25" ht="15.75" customHeight="1">
      <c r="A91" s="5" t="s">
        <v>322</v>
      </c>
      <c r="B91" s="6">
        <v>24</v>
      </c>
      <c r="C91" s="5" t="s">
        <v>62</v>
      </c>
      <c r="D91" s="7">
        <v>45444</v>
      </c>
      <c r="E91" s="7"/>
      <c r="F91" s="6" t="s">
        <v>323</v>
      </c>
      <c r="G91" s="6">
        <v>10</v>
      </c>
      <c r="H91" s="5" t="s">
        <v>83</v>
      </c>
      <c r="I91" s="6">
        <v>1</v>
      </c>
      <c r="J91" s="5" t="s">
        <v>25</v>
      </c>
      <c r="K91" s="6">
        <v>35720</v>
      </c>
      <c r="L91" s="5" t="s">
        <v>26</v>
      </c>
      <c r="M91" s="5" t="s">
        <v>27</v>
      </c>
      <c r="N91" s="5" t="s">
        <v>28</v>
      </c>
      <c r="O91" s="7">
        <v>45352</v>
      </c>
      <c r="P91" s="7">
        <v>45352.25</v>
      </c>
      <c r="Q91" s="5" t="s">
        <v>43</v>
      </c>
      <c r="R91" s="5" t="s">
        <v>32</v>
      </c>
      <c r="S91" s="5" t="s">
        <v>49</v>
      </c>
      <c r="T91" s="6">
        <v>9</v>
      </c>
      <c r="U91" s="6">
        <v>10</v>
      </c>
      <c r="V91" s="5" t="s">
        <v>34</v>
      </c>
      <c r="W91" s="8"/>
      <c r="Y91">
        <f t="shared" si="3"/>
        <v>90</v>
      </c>
    </row>
    <row r="92" spans="1:25" ht="15.75" customHeight="1">
      <c r="A92" s="5" t="s">
        <v>324</v>
      </c>
      <c r="B92" s="6">
        <v>26</v>
      </c>
      <c r="C92" s="5" t="s">
        <v>22</v>
      </c>
      <c r="D92" s="6" t="s">
        <v>264</v>
      </c>
      <c r="E92" s="6"/>
      <c r="F92" s="6" t="s">
        <v>120</v>
      </c>
      <c r="G92" s="6">
        <v>1</v>
      </c>
      <c r="H92" s="5" t="s">
        <v>46</v>
      </c>
      <c r="I92" s="6">
        <v>5</v>
      </c>
      <c r="J92" s="5" t="s">
        <v>97</v>
      </c>
      <c r="K92" s="6">
        <v>14972</v>
      </c>
      <c r="L92" s="5" t="s">
        <v>80</v>
      </c>
      <c r="M92" s="5" t="s">
        <v>66</v>
      </c>
      <c r="N92" s="5" t="s">
        <v>28</v>
      </c>
      <c r="O92" s="7">
        <v>45177</v>
      </c>
      <c r="P92" s="7">
        <v>45177.958333333336</v>
      </c>
      <c r="Q92" s="5" t="s">
        <v>48</v>
      </c>
      <c r="R92" s="5" t="s">
        <v>32</v>
      </c>
      <c r="S92" s="5" t="s">
        <v>53</v>
      </c>
      <c r="T92" s="6">
        <v>5</v>
      </c>
      <c r="U92" s="6">
        <v>12</v>
      </c>
      <c r="V92" s="5" t="s">
        <v>54</v>
      </c>
      <c r="W92" s="8"/>
      <c r="Y92">
        <f t="shared" si="3"/>
        <v>41.666666666666671</v>
      </c>
    </row>
    <row r="93" spans="1:25" ht="15.75" customHeight="1">
      <c r="A93" s="5" t="s">
        <v>325</v>
      </c>
      <c r="B93" s="6">
        <v>89</v>
      </c>
      <c r="C93" s="5" t="s">
        <v>62</v>
      </c>
      <c r="D93" s="6" t="s">
        <v>326</v>
      </c>
      <c r="E93" s="6"/>
      <c r="F93" s="6" t="s">
        <v>301</v>
      </c>
      <c r="G93" s="6">
        <v>5</v>
      </c>
      <c r="H93" s="5" t="s">
        <v>73</v>
      </c>
      <c r="I93" s="6">
        <v>2</v>
      </c>
      <c r="J93" s="5" t="s">
        <v>97</v>
      </c>
      <c r="K93" s="6">
        <v>38351</v>
      </c>
      <c r="L93" s="5" t="s">
        <v>65</v>
      </c>
      <c r="M93" s="5" t="s">
        <v>66</v>
      </c>
      <c r="N93" s="5" t="s">
        <v>28</v>
      </c>
      <c r="O93" s="6" t="s">
        <v>326</v>
      </c>
      <c r="P93" s="6" t="s">
        <v>327</v>
      </c>
      <c r="Q93" s="5" t="s">
        <v>86</v>
      </c>
      <c r="R93" s="5" t="s">
        <v>32</v>
      </c>
      <c r="S93" s="5" t="s">
        <v>49</v>
      </c>
      <c r="T93" s="6">
        <v>4</v>
      </c>
      <c r="U93" s="6">
        <v>12</v>
      </c>
      <c r="V93" s="5" t="s">
        <v>54</v>
      </c>
      <c r="W93" s="8"/>
      <c r="Y93">
        <f t="shared" si="3"/>
        <v>33.333333333333329</v>
      </c>
    </row>
    <row r="94" spans="1:25" ht="15.75" customHeight="1">
      <c r="A94" s="5" t="s">
        <v>328</v>
      </c>
      <c r="B94" s="6">
        <v>60</v>
      </c>
      <c r="C94" s="5" t="s">
        <v>51</v>
      </c>
      <c r="D94" s="7">
        <v>45418</v>
      </c>
      <c r="E94" s="7"/>
      <c r="F94" s="6" t="s">
        <v>329</v>
      </c>
      <c r="G94" s="6">
        <v>14</v>
      </c>
      <c r="H94" s="5" t="s">
        <v>46</v>
      </c>
      <c r="I94" s="6">
        <v>4</v>
      </c>
      <c r="J94" s="5" t="s">
        <v>25</v>
      </c>
      <c r="K94" s="6">
        <v>41145</v>
      </c>
      <c r="L94" s="5" t="s">
        <v>26</v>
      </c>
      <c r="M94" s="5" t="s">
        <v>27</v>
      </c>
      <c r="N94" s="5" t="s">
        <v>28</v>
      </c>
      <c r="O94" s="7">
        <v>45388</v>
      </c>
      <c r="P94" s="7">
        <v>45388.25</v>
      </c>
      <c r="Q94" s="5" t="s">
        <v>69</v>
      </c>
      <c r="R94" s="5" t="s">
        <v>32</v>
      </c>
      <c r="S94" s="5" t="s">
        <v>33</v>
      </c>
      <c r="T94" s="6">
        <v>10</v>
      </c>
      <c r="U94" s="6">
        <v>8</v>
      </c>
      <c r="V94" s="5" t="s">
        <v>54</v>
      </c>
      <c r="W94" s="8"/>
      <c r="Y94">
        <f t="shared" si="3"/>
        <v>125</v>
      </c>
    </row>
    <row r="95" spans="1:25" ht="15.75" customHeight="1">
      <c r="A95" s="5" t="s">
        <v>330</v>
      </c>
      <c r="B95" s="6">
        <v>41</v>
      </c>
      <c r="C95" s="5" t="s">
        <v>82</v>
      </c>
      <c r="D95" s="6" t="s">
        <v>331</v>
      </c>
      <c r="E95" s="6"/>
      <c r="F95" s="6" t="s">
        <v>332</v>
      </c>
      <c r="G95" s="6">
        <v>3</v>
      </c>
      <c r="H95" s="5" t="s">
        <v>83</v>
      </c>
      <c r="I95" s="6">
        <v>2</v>
      </c>
      <c r="J95" s="5" t="s">
        <v>89</v>
      </c>
      <c r="K95" s="6">
        <v>27412</v>
      </c>
      <c r="L95" s="5" t="s">
        <v>90</v>
      </c>
      <c r="M95" s="5" t="s">
        <v>66</v>
      </c>
      <c r="N95" s="5" t="s">
        <v>47</v>
      </c>
      <c r="O95" s="6" t="s">
        <v>333</v>
      </c>
      <c r="P95" s="6" t="s">
        <v>334</v>
      </c>
      <c r="Q95" s="5" t="s">
        <v>31</v>
      </c>
      <c r="R95" s="5" t="s">
        <v>44</v>
      </c>
      <c r="S95" s="5" t="s">
        <v>33</v>
      </c>
      <c r="T95" s="6">
        <v>10</v>
      </c>
      <c r="U95" s="6">
        <v>8</v>
      </c>
      <c r="V95" s="5" t="s">
        <v>34</v>
      </c>
      <c r="W95" s="8"/>
      <c r="Y95">
        <f t="shared" si="3"/>
        <v>125</v>
      </c>
    </row>
    <row r="96" spans="1:25" ht="15.75" customHeight="1">
      <c r="A96" s="5" t="s">
        <v>335</v>
      </c>
      <c r="B96" s="6">
        <v>29</v>
      </c>
      <c r="C96" s="5" t="s">
        <v>62</v>
      </c>
      <c r="D96" s="7">
        <v>45020</v>
      </c>
      <c r="E96" s="7"/>
      <c r="F96" s="7">
        <v>45111</v>
      </c>
      <c r="G96" s="6">
        <v>3</v>
      </c>
      <c r="H96" s="5" t="s">
        <v>38</v>
      </c>
      <c r="I96" s="6">
        <v>4</v>
      </c>
      <c r="J96" s="5" t="s">
        <v>89</v>
      </c>
      <c r="K96" s="6">
        <v>29078</v>
      </c>
      <c r="L96" s="5" t="s">
        <v>80</v>
      </c>
      <c r="M96" s="5" t="s">
        <v>27</v>
      </c>
      <c r="N96" s="5" t="s">
        <v>28</v>
      </c>
      <c r="O96" s="6" t="s">
        <v>179</v>
      </c>
      <c r="P96" s="6" t="s">
        <v>336</v>
      </c>
      <c r="Q96" s="5" t="s">
        <v>69</v>
      </c>
      <c r="R96" s="5" t="s">
        <v>32</v>
      </c>
      <c r="S96" s="5" t="s">
        <v>33</v>
      </c>
      <c r="T96" s="6">
        <v>5</v>
      </c>
      <c r="U96" s="6">
        <v>10</v>
      </c>
      <c r="V96" s="5" t="s">
        <v>92</v>
      </c>
      <c r="W96" s="8"/>
      <c r="Y96">
        <f t="shared" si="3"/>
        <v>50</v>
      </c>
    </row>
    <row r="97" spans="1:25" ht="15.75" customHeight="1">
      <c r="A97" s="5" t="s">
        <v>337</v>
      </c>
      <c r="B97" s="6">
        <v>15</v>
      </c>
      <c r="C97" s="5" t="s">
        <v>47</v>
      </c>
      <c r="D97" s="6" t="s">
        <v>338</v>
      </c>
      <c r="E97" s="6"/>
      <c r="F97" s="6" t="s">
        <v>196</v>
      </c>
      <c r="G97" s="6">
        <v>9</v>
      </c>
      <c r="H97" s="5" t="s">
        <v>46</v>
      </c>
      <c r="I97" s="6">
        <v>2</v>
      </c>
      <c r="J97" s="5" t="s">
        <v>52</v>
      </c>
      <c r="K97" s="6">
        <v>27580</v>
      </c>
      <c r="L97" s="5" t="s">
        <v>26</v>
      </c>
      <c r="M97" s="5" t="s">
        <v>27</v>
      </c>
      <c r="N97" s="5" t="s">
        <v>47</v>
      </c>
      <c r="O97" s="6" t="s">
        <v>338</v>
      </c>
      <c r="P97" s="6" t="s">
        <v>339</v>
      </c>
      <c r="Q97" s="5" t="s">
        <v>48</v>
      </c>
      <c r="R97" s="5" t="s">
        <v>32</v>
      </c>
      <c r="S97" s="5" t="s">
        <v>33</v>
      </c>
      <c r="T97" s="6">
        <v>8</v>
      </c>
      <c r="U97" s="6">
        <v>10</v>
      </c>
      <c r="V97" s="5" t="s">
        <v>34</v>
      </c>
      <c r="W97" s="8"/>
      <c r="Y97">
        <f t="shared" si="3"/>
        <v>80</v>
      </c>
    </row>
    <row r="98" spans="1:25" ht="15.75" customHeight="1">
      <c r="A98" s="5" t="s">
        <v>340</v>
      </c>
      <c r="B98" s="6">
        <v>45</v>
      </c>
      <c r="C98" s="5" t="s">
        <v>51</v>
      </c>
      <c r="D98" s="6" t="s">
        <v>341</v>
      </c>
      <c r="E98" s="6"/>
      <c r="F98" s="6" t="s">
        <v>342</v>
      </c>
      <c r="G98" s="6">
        <v>5</v>
      </c>
      <c r="H98" s="5" t="s">
        <v>58</v>
      </c>
      <c r="I98" s="6">
        <v>4</v>
      </c>
      <c r="J98" s="5" t="s">
        <v>39</v>
      </c>
      <c r="K98" s="6">
        <v>19855</v>
      </c>
      <c r="L98" s="5" t="s">
        <v>65</v>
      </c>
      <c r="M98" s="5" t="s">
        <v>27</v>
      </c>
      <c r="N98" s="5" t="s">
        <v>47</v>
      </c>
      <c r="O98" s="6" t="s">
        <v>72</v>
      </c>
      <c r="P98" s="6" t="s">
        <v>343</v>
      </c>
      <c r="Q98" s="5" t="s">
        <v>31</v>
      </c>
      <c r="R98" s="5" t="s">
        <v>32</v>
      </c>
      <c r="S98" s="5" t="s">
        <v>33</v>
      </c>
      <c r="T98" s="6">
        <v>10</v>
      </c>
      <c r="U98" s="6">
        <v>8</v>
      </c>
      <c r="V98" s="5" t="s">
        <v>54</v>
      </c>
      <c r="W98" s="8"/>
      <c r="Y98">
        <f t="shared" si="3"/>
        <v>125</v>
      </c>
    </row>
    <row r="99" spans="1:25" ht="15.75" customHeight="1">
      <c r="A99" s="5" t="s">
        <v>344</v>
      </c>
      <c r="B99" s="6">
        <v>65</v>
      </c>
      <c r="C99" s="5" t="s">
        <v>62</v>
      </c>
      <c r="D99" s="7">
        <v>45083</v>
      </c>
      <c r="E99" s="7"/>
      <c r="F99" s="6" t="s">
        <v>345</v>
      </c>
      <c r="G99" s="6">
        <v>13</v>
      </c>
      <c r="H99" s="5" t="s">
        <v>58</v>
      </c>
      <c r="I99" s="6">
        <v>3</v>
      </c>
      <c r="J99" s="5" t="s">
        <v>89</v>
      </c>
      <c r="K99" s="6">
        <v>41169</v>
      </c>
      <c r="L99" s="5" t="s">
        <v>40</v>
      </c>
      <c r="M99" s="5" t="s">
        <v>66</v>
      </c>
      <c r="N99" s="5" t="s">
        <v>28</v>
      </c>
      <c r="O99" s="7">
        <v>44991</v>
      </c>
      <c r="P99" s="7">
        <v>44991.041666666664</v>
      </c>
      <c r="Q99" s="5" t="s">
        <v>69</v>
      </c>
      <c r="R99" s="5" t="s">
        <v>44</v>
      </c>
      <c r="S99" s="5" t="s">
        <v>53</v>
      </c>
      <c r="T99" s="6">
        <v>9</v>
      </c>
      <c r="U99" s="6">
        <v>10</v>
      </c>
      <c r="V99" s="5" t="s">
        <v>92</v>
      </c>
      <c r="W99" s="8"/>
      <c r="Y99">
        <f t="shared" si="3"/>
        <v>90</v>
      </c>
    </row>
    <row r="100" spans="1:25" ht="15.75" customHeight="1">
      <c r="A100" s="5" t="s">
        <v>346</v>
      </c>
      <c r="B100" s="6">
        <v>89</v>
      </c>
      <c r="C100" s="5" t="s">
        <v>62</v>
      </c>
      <c r="D100" s="6" t="s">
        <v>130</v>
      </c>
      <c r="E100" s="6"/>
      <c r="F100" s="6" t="s">
        <v>225</v>
      </c>
      <c r="G100" s="6">
        <v>3</v>
      </c>
      <c r="H100" s="5" t="s">
        <v>73</v>
      </c>
      <c r="I100" s="6">
        <v>1</v>
      </c>
      <c r="J100" s="5" t="s">
        <v>39</v>
      </c>
      <c r="K100" s="6">
        <v>24569</v>
      </c>
      <c r="L100" s="5" t="s">
        <v>40</v>
      </c>
      <c r="M100" s="5" t="s">
        <v>66</v>
      </c>
      <c r="N100" s="5" t="s">
        <v>28</v>
      </c>
      <c r="O100" s="7">
        <v>45144</v>
      </c>
      <c r="P100" s="7">
        <v>45144.791666666664</v>
      </c>
      <c r="Q100" s="5" t="s">
        <v>31</v>
      </c>
      <c r="R100" s="5" t="s">
        <v>44</v>
      </c>
      <c r="S100" s="5" t="s">
        <v>33</v>
      </c>
      <c r="T100" s="6">
        <v>7</v>
      </c>
      <c r="U100" s="6">
        <v>8</v>
      </c>
      <c r="V100" s="5" t="s">
        <v>92</v>
      </c>
      <c r="W100" s="8"/>
      <c r="Y100">
        <f t="shared" si="3"/>
        <v>87.5</v>
      </c>
    </row>
    <row r="101" spans="1:25" ht="15.75" customHeight="1">
      <c r="A101" s="5" t="s">
        <v>347</v>
      </c>
      <c r="B101" s="6">
        <v>71</v>
      </c>
      <c r="C101" s="5" t="s">
        <v>82</v>
      </c>
      <c r="D101" s="7">
        <v>45507</v>
      </c>
      <c r="E101" s="7"/>
      <c r="F101" s="7">
        <v>45568</v>
      </c>
      <c r="G101" s="6">
        <v>2</v>
      </c>
      <c r="H101" s="5" t="s">
        <v>83</v>
      </c>
      <c r="I101" s="6">
        <v>3</v>
      </c>
      <c r="J101" s="5" t="s">
        <v>97</v>
      </c>
      <c r="K101" s="6">
        <v>30738</v>
      </c>
      <c r="L101" s="5" t="s">
        <v>65</v>
      </c>
      <c r="M101" s="5" t="s">
        <v>66</v>
      </c>
      <c r="N101" s="5" t="s">
        <v>28</v>
      </c>
      <c r="O101" s="7">
        <v>45385</v>
      </c>
      <c r="P101" s="7">
        <v>45415.125</v>
      </c>
      <c r="Q101" s="5" t="s">
        <v>48</v>
      </c>
      <c r="R101" s="5" t="s">
        <v>32</v>
      </c>
      <c r="S101" s="5" t="s">
        <v>33</v>
      </c>
      <c r="T101" s="6">
        <v>8</v>
      </c>
      <c r="U101" s="6">
        <v>12</v>
      </c>
      <c r="V101" s="5" t="s">
        <v>34</v>
      </c>
      <c r="W101" s="8"/>
      <c r="Y101">
        <f t="shared" si="3"/>
        <v>66.666666666666657</v>
      </c>
    </row>
    <row r="102" spans="1:25" ht="15.75" customHeight="1">
      <c r="A102" s="5" t="s">
        <v>348</v>
      </c>
      <c r="B102" s="6">
        <v>9</v>
      </c>
      <c r="C102" s="5" t="s">
        <v>47</v>
      </c>
      <c r="D102" s="7">
        <v>45110</v>
      </c>
      <c r="E102" s="7"/>
      <c r="F102" s="6" t="s">
        <v>349</v>
      </c>
      <c r="G102" s="6">
        <v>11</v>
      </c>
      <c r="H102" s="5" t="s">
        <v>73</v>
      </c>
      <c r="I102" s="6">
        <v>1</v>
      </c>
      <c r="J102" s="5" t="s">
        <v>39</v>
      </c>
      <c r="K102" s="6">
        <v>11772</v>
      </c>
      <c r="L102" s="5" t="s">
        <v>65</v>
      </c>
      <c r="M102" s="5" t="s">
        <v>27</v>
      </c>
      <c r="N102" s="5" t="s">
        <v>28</v>
      </c>
      <c r="O102" s="7">
        <v>45049</v>
      </c>
      <c r="P102" s="7">
        <v>45080.041666666664</v>
      </c>
      <c r="Q102" s="5" t="s">
        <v>86</v>
      </c>
      <c r="R102" s="5" t="s">
        <v>32</v>
      </c>
      <c r="S102" s="5" t="s">
        <v>53</v>
      </c>
      <c r="T102" s="6">
        <v>11</v>
      </c>
      <c r="U102" s="6">
        <v>10</v>
      </c>
      <c r="V102" s="5" t="s">
        <v>92</v>
      </c>
      <c r="W102" s="8"/>
      <c r="Y102">
        <f t="shared" si="3"/>
        <v>110.00000000000001</v>
      </c>
    </row>
    <row r="103" spans="1:25" ht="15.75" customHeight="1">
      <c r="A103" s="5" t="s">
        <v>350</v>
      </c>
      <c r="B103" s="6">
        <v>88</v>
      </c>
      <c r="C103" s="5" t="s">
        <v>36</v>
      </c>
      <c r="D103" s="6" t="s">
        <v>351</v>
      </c>
      <c r="E103" s="6"/>
      <c r="F103" s="6" t="s">
        <v>320</v>
      </c>
      <c r="G103" s="6">
        <v>14</v>
      </c>
      <c r="H103" s="5" t="s">
        <v>73</v>
      </c>
      <c r="I103" s="6">
        <v>3</v>
      </c>
      <c r="J103" s="5" t="s">
        <v>97</v>
      </c>
      <c r="K103" s="6">
        <v>29874</v>
      </c>
      <c r="L103" s="5" t="s">
        <v>40</v>
      </c>
      <c r="M103" s="5" t="s">
        <v>66</v>
      </c>
      <c r="N103" s="5" t="s">
        <v>28</v>
      </c>
      <c r="O103" s="6" t="s">
        <v>231</v>
      </c>
      <c r="P103" s="6" t="s">
        <v>352</v>
      </c>
      <c r="Q103" s="5" t="s">
        <v>86</v>
      </c>
      <c r="R103" s="5" t="s">
        <v>32</v>
      </c>
      <c r="S103" s="5" t="s">
        <v>53</v>
      </c>
      <c r="T103" s="6">
        <v>11</v>
      </c>
      <c r="U103" s="6">
        <v>10</v>
      </c>
      <c r="V103" s="5" t="s">
        <v>92</v>
      </c>
      <c r="W103" s="8"/>
      <c r="Y103">
        <f t="shared" si="3"/>
        <v>110.00000000000001</v>
      </c>
    </row>
    <row r="104" spans="1:25" ht="15.75" customHeight="1">
      <c r="A104" s="5" t="s">
        <v>353</v>
      </c>
      <c r="B104" s="6">
        <v>1</v>
      </c>
      <c r="C104" s="5" t="s">
        <v>36</v>
      </c>
      <c r="D104" s="6" t="s">
        <v>216</v>
      </c>
      <c r="E104" s="6"/>
      <c r="F104" s="6" t="s">
        <v>354</v>
      </c>
      <c r="G104" s="6">
        <v>1</v>
      </c>
      <c r="H104" s="5" t="s">
        <v>24</v>
      </c>
      <c r="I104" s="6">
        <v>3</v>
      </c>
      <c r="J104" s="5" t="s">
        <v>25</v>
      </c>
      <c r="K104" s="6">
        <v>24731</v>
      </c>
      <c r="L104" s="5" t="s">
        <v>26</v>
      </c>
      <c r="M104" s="5" t="s">
        <v>66</v>
      </c>
      <c r="N104" s="5" t="s">
        <v>47</v>
      </c>
      <c r="O104" s="6" t="s">
        <v>355</v>
      </c>
      <c r="P104" s="6" t="s">
        <v>356</v>
      </c>
      <c r="Q104" s="5" t="s">
        <v>69</v>
      </c>
      <c r="R104" s="5" t="s">
        <v>32</v>
      </c>
      <c r="S104" s="5" t="s">
        <v>53</v>
      </c>
      <c r="T104" s="6">
        <v>5</v>
      </c>
      <c r="U104" s="6">
        <v>10</v>
      </c>
      <c r="V104" s="5" t="s">
        <v>54</v>
      </c>
      <c r="W104" s="8"/>
      <c r="Y104">
        <f t="shared" si="3"/>
        <v>50</v>
      </c>
    </row>
    <row r="105" spans="1:25" ht="15.75" customHeight="1">
      <c r="A105" s="5" t="s">
        <v>357</v>
      </c>
      <c r="B105" s="6">
        <v>8</v>
      </c>
      <c r="C105" s="5" t="s">
        <v>62</v>
      </c>
      <c r="D105" s="6" t="s">
        <v>358</v>
      </c>
      <c r="E105" s="6"/>
      <c r="F105" s="6" t="s">
        <v>359</v>
      </c>
      <c r="G105" s="6">
        <v>3</v>
      </c>
      <c r="H105" s="5" t="s">
        <v>73</v>
      </c>
      <c r="I105" s="6">
        <v>2</v>
      </c>
      <c r="J105" s="5" t="s">
        <v>25</v>
      </c>
      <c r="K105" s="6">
        <v>15131</v>
      </c>
      <c r="L105" s="5" t="s">
        <v>40</v>
      </c>
      <c r="M105" s="5" t="s">
        <v>27</v>
      </c>
      <c r="N105" s="5" t="s">
        <v>47</v>
      </c>
      <c r="O105" s="6" t="s">
        <v>360</v>
      </c>
      <c r="P105" s="6" t="s">
        <v>361</v>
      </c>
      <c r="Q105" s="5" t="s">
        <v>43</v>
      </c>
      <c r="R105" s="5" t="s">
        <v>32</v>
      </c>
      <c r="S105" s="5" t="s">
        <v>49</v>
      </c>
      <c r="T105" s="6">
        <v>8</v>
      </c>
      <c r="U105" s="6">
        <v>12</v>
      </c>
      <c r="V105" s="5" t="s">
        <v>54</v>
      </c>
      <c r="W105" s="8"/>
      <c r="Y105">
        <f t="shared" si="3"/>
        <v>66.666666666666657</v>
      </c>
    </row>
    <row r="106" spans="1:25" ht="15.75" customHeight="1">
      <c r="A106" s="5" t="s">
        <v>362</v>
      </c>
      <c r="B106" s="6">
        <v>88</v>
      </c>
      <c r="C106" s="5" t="s">
        <v>22</v>
      </c>
      <c r="D106" s="6" t="s">
        <v>363</v>
      </c>
      <c r="E106" s="6"/>
      <c r="F106" s="6" t="s">
        <v>364</v>
      </c>
      <c r="G106" s="6">
        <v>1</v>
      </c>
      <c r="H106" s="5" t="s">
        <v>24</v>
      </c>
      <c r="I106" s="6">
        <v>5</v>
      </c>
      <c r="J106" s="5" t="s">
        <v>52</v>
      </c>
      <c r="K106" s="6">
        <v>5788</v>
      </c>
      <c r="L106" s="5" t="s">
        <v>65</v>
      </c>
      <c r="M106" s="5" t="s">
        <v>66</v>
      </c>
      <c r="N106" s="5" t="s">
        <v>47</v>
      </c>
      <c r="O106" s="7">
        <v>45239</v>
      </c>
      <c r="P106" s="7">
        <v>45239.666666666664</v>
      </c>
      <c r="Q106" s="5" t="s">
        <v>48</v>
      </c>
      <c r="R106" s="5" t="s">
        <v>32</v>
      </c>
      <c r="S106" s="5" t="s">
        <v>49</v>
      </c>
      <c r="T106" s="6">
        <v>10</v>
      </c>
      <c r="U106" s="6">
        <v>12</v>
      </c>
      <c r="V106" s="5" t="s">
        <v>92</v>
      </c>
      <c r="W106" s="8"/>
      <c r="Y106">
        <f t="shared" si="3"/>
        <v>83.333333333333343</v>
      </c>
    </row>
    <row r="107" spans="1:25" ht="15.75" customHeight="1">
      <c r="A107" s="5" t="s">
        <v>365</v>
      </c>
      <c r="B107" s="6">
        <v>63</v>
      </c>
      <c r="C107" s="5" t="s">
        <v>47</v>
      </c>
      <c r="D107" s="7">
        <v>45261</v>
      </c>
      <c r="E107" s="7"/>
      <c r="F107" s="6" t="s">
        <v>366</v>
      </c>
      <c r="G107" s="6">
        <v>6</v>
      </c>
      <c r="H107" s="5" t="s">
        <v>58</v>
      </c>
      <c r="I107" s="6">
        <v>4</v>
      </c>
      <c r="J107" s="5" t="s">
        <v>89</v>
      </c>
      <c r="K107" s="6">
        <v>21184</v>
      </c>
      <c r="L107" s="5" t="s">
        <v>80</v>
      </c>
      <c r="M107" s="5" t="s">
        <v>27</v>
      </c>
      <c r="N107" s="5" t="s">
        <v>28</v>
      </c>
      <c r="O107" s="7">
        <v>45231</v>
      </c>
      <c r="P107" s="7">
        <v>45261.541666666664</v>
      </c>
      <c r="Q107" s="5" t="s">
        <v>69</v>
      </c>
      <c r="R107" s="5" t="s">
        <v>32</v>
      </c>
      <c r="S107" s="5" t="s">
        <v>33</v>
      </c>
      <c r="T107" s="6">
        <v>10</v>
      </c>
      <c r="U107" s="6">
        <v>10</v>
      </c>
      <c r="V107" s="5" t="s">
        <v>92</v>
      </c>
      <c r="W107" s="8"/>
      <c r="Y107">
        <f t="shared" si="3"/>
        <v>100</v>
      </c>
    </row>
    <row r="108" spans="1:25" ht="15.75" customHeight="1">
      <c r="A108" s="5" t="s">
        <v>367</v>
      </c>
      <c r="B108" s="6">
        <v>11</v>
      </c>
      <c r="C108" s="5" t="s">
        <v>51</v>
      </c>
      <c r="D108" s="6" t="s">
        <v>342</v>
      </c>
      <c r="E108" s="6"/>
      <c r="F108" s="7">
        <v>45235</v>
      </c>
      <c r="G108" s="6">
        <v>13</v>
      </c>
      <c r="H108" s="5" t="s">
        <v>58</v>
      </c>
      <c r="I108" s="6">
        <v>4</v>
      </c>
      <c r="J108" s="5" t="s">
        <v>52</v>
      </c>
      <c r="K108" s="6">
        <v>35897</v>
      </c>
      <c r="L108" s="5" t="s">
        <v>90</v>
      </c>
      <c r="M108" s="5" t="s">
        <v>27</v>
      </c>
      <c r="N108" s="5" t="s">
        <v>28</v>
      </c>
      <c r="O108" s="6" t="s">
        <v>368</v>
      </c>
      <c r="P108" s="6" t="s">
        <v>369</v>
      </c>
      <c r="Q108" s="5" t="s">
        <v>69</v>
      </c>
      <c r="R108" s="5" t="s">
        <v>32</v>
      </c>
      <c r="S108" s="5" t="s">
        <v>33</v>
      </c>
      <c r="T108" s="6">
        <v>5</v>
      </c>
      <c r="U108" s="6">
        <v>8</v>
      </c>
      <c r="V108" s="5" t="s">
        <v>34</v>
      </c>
      <c r="W108" s="8"/>
      <c r="Y108">
        <f t="shared" si="3"/>
        <v>62.5</v>
      </c>
    </row>
    <row r="109" spans="1:25" ht="15.75" customHeight="1">
      <c r="A109" s="5" t="s">
        <v>370</v>
      </c>
      <c r="B109" s="6">
        <v>81</v>
      </c>
      <c r="C109" s="5" t="s">
        <v>22</v>
      </c>
      <c r="D109" s="7">
        <v>44936</v>
      </c>
      <c r="E109" s="7"/>
      <c r="F109" s="6" t="s">
        <v>371</v>
      </c>
      <c r="G109" s="6">
        <v>13</v>
      </c>
      <c r="H109" s="5" t="s">
        <v>73</v>
      </c>
      <c r="I109" s="6">
        <v>4</v>
      </c>
      <c r="J109" s="5" t="s">
        <v>97</v>
      </c>
      <c r="K109" s="6">
        <v>7889</v>
      </c>
      <c r="L109" s="5" t="s">
        <v>80</v>
      </c>
      <c r="M109" s="5" t="s">
        <v>27</v>
      </c>
      <c r="N109" s="5" t="s">
        <v>28</v>
      </c>
      <c r="O109" s="6" t="s">
        <v>162</v>
      </c>
      <c r="P109" s="6" t="s">
        <v>372</v>
      </c>
      <c r="Q109" s="5" t="s">
        <v>86</v>
      </c>
      <c r="R109" s="5" t="s">
        <v>32</v>
      </c>
      <c r="S109" s="5" t="s">
        <v>33</v>
      </c>
      <c r="T109" s="6">
        <v>10</v>
      </c>
      <c r="U109" s="6">
        <v>12</v>
      </c>
      <c r="V109" s="5" t="s">
        <v>34</v>
      </c>
      <c r="W109" s="8"/>
      <c r="Y109">
        <f t="shared" si="3"/>
        <v>83.333333333333343</v>
      </c>
    </row>
    <row r="110" spans="1:25" ht="15.75" customHeight="1">
      <c r="A110" s="5" t="s">
        <v>373</v>
      </c>
      <c r="B110" s="6">
        <v>8</v>
      </c>
      <c r="C110" s="5" t="s">
        <v>22</v>
      </c>
      <c r="D110" s="6" t="s">
        <v>135</v>
      </c>
      <c r="E110" s="6"/>
      <c r="F110" s="6" t="s">
        <v>158</v>
      </c>
      <c r="G110" s="6">
        <v>4</v>
      </c>
      <c r="H110" s="5" t="s">
        <v>58</v>
      </c>
      <c r="I110" s="6">
        <v>1</v>
      </c>
      <c r="J110" s="5" t="s">
        <v>52</v>
      </c>
      <c r="K110" s="6">
        <v>14569</v>
      </c>
      <c r="L110" s="5" t="s">
        <v>80</v>
      </c>
      <c r="M110" s="5" t="s">
        <v>27</v>
      </c>
      <c r="N110" s="5" t="s">
        <v>28</v>
      </c>
      <c r="O110" s="7">
        <v>45242</v>
      </c>
      <c r="P110" s="7">
        <v>45272.833333333336</v>
      </c>
      <c r="Q110" s="5" t="s">
        <v>31</v>
      </c>
      <c r="R110" s="5" t="s">
        <v>32</v>
      </c>
      <c r="S110" s="5" t="s">
        <v>49</v>
      </c>
      <c r="T110" s="6">
        <v>10</v>
      </c>
      <c r="U110" s="6">
        <v>10</v>
      </c>
      <c r="V110" s="5" t="s">
        <v>92</v>
      </c>
      <c r="W110" s="8"/>
      <c r="Y110">
        <f t="shared" si="3"/>
        <v>100</v>
      </c>
    </row>
    <row r="111" spans="1:25" ht="15.75" customHeight="1">
      <c r="A111" s="5" t="s">
        <v>374</v>
      </c>
      <c r="B111" s="6">
        <v>35</v>
      </c>
      <c r="C111" s="5" t="s">
        <v>47</v>
      </c>
      <c r="D111" s="6" t="s">
        <v>23</v>
      </c>
      <c r="E111" s="6"/>
      <c r="F111" s="7">
        <v>45051</v>
      </c>
      <c r="G111" s="6">
        <v>10</v>
      </c>
      <c r="H111" s="5" t="s">
        <v>83</v>
      </c>
      <c r="I111" s="6">
        <v>4</v>
      </c>
      <c r="J111" s="5" t="s">
        <v>39</v>
      </c>
      <c r="K111" s="6">
        <v>26657</v>
      </c>
      <c r="L111" s="5" t="s">
        <v>65</v>
      </c>
      <c r="M111" s="5" t="s">
        <v>66</v>
      </c>
      <c r="N111" s="5" t="s">
        <v>28</v>
      </c>
      <c r="O111" s="6" t="s">
        <v>23</v>
      </c>
      <c r="P111" s="6" t="s">
        <v>375</v>
      </c>
      <c r="Q111" s="5" t="s">
        <v>48</v>
      </c>
      <c r="R111" s="5" t="s">
        <v>32</v>
      </c>
      <c r="S111" s="5" t="s">
        <v>33</v>
      </c>
      <c r="T111" s="6">
        <v>7</v>
      </c>
      <c r="U111" s="6">
        <v>10</v>
      </c>
      <c r="V111" s="5" t="s">
        <v>54</v>
      </c>
      <c r="W111" s="8"/>
      <c r="Y111">
        <f t="shared" si="3"/>
        <v>70</v>
      </c>
    </row>
    <row r="112" spans="1:25" ht="15.75" customHeight="1">
      <c r="A112" s="5" t="s">
        <v>376</v>
      </c>
      <c r="B112" s="6">
        <v>35</v>
      </c>
      <c r="C112" s="5" t="s">
        <v>62</v>
      </c>
      <c r="D112" s="6" t="s">
        <v>183</v>
      </c>
      <c r="E112" s="6"/>
      <c r="F112" s="7">
        <v>44996</v>
      </c>
      <c r="G112" s="6">
        <v>6</v>
      </c>
      <c r="H112" s="5" t="s">
        <v>24</v>
      </c>
      <c r="I112" s="6">
        <v>4</v>
      </c>
      <c r="J112" s="5" t="s">
        <v>97</v>
      </c>
      <c r="K112" s="6">
        <v>15141</v>
      </c>
      <c r="L112" s="5" t="s">
        <v>40</v>
      </c>
      <c r="M112" s="5" t="s">
        <v>66</v>
      </c>
      <c r="N112" s="5" t="s">
        <v>47</v>
      </c>
      <c r="O112" s="6" t="s">
        <v>183</v>
      </c>
      <c r="P112" s="6" t="s">
        <v>377</v>
      </c>
      <c r="Q112" s="5" t="s">
        <v>31</v>
      </c>
      <c r="R112" s="5" t="s">
        <v>32</v>
      </c>
      <c r="S112" s="5" t="s">
        <v>33</v>
      </c>
      <c r="T112" s="6">
        <v>7</v>
      </c>
      <c r="U112" s="6">
        <v>12</v>
      </c>
      <c r="V112" s="5" t="s">
        <v>92</v>
      </c>
      <c r="W112" s="8"/>
      <c r="Y112">
        <f t="shared" si="3"/>
        <v>58.333333333333336</v>
      </c>
    </row>
    <row r="113" spans="1:25" ht="15.75" customHeight="1">
      <c r="A113" s="5" t="s">
        <v>378</v>
      </c>
      <c r="B113" s="6">
        <v>33</v>
      </c>
      <c r="C113" s="5" t="s">
        <v>62</v>
      </c>
      <c r="D113" s="6" t="s">
        <v>379</v>
      </c>
      <c r="E113" s="6"/>
      <c r="F113" s="6" t="s">
        <v>380</v>
      </c>
      <c r="G113" s="6">
        <v>1</v>
      </c>
      <c r="H113" s="5" t="s">
        <v>24</v>
      </c>
      <c r="I113" s="6">
        <v>2</v>
      </c>
      <c r="J113" s="5" t="s">
        <v>25</v>
      </c>
      <c r="K113" s="6">
        <v>24656</v>
      </c>
      <c r="L113" s="5" t="s">
        <v>26</v>
      </c>
      <c r="M113" s="5" t="s">
        <v>27</v>
      </c>
      <c r="N113" s="5" t="s">
        <v>47</v>
      </c>
      <c r="O113" s="6" t="s">
        <v>381</v>
      </c>
      <c r="P113" s="6" t="s">
        <v>382</v>
      </c>
      <c r="Q113" s="5" t="s">
        <v>48</v>
      </c>
      <c r="R113" s="5" t="s">
        <v>32</v>
      </c>
      <c r="S113" s="5" t="s">
        <v>49</v>
      </c>
      <c r="T113" s="6">
        <v>4</v>
      </c>
      <c r="U113" s="6">
        <v>8</v>
      </c>
      <c r="V113" s="5" t="s">
        <v>92</v>
      </c>
      <c r="W113" s="8"/>
      <c r="Y113">
        <f t="shared" si="3"/>
        <v>50</v>
      </c>
    </row>
    <row r="114" spans="1:25" ht="15.75" customHeight="1">
      <c r="A114" s="5" t="s">
        <v>383</v>
      </c>
      <c r="B114" s="6">
        <v>5</v>
      </c>
      <c r="C114" s="5" t="s">
        <v>62</v>
      </c>
      <c r="D114" s="7">
        <v>45236</v>
      </c>
      <c r="E114" s="7"/>
      <c r="F114" s="6" t="s">
        <v>227</v>
      </c>
      <c r="G114" s="6">
        <v>3</v>
      </c>
      <c r="H114" s="5" t="s">
        <v>73</v>
      </c>
      <c r="I114" s="6">
        <v>3</v>
      </c>
      <c r="J114" s="5" t="s">
        <v>89</v>
      </c>
      <c r="K114" s="6">
        <v>26618</v>
      </c>
      <c r="L114" s="5" t="s">
        <v>80</v>
      </c>
      <c r="M114" s="5" t="s">
        <v>66</v>
      </c>
      <c r="N114" s="5" t="s">
        <v>28</v>
      </c>
      <c r="O114" s="7">
        <v>45205</v>
      </c>
      <c r="P114" s="7">
        <v>45205.75</v>
      </c>
      <c r="Q114" s="5" t="s">
        <v>43</v>
      </c>
      <c r="R114" s="5" t="s">
        <v>32</v>
      </c>
      <c r="S114" s="5" t="s">
        <v>53</v>
      </c>
      <c r="T114" s="6">
        <v>7</v>
      </c>
      <c r="U114" s="6">
        <v>10</v>
      </c>
      <c r="V114" s="5" t="s">
        <v>54</v>
      </c>
      <c r="W114" s="8"/>
      <c r="Y114">
        <f t="shared" si="3"/>
        <v>70</v>
      </c>
    </row>
    <row r="115" spans="1:25" ht="15.75" customHeight="1">
      <c r="A115" s="5" t="s">
        <v>384</v>
      </c>
      <c r="B115" s="6">
        <v>41</v>
      </c>
      <c r="C115" s="5" t="s">
        <v>62</v>
      </c>
      <c r="D115" s="7">
        <v>45539</v>
      </c>
      <c r="E115" s="7"/>
      <c r="F115" s="6" t="s">
        <v>221</v>
      </c>
      <c r="G115" s="6">
        <v>5</v>
      </c>
      <c r="H115" s="5" t="s">
        <v>58</v>
      </c>
      <c r="I115" s="6">
        <v>4</v>
      </c>
      <c r="J115" s="5" t="s">
        <v>97</v>
      </c>
      <c r="K115" s="6">
        <v>16934</v>
      </c>
      <c r="L115" s="5" t="s">
        <v>40</v>
      </c>
      <c r="M115" s="5" t="s">
        <v>66</v>
      </c>
      <c r="N115" s="5" t="s">
        <v>28</v>
      </c>
      <c r="O115" s="7">
        <v>45477</v>
      </c>
      <c r="P115" s="7">
        <v>45477.833333333336</v>
      </c>
      <c r="Q115" s="5" t="s">
        <v>86</v>
      </c>
      <c r="R115" s="5" t="s">
        <v>32</v>
      </c>
      <c r="S115" s="5" t="s">
        <v>49</v>
      </c>
      <c r="T115" s="6">
        <v>6</v>
      </c>
      <c r="U115" s="6">
        <v>8</v>
      </c>
      <c r="V115" s="5" t="s">
        <v>54</v>
      </c>
      <c r="W115" s="8"/>
      <c r="Y115">
        <f t="shared" si="3"/>
        <v>75</v>
      </c>
    </row>
    <row r="116" spans="1:25" ht="15.75" customHeight="1">
      <c r="A116" s="5" t="s">
        <v>385</v>
      </c>
      <c r="B116" s="6">
        <v>28</v>
      </c>
      <c r="C116" s="5" t="s">
        <v>36</v>
      </c>
      <c r="D116" s="7">
        <v>45017</v>
      </c>
      <c r="E116" s="7"/>
      <c r="F116" s="7">
        <v>45047</v>
      </c>
      <c r="G116" s="6">
        <v>1</v>
      </c>
      <c r="H116" s="5" t="s">
        <v>46</v>
      </c>
      <c r="I116" s="6">
        <v>5</v>
      </c>
      <c r="J116" s="5" t="s">
        <v>97</v>
      </c>
      <c r="K116" s="6">
        <v>47537</v>
      </c>
      <c r="L116" s="5" t="s">
        <v>26</v>
      </c>
      <c r="M116" s="5" t="s">
        <v>27</v>
      </c>
      <c r="N116" s="5" t="s">
        <v>28</v>
      </c>
      <c r="O116" s="7">
        <v>44986</v>
      </c>
      <c r="P116" s="7">
        <v>44986.75</v>
      </c>
      <c r="Q116" s="5" t="s">
        <v>43</v>
      </c>
      <c r="R116" s="5" t="s">
        <v>32</v>
      </c>
      <c r="S116" s="5" t="s">
        <v>33</v>
      </c>
      <c r="T116" s="6">
        <v>8</v>
      </c>
      <c r="U116" s="6">
        <v>8</v>
      </c>
      <c r="V116" s="5" t="s">
        <v>34</v>
      </c>
      <c r="W116" s="8"/>
      <c r="Y116">
        <f t="shared" si="3"/>
        <v>100</v>
      </c>
    </row>
    <row r="117" spans="1:25" ht="15.75" customHeight="1">
      <c r="A117" s="5" t="s">
        <v>386</v>
      </c>
      <c r="B117" s="6">
        <v>7</v>
      </c>
      <c r="C117" s="5" t="s">
        <v>62</v>
      </c>
      <c r="D117" s="6" t="s">
        <v>312</v>
      </c>
      <c r="E117" s="6"/>
      <c r="F117" s="6" t="s">
        <v>313</v>
      </c>
      <c r="G117" s="6">
        <v>3</v>
      </c>
      <c r="H117" s="5" t="s">
        <v>24</v>
      </c>
      <c r="I117" s="6">
        <v>4</v>
      </c>
      <c r="J117" s="5" t="s">
        <v>39</v>
      </c>
      <c r="K117" s="6">
        <v>28286</v>
      </c>
      <c r="L117" s="5" t="s">
        <v>80</v>
      </c>
      <c r="M117" s="5" t="s">
        <v>66</v>
      </c>
      <c r="N117" s="5" t="s">
        <v>47</v>
      </c>
      <c r="O117" s="6" t="s">
        <v>164</v>
      </c>
      <c r="P117" s="6" t="s">
        <v>387</v>
      </c>
      <c r="Q117" s="5" t="s">
        <v>69</v>
      </c>
      <c r="R117" s="5" t="s">
        <v>32</v>
      </c>
      <c r="S117" s="5" t="s">
        <v>49</v>
      </c>
      <c r="T117" s="6">
        <v>8</v>
      </c>
      <c r="U117" s="6">
        <v>12</v>
      </c>
      <c r="V117" s="5" t="s">
        <v>34</v>
      </c>
      <c r="W117" s="8"/>
      <c r="Y117">
        <f t="shared" si="3"/>
        <v>66.666666666666657</v>
      </c>
    </row>
    <row r="118" spans="1:25" ht="15.75" customHeight="1">
      <c r="A118" s="5" t="s">
        <v>388</v>
      </c>
      <c r="B118" s="6">
        <v>73</v>
      </c>
      <c r="C118" s="5" t="s">
        <v>36</v>
      </c>
      <c r="D118" s="6" t="s">
        <v>389</v>
      </c>
      <c r="E118" s="6"/>
      <c r="F118" s="7">
        <v>45510</v>
      </c>
      <c r="G118" s="6">
        <v>12</v>
      </c>
      <c r="H118" s="5" t="s">
        <v>73</v>
      </c>
      <c r="I118" s="6">
        <v>1</v>
      </c>
      <c r="J118" s="5" t="s">
        <v>89</v>
      </c>
      <c r="K118" s="6">
        <v>12612</v>
      </c>
      <c r="L118" s="5" t="s">
        <v>26</v>
      </c>
      <c r="M118" s="5" t="s">
        <v>27</v>
      </c>
      <c r="N118" s="5" t="s">
        <v>28</v>
      </c>
      <c r="O118" s="6" t="s">
        <v>390</v>
      </c>
      <c r="P118" s="6" t="s">
        <v>391</v>
      </c>
      <c r="Q118" s="5" t="s">
        <v>86</v>
      </c>
      <c r="R118" s="5" t="s">
        <v>32</v>
      </c>
      <c r="S118" s="5" t="s">
        <v>53</v>
      </c>
      <c r="T118" s="6">
        <v>5</v>
      </c>
      <c r="U118" s="6">
        <v>10</v>
      </c>
      <c r="V118" s="5" t="s">
        <v>34</v>
      </c>
      <c r="W118" s="8"/>
      <c r="Y118">
        <f t="shared" si="3"/>
        <v>50</v>
      </c>
    </row>
    <row r="119" spans="1:25" ht="15.75" customHeight="1">
      <c r="A119" s="5" t="s">
        <v>392</v>
      </c>
      <c r="B119" s="6">
        <v>72</v>
      </c>
      <c r="C119" s="5" t="s">
        <v>36</v>
      </c>
      <c r="D119" s="7">
        <v>44964</v>
      </c>
      <c r="E119" s="7"/>
      <c r="F119" s="7">
        <v>45176</v>
      </c>
      <c r="G119" s="6">
        <v>7</v>
      </c>
      <c r="H119" s="5" t="s">
        <v>73</v>
      </c>
      <c r="I119" s="6">
        <v>1</v>
      </c>
      <c r="J119" s="5" t="s">
        <v>25</v>
      </c>
      <c r="K119" s="6">
        <v>37069</v>
      </c>
      <c r="L119" s="5" t="s">
        <v>40</v>
      </c>
      <c r="M119" s="5" t="s">
        <v>27</v>
      </c>
      <c r="N119" s="5" t="s">
        <v>28</v>
      </c>
      <c r="O119" s="6" t="s">
        <v>393</v>
      </c>
      <c r="P119" s="6" t="s">
        <v>394</v>
      </c>
      <c r="Q119" s="5" t="s">
        <v>69</v>
      </c>
      <c r="R119" s="5" t="s">
        <v>32</v>
      </c>
      <c r="S119" s="5" t="s">
        <v>53</v>
      </c>
      <c r="T119" s="6">
        <v>7</v>
      </c>
      <c r="U119" s="6">
        <v>10</v>
      </c>
      <c r="V119" s="5" t="s">
        <v>34</v>
      </c>
      <c r="W119" s="8"/>
      <c r="Y119">
        <f t="shared" si="3"/>
        <v>70</v>
      </c>
    </row>
    <row r="120" spans="1:25" ht="15.75" customHeight="1">
      <c r="A120" s="5" t="s">
        <v>395</v>
      </c>
      <c r="B120" s="6">
        <v>12</v>
      </c>
      <c r="C120" s="5" t="s">
        <v>62</v>
      </c>
      <c r="D120" s="7">
        <v>45357</v>
      </c>
      <c r="E120" s="7"/>
      <c r="F120" s="7">
        <v>45632</v>
      </c>
      <c r="G120" s="6">
        <v>9</v>
      </c>
      <c r="H120" s="5" t="s">
        <v>83</v>
      </c>
      <c r="I120" s="6">
        <v>1</v>
      </c>
      <c r="J120" s="5" t="s">
        <v>97</v>
      </c>
      <c r="K120" s="6">
        <v>21205</v>
      </c>
      <c r="L120" s="5" t="s">
        <v>90</v>
      </c>
      <c r="M120" s="5" t="s">
        <v>27</v>
      </c>
      <c r="N120" s="5" t="s">
        <v>47</v>
      </c>
      <c r="O120" s="7">
        <v>45328</v>
      </c>
      <c r="P120" s="7">
        <v>45328.458333333336</v>
      </c>
      <c r="Q120" s="5" t="s">
        <v>43</v>
      </c>
      <c r="R120" s="5" t="s">
        <v>32</v>
      </c>
      <c r="S120" s="5" t="s">
        <v>53</v>
      </c>
      <c r="T120" s="6">
        <v>4</v>
      </c>
      <c r="U120" s="6">
        <v>8</v>
      </c>
      <c r="V120" s="5" t="s">
        <v>54</v>
      </c>
      <c r="W120" s="8"/>
      <c r="Y120">
        <f t="shared" si="3"/>
        <v>50</v>
      </c>
    </row>
    <row r="121" spans="1:25" ht="15.75" customHeight="1">
      <c r="A121" s="5" t="s">
        <v>396</v>
      </c>
      <c r="B121" s="6">
        <v>34</v>
      </c>
      <c r="C121" s="5" t="s">
        <v>82</v>
      </c>
      <c r="D121" s="6" t="s">
        <v>150</v>
      </c>
      <c r="E121" s="6"/>
      <c r="F121" s="6" t="s">
        <v>94</v>
      </c>
      <c r="G121" s="6">
        <v>2</v>
      </c>
      <c r="H121" s="5" t="s">
        <v>38</v>
      </c>
      <c r="I121" s="6">
        <v>4</v>
      </c>
      <c r="J121" s="5" t="s">
        <v>97</v>
      </c>
      <c r="K121" s="6">
        <v>32331</v>
      </c>
      <c r="L121" s="5" t="s">
        <v>40</v>
      </c>
      <c r="M121" s="5" t="s">
        <v>27</v>
      </c>
      <c r="N121" s="5" t="s">
        <v>28</v>
      </c>
      <c r="O121" s="6" t="s">
        <v>146</v>
      </c>
      <c r="P121" s="6" t="s">
        <v>397</v>
      </c>
      <c r="Q121" s="5" t="s">
        <v>48</v>
      </c>
      <c r="R121" s="5" t="s">
        <v>32</v>
      </c>
      <c r="S121" s="5" t="s">
        <v>53</v>
      </c>
      <c r="T121" s="6">
        <v>10</v>
      </c>
      <c r="U121" s="6">
        <v>12</v>
      </c>
      <c r="V121" s="5" t="s">
        <v>92</v>
      </c>
      <c r="W121" s="8"/>
      <c r="Y121">
        <f t="shared" si="3"/>
        <v>83.333333333333343</v>
      </c>
    </row>
    <row r="122" spans="1:25" ht="15.75" customHeight="1">
      <c r="A122" s="5" t="s">
        <v>398</v>
      </c>
      <c r="B122" s="6">
        <v>33</v>
      </c>
      <c r="C122" s="5" t="s">
        <v>51</v>
      </c>
      <c r="D122" s="7">
        <v>44968</v>
      </c>
      <c r="E122" s="7"/>
      <c r="F122" s="6" t="s">
        <v>399</v>
      </c>
      <c r="G122" s="6">
        <v>12</v>
      </c>
      <c r="H122" s="5" t="s">
        <v>38</v>
      </c>
      <c r="I122" s="6">
        <v>2</v>
      </c>
      <c r="J122" s="5" t="s">
        <v>39</v>
      </c>
      <c r="K122" s="6">
        <v>18934</v>
      </c>
      <c r="L122" s="5" t="s">
        <v>65</v>
      </c>
      <c r="M122" s="5" t="s">
        <v>27</v>
      </c>
      <c r="N122" s="5" t="s">
        <v>28</v>
      </c>
      <c r="O122" s="6" t="s">
        <v>400</v>
      </c>
      <c r="P122" s="6" t="s">
        <v>401</v>
      </c>
      <c r="Q122" s="5" t="s">
        <v>69</v>
      </c>
      <c r="R122" s="5" t="s">
        <v>32</v>
      </c>
      <c r="S122" s="5" t="s">
        <v>53</v>
      </c>
      <c r="T122" s="6">
        <v>4</v>
      </c>
      <c r="U122" s="6">
        <v>12</v>
      </c>
      <c r="V122" s="5" t="s">
        <v>34</v>
      </c>
      <c r="W122" s="8"/>
      <c r="Y122">
        <f t="shared" si="3"/>
        <v>33.333333333333329</v>
      </c>
    </row>
    <row r="123" spans="1:25" ht="15.75" customHeight="1">
      <c r="A123" s="5" t="s">
        <v>402</v>
      </c>
      <c r="B123" s="6">
        <v>48</v>
      </c>
      <c r="C123" s="5" t="s">
        <v>22</v>
      </c>
      <c r="D123" s="7">
        <v>45357</v>
      </c>
      <c r="E123" s="7"/>
      <c r="F123" s="7">
        <v>45418</v>
      </c>
      <c r="G123" s="6">
        <v>2</v>
      </c>
      <c r="H123" s="5" t="s">
        <v>24</v>
      </c>
      <c r="I123" s="6">
        <v>5</v>
      </c>
      <c r="J123" s="5" t="s">
        <v>52</v>
      </c>
      <c r="K123" s="6">
        <v>15095</v>
      </c>
      <c r="L123" s="5" t="s">
        <v>26</v>
      </c>
      <c r="M123" s="5" t="s">
        <v>27</v>
      </c>
      <c r="N123" s="5" t="s">
        <v>28</v>
      </c>
      <c r="O123" s="7">
        <v>45297</v>
      </c>
      <c r="P123" s="7">
        <v>45328.125</v>
      </c>
      <c r="Q123" s="5" t="s">
        <v>31</v>
      </c>
      <c r="R123" s="5" t="s">
        <v>32</v>
      </c>
      <c r="S123" s="5" t="s">
        <v>53</v>
      </c>
      <c r="T123" s="6">
        <v>4</v>
      </c>
      <c r="U123" s="6">
        <v>12</v>
      </c>
      <c r="V123" s="5" t="s">
        <v>34</v>
      </c>
      <c r="W123" s="8"/>
      <c r="Y123">
        <f t="shared" si="3"/>
        <v>33.333333333333329</v>
      </c>
    </row>
    <row r="124" spans="1:25" ht="15.75" customHeight="1">
      <c r="A124" s="5" t="s">
        <v>403</v>
      </c>
      <c r="B124" s="6">
        <v>23</v>
      </c>
      <c r="C124" s="5" t="s">
        <v>36</v>
      </c>
      <c r="D124" s="6" t="s">
        <v>111</v>
      </c>
      <c r="E124" s="6"/>
      <c r="F124" s="6" t="s">
        <v>404</v>
      </c>
      <c r="G124" s="6">
        <v>8</v>
      </c>
      <c r="H124" s="5" t="s">
        <v>83</v>
      </c>
      <c r="I124" s="6">
        <v>4</v>
      </c>
      <c r="J124" s="5" t="s">
        <v>25</v>
      </c>
      <c r="K124" s="6">
        <v>30958</v>
      </c>
      <c r="L124" s="5" t="s">
        <v>90</v>
      </c>
      <c r="M124" s="5" t="s">
        <v>66</v>
      </c>
      <c r="N124" s="5" t="s">
        <v>47</v>
      </c>
      <c r="O124" s="6" t="s">
        <v>111</v>
      </c>
      <c r="P124" s="6" t="s">
        <v>405</v>
      </c>
      <c r="Q124" s="5" t="s">
        <v>48</v>
      </c>
      <c r="R124" s="5" t="s">
        <v>32</v>
      </c>
      <c r="S124" s="5" t="s">
        <v>33</v>
      </c>
      <c r="T124" s="6">
        <v>9</v>
      </c>
      <c r="U124" s="6">
        <v>8</v>
      </c>
      <c r="V124" s="5" t="s">
        <v>54</v>
      </c>
      <c r="W124" s="8"/>
      <c r="Y124">
        <f t="shared" si="3"/>
        <v>112.5</v>
      </c>
    </row>
    <row r="125" spans="1:25" ht="15.75" customHeight="1">
      <c r="A125" s="5" t="s">
        <v>406</v>
      </c>
      <c r="B125" s="6">
        <v>62</v>
      </c>
      <c r="C125" s="5" t="s">
        <v>47</v>
      </c>
      <c r="D125" s="7">
        <v>45083</v>
      </c>
      <c r="E125" s="7"/>
      <c r="F125" s="6" t="s">
        <v>227</v>
      </c>
      <c r="G125" s="6">
        <v>8</v>
      </c>
      <c r="H125" s="5" t="s">
        <v>83</v>
      </c>
      <c r="I125" s="6">
        <v>2</v>
      </c>
      <c r="J125" s="5" t="s">
        <v>89</v>
      </c>
      <c r="K125" s="6">
        <v>42008</v>
      </c>
      <c r="L125" s="5" t="s">
        <v>26</v>
      </c>
      <c r="M125" s="5" t="s">
        <v>66</v>
      </c>
      <c r="N125" s="5" t="s">
        <v>28</v>
      </c>
      <c r="O125" s="7">
        <v>45022</v>
      </c>
      <c r="P125" s="7">
        <v>45052.291666666664</v>
      </c>
      <c r="Q125" s="5" t="s">
        <v>48</v>
      </c>
      <c r="R125" s="5" t="s">
        <v>32</v>
      </c>
      <c r="S125" s="5" t="s">
        <v>33</v>
      </c>
      <c r="T125" s="6">
        <v>10</v>
      </c>
      <c r="U125" s="6">
        <v>8</v>
      </c>
      <c r="V125" s="5" t="s">
        <v>54</v>
      </c>
      <c r="W125" s="8"/>
      <c r="Y125">
        <f t="shared" si="3"/>
        <v>125</v>
      </c>
    </row>
    <row r="126" spans="1:25" ht="15.75" customHeight="1">
      <c r="A126" s="5" t="s">
        <v>407</v>
      </c>
      <c r="B126" s="6">
        <v>88</v>
      </c>
      <c r="C126" s="5" t="s">
        <v>47</v>
      </c>
      <c r="D126" s="6" t="s">
        <v>408</v>
      </c>
      <c r="E126" s="6"/>
      <c r="F126" s="6" t="s">
        <v>175</v>
      </c>
      <c r="G126" s="6">
        <v>13</v>
      </c>
      <c r="H126" s="5" t="s">
        <v>83</v>
      </c>
      <c r="I126" s="6">
        <v>2</v>
      </c>
      <c r="J126" s="5" t="s">
        <v>97</v>
      </c>
      <c r="K126" s="6">
        <v>23706</v>
      </c>
      <c r="L126" s="5" t="s">
        <v>26</v>
      </c>
      <c r="M126" s="5" t="s">
        <v>27</v>
      </c>
      <c r="N126" s="5" t="s">
        <v>28</v>
      </c>
      <c r="O126" s="6" t="s">
        <v>409</v>
      </c>
      <c r="P126" s="6" t="s">
        <v>410</v>
      </c>
      <c r="Q126" s="5" t="s">
        <v>43</v>
      </c>
      <c r="R126" s="5" t="s">
        <v>32</v>
      </c>
      <c r="S126" s="5" t="s">
        <v>49</v>
      </c>
      <c r="T126" s="6">
        <v>6</v>
      </c>
      <c r="U126" s="6">
        <v>10</v>
      </c>
      <c r="V126" s="5" t="s">
        <v>92</v>
      </c>
      <c r="W126" s="8"/>
      <c r="Y126">
        <f t="shared" si="3"/>
        <v>60</v>
      </c>
    </row>
    <row r="127" spans="1:25" ht="15.75" customHeight="1">
      <c r="A127" s="5" t="s">
        <v>411</v>
      </c>
      <c r="B127" s="6">
        <v>37</v>
      </c>
      <c r="C127" s="5" t="s">
        <v>51</v>
      </c>
      <c r="D127" s="6" t="s">
        <v>253</v>
      </c>
      <c r="E127" s="6"/>
      <c r="F127" s="6" t="s">
        <v>412</v>
      </c>
      <c r="G127" s="6">
        <v>6</v>
      </c>
      <c r="H127" s="5" t="s">
        <v>24</v>
      </c>
      <c r="I127" s="6">
        <v>4</v>
      </c>
      <c r="J127" s="5" t="s">
        <v>97</v>
      </c>
      <c r="K127" s="6">
        <v>48516</v>
      </c>
      <c r="L127" s="5" t="s">
        <v>80</v>
      </c>
      <c r="M127" s="5" t="s">
        <v>27</v>
      </c>
      <c r="N127" s="5" t="s">
        <v>28</v>
      </c>
      <c r="O127" s="7">
        <v>45205</v>
      </c>
      <c r="P127" s="7">
        <v>45236</v>
      </c>
      <c r="Q127" s="5" t="s">
        <v>43</v>
      </c>
      <c r="R127" s="5" t="s">
        <v>32</v>
      </c>
      <c r="S127" s="5" t="s">
        <v>33</v>
      </c>
      <c r="T127" s="6">
        <v>7</v>
      </c>
      <c r="U127" s="6">
        <v>12</v>
      </c>
      <c r="V127" s="5" t="s">
        <v>92</v>
      </c>
      <c r="W127" s="8"/>
      <c r="Y127">
        <f t="shared" si="3"/>
        <v>58.333333333333336</v>
      </c>
    </row>
    <row r="128" spans="1:25" ht="15.75" customHeight="1">
      <c r="A128" s="5" t="s">
        <v>413</v>
      </c>
      <c r="B128" s="6">
        <v>44</v>
      </c>
      <c r="C128" s="5" t="s">
        <v>47</v>
      </c>
      <c r="D128" s="7">
        <v>44927</v>
      </c>
      <c r="E128" s="7"/>
      <c r="F128" s="7">
        <v>45200</v>
      </c>
      <c r="G128" s="6">
        <v>9</v>
      </c>
      <c r="H128" s="5" t="s">
        <v>38</v>
      </c>
      <c r="I128" s="6">
        <v>4</v>
      </c>
      <c r="J128" s="5" t="s">
        <v>25</v>
      </c>
      <c r="K128" s="6">
        <v>43066</v>
      </c>
      <c r="L128" s="5" t="s">
        <v>65</v>
      </c>
      <c r="M128" s="5" t="s">
        <v>66</v>
      </c>
      <c r="N128" s="5" t="s">
        <v>28</v>
      </c>
      <c r="O128" s="6" t="s">
        <v>414</v>
      </c>
      <c r="P128" s="6" t="s">
        <v>415</v>
      </c>
      <c r="Q128" s="5" t="s">
        <v>86</v>
      </c>
      <c r="R128" s="5" t="s">
        <v>32</v>
      </c>
      <c r="S128" s="5" t="s">
        <v>53</v>
      </c>
      <c r="T128" s="6">
        <v>10</v>
      </c>
      <c r="U128" s="6">
        <v>8</v>
      </c>
      <c r="V128" s="5" t="s">
        <v>54</v>
      </c>
      <c r="W128" s="8"/>
      <c r="Y128">
        <f t="shared" si="3"/>
        <v>125</v>
      </c>
    </row>
    <row r="129" spans="1:25" ht="15.75" customHeight="1">
      <c r="A129" s="5" t="s">
        <v>416</v>
      </c>
      <c r="B129" s="6">
        <v>86</v>
      </c>
      <c r="C129" s="5" t="s">
        <v>82</v>
      </c>
      <c r="D129" s="6" t="s">
        <v>267</v>
      </c>
      <c r="E129" s="6"/>
      <c r="F129" s="7">
        <v>45150</v>
      </c>
      <c r="G129" s="6">
        <v>10</v>
      </c>
      <c r="H129" s="5" t="s">
        <v>83</v>
      </c>
      <c r="I129" s="6">
        <v>2</v>
      </c>
      <c r="J129" s="5" t="s">
        <v>52</v>
      </c>
      <c r="K129" s="6">
        <v>36472</v>
      </c>
      <c r="L129" s="5" t="s">
        <v>26</v>
      </c>
      <c r="M129" s="5" t="s">
        <v>66</v>
      </c>
      <c r="N129" s="5" t="s">
        <v>28</v>
      </c>
      <c r="O129" s="6" t="s">
        <v>417</v>
      </c>
      <c r="P129" s="6" t="s">
        <v>418</v>
      </c>
      <c r="Q129" s="5" t="s">
        <v>86</v>
      </c>
      <c r="R129" s="5" t="s">
        <v>44</v>
      </c>
      <c r="S129" s="5" t="s">
        <v>33</v>
      </c>
      <c r="T129" s="6">
        <v>4</v>
      </c>
      <c r="U129" s="6">
        <v>12</v>
      </c>
      <c r="V129" s="5" t="s">
        <v>34</v>
      </c>
      <c r="W129" s="8"/>
      <c r="Y129">
        <f t="shared" si="3"/>
        <v>33.333333333333329</v>
      </c>
    </row>
    <row r="130" spans="1:25" ht="15.75" customHeight="1">
      <c r="A130" s="5" t="s">
        <v>419</v>
      </c>
      <c r="B130" s="6">
        <v>35</v>
      </c>
      <c r="C130" s="5" t="s">
        <v>47</v>
      </c>
      <c r="D130" s="6" t="s">
        <v>420</v>
      </c>
      <c r="E130" s="6"/>
      <c r="F130" s="6" t="s">
        <v>421</v>
      </c>
      <c r="G130" s="6">
        <v>2</v>
      </c>
      <c r="H130" s="5" t="s">
        <v>58</v>
      </c>
      <c r="I130" s="6">
        <v>2</v>
      </c>
      <c r="J130" s="5" t="s">
        <v>97</v>
      </c>
      <c r="K130" s="6">
        <v>39629</v>
      </c>
      <c r="L130" s="5" t="s">
        <v>40</v>
      </c>
      <c r="M130" s="5" t="s">
        <v>66</v>
      </c>
      <c r="N130" s="5" t="s">
        <v>28</v>
      </c>
      <c r="O130" s="6" t="s">
        <v>422</v>
      </c>
      <c r="P130" s="6" t="s">
        <v>423</v>
      </c>
      <c r="Q130" s="5" t="s">
        <v>31</v>
      </c>
      <c r="R130" s="5" t="s">
        <v>32</v>
      </c>
      <c r="S130" s="5" t="s">
        <v>49</v>
      </c>
      <c r="T130" s="6">
        <v>10</v>
      </c>
      <c r="U130" s="6">
        <v>8</v>
      </c>
      <c r="V130" s="5" t="s">
        <v>34</v>
      </c>
      <c r="W130" s="8"/>
      <c r="Y130">
        <f t="shared" si="3"/>
        <v>125</v>
      </c>
    </row>
    <row r="131" spans="1:25" ht="15.75" customHeight="1">
      <c r="A131" s="5" t="s">
        <v>424</v>
      </c>
      <c r="B131" s="6">
        <v>65</v>
      </c>
      <c r="C131" s="5" t="s">
        <v>22</v>
      </c>
      <c r="D131" s="6" t="s">
        <v>425</v>
      </c>
      <c r="E131" s="6"/>
      <c r="F131" s="6" t="s">
        <v>107</v>
      </c>
      <c r="G131" s="6">
        <v>8</v>
      </c>
      <c r="H131" s="5" t="s">
        <v>73</v>
      </c>
      <c r="I131" s="6">
        <v>2</v>
      </c>
      <c r="J131" s="5" t="s">
        <v>25</v>
      </c>
      <c r="K131" s="6">
        <v>28004</v>
      </c>
      <c r="L131" s="5" t="s">
        <v>40</v>
      </c>
      <c r="M131" s="5" t="s">
        <v>66</v>
      </c>
      <c r="N131" s="5" t="s">
        <v>28</v>
      </c>
      <c r="O131" s="6" t="s">
        <v>426</v>
      </c>
      <c r="P131" s="6" t="s">
        <v>427</v>
      </c>
      <c r="Q131" s="5" t="s">
        <v>48</v>
      </c>
      <c r="R131" s="5" t="s">
        <v>32</v>
      </c>
      <c r="S131" s="5" t="s">
        <v>53</v>
      </c>
      <c r="T131" s="6">
        <v>6</v>
      </c>
      <c r="U131" s="6">
        <v>10</v>
      </c>
      <c r="V131" s="5" t="s">
        <v>34</v>
      </c>
      <c r="W131" s="8"/>
      <c r="Y131">
        <f t="shared" ref="Y131:Y194" si="5">(T131/U131*100)</f>
        <v>60</v>
      </c>
    </row>
    <row r="132" spans="1:25" ht="15.75" customHeight="1">
      <c r="A132" s="5" t="s">
        <v>428</v>
      </c>
      <c r="B132" s="6">
        <v>47</v>
      </c>
      <c r="C132" s="5" t="s">
        <v>22</v>
      </c>
      <c r="D132" s="6" t="s">
        <v>23</v>
      </c>
      <c r="E132" s="6"/>
      <c r="F132" s="7">
        <v>45021</v>
      </c>
      <c r="G132" s="6">
        <v>9</v>
      </c>
      <c r="H132" s="5" t="s">
        <v>73</v>
      </c>
      <c r="I132" s="6">
        <v>4</v>
      </c>
      <c r="J132" s="5" t="s">
        <v>39</v>
      </c>
      <c r="K132" s="6">
        <v>25431</v>
      </c>
      <c r="L132" s="5" t="s">
        <v>80</v>
      </c>
      <c r="M132" s="5" t="s">
        <v>27</v>
      </c>
      <c r="N132" s="5" t="s">
        <v>28</v>
      </c>
      <c r="O132" s="6" t="s">
        <v>341</v>
      </c>
      <c r="P132" s="6" t="s">
        <v>429</v>
      </c>
      <c r="Q132" s="5" t="s">
        <v>31</v>
      </c>
      <c r="R132" s="5" t="s">
        <v>32</v>
      </c>
      <c r="S132" s="5" t="s">
        <v>33</v>
      </c>
      <c r="T132" s="6">
        <v>8</v>
      </c>
      <c r="U132" s="6">
        <v>12</v>
      </c>
      <c r="V132" s="5" t="s">
        <v>92</v>
      </c>
      <c r="W132" s="8"/>
      <c r="Y132">
        <f t="shared" si="5"/>
        <v>66.666666666666657</v>
      </c>
    </row>
    <row r="133" spans="1:25" ht="15.75" customHeight="1">
      <c r="A133" s="5" t="s">
        <v>430</v>
      </c>
      <c r="B133" s="6">
        <v>78</v>
      </c>
      <c r="C133" s="5" t="s">
        <v>36</v>
      </c>
      <c r="D133" s="7">
        <v>45474</v>
      </c>
      <c r="E133" s="7"/>
      <c r="F133" s="7">
        <v>45597</v>
      </c>
      <c r="G133" s="6">
        <v>4</v>
      </c>
      <c r="H133" s="5" t="s">
        <v>46</v>
      </c>
      <c r="I133" s="6">
        <v>2</v>
      </c>
      <c r="J133" s="5" t="s">
        <v>52</v>
      </c>
      <c r="K133" s="6">
        <v>45088</v>
      </c>
      <c r="L133" s="5" t="s">
        <v>65</v>
      </c>
      <c r="M133" s="5" t="s">
        <v>27</v>
      </c>
      <c r="N133" s="5" t="s">
        <v>47</v>
      </c>
      <c r="O133" s="7">
        <v>45352</v>
      </c>
      <c r="P133" s="7">
        <v>45383.625</v>
      </c>
      <c r="Q133" s="5" t="s">
        <v>31</v>
      </c>
      <c r="R133" s="5" t="s">
        <v>44</v>
      </c>
      <c r="S133" s="5" t="s">
        <v>33</v>
      </c>
      <c r="T133" s="6">
        <v>5</v>
      </c>
      <c r="U133" s="6">
        <v>8</v>
      </c>
      <c r="V133" s="5" t="s">
        <v>34</v>
      </c>
      <c r="W133" s="8"/>
      <c r="Y133">
        <f t="shared" si="5"/>
        <v>62.5</v>
      </c>
    </row>
    <row r="134" spans="1:25" ht="15.75" customHeight="1">
      <c r="A134" s="5" t="s">
        <v>431</v>
      </c>
      <c r="B134" s="6">
        <v>3</v>
      </c>
      <c r="C134" s="5" t="s">
        <v>62</v>
      </c>
      <c r="D134" s="7">
        <v>45241</v>
      </c>
      <c r="E134" s="7"/>
      <c r="F134" s="6" t="s">
        <v>432</v>
      </c>
      <c r="G134" s="6">
        <v>10</v>
      </c>
      <c r="H134" s="5" t="s">
        <v>46</v>
      </c>
      <c r="I134" s="6">
        <v>1</v>
      </c>
      <c r="J134" s="5" t="s">
        <v>89</v>
      </c>
      <c r="K134" s="6">
        <v>49135</v>
      </c>
      <c r="L134" s="5" t="s">
        <v>65</v>
      </c>
      <c r="M134" s="5" t="s">
        <v>66</v>
      </c>
      <c r="N134" s="5" t="s">
        <v>28</v>
      </c>
      <c r="O134" s="7">
        <v>45118</v>
      </c>
      <c r="P134" s="7">
        <v>45149.666666666664</v>
      </c>
      <c r="Q134" s="5" t="s">
        <v>43</v>
      </c>
      <c r="R134" s="5" t="s">
        <v>32</v>
      </c>
      <c r="S134" s="5" t="s">
        <v>49</v>
      </c>
      <c r="T134" s="6">
        <v>7</v>
      </c>
      <c r="U134" s="6">
        <v>12</v>
      </c>
      <c r="V134" s="5" t="s">
        <v>34</v>
      </c>
      <c r="W134" s="8"/>
      <c r="Y134">
        <f t="shared" si="5"/>
        <v>58.333333333333336</v>
      </c>
    </row>
    <row r="135" spans="1:25" ht="15.75" customHeight="1">
      <c r="A135" s="5" t="s">
        <v>433</v>
      </c>
      <c r="B135" s="6">
        <v>1</v>
      </c>
      <c r="C135" s="5" t="s">
        <v>82</v>
      </c>
      <c r="D135" s="7">
        <v>44994</v>
      </c>
      <c r="E135" s="7"/>
      <c r="F135" s="7">
        <v>45025</v>
      </c>
      <c r="G135" s="6">
        <v>1</v>
      </c>
      <c r="H135" s="5" t="s">
        <v>24</v>
      </c>
      <c r="I135" s="6">
        <v>4</v>
      </c>
      <c r="J135" s="5" t="s">
        <v>97</v>
      </c>
      <c r="K135" s="6">
        <v>43015</v>
      </c>
      <c r="L135" s="5" t="s">
        <v>40</v>
      </c>
      <c r="M135" s="5" t="s">
        <v>27</v>
      </c>
      <c r="N135" s="5" t="s">
        <v>47</v>
      </c>
      <c r="O135" s="7">
        <v>44994</v>
      </c>
      <c r="P135" s="7">
        <v>44994.541666666664</v>
      </c>
      <c r="Q135" s="5" t="s">
        <v>31</v>
      </c>
      <c r="R135" s="5" t="s">
        <v>32</v>
      </c>
      <c r="S135" s="5" t="s">
        <v>53</v>
      </c>
      <c r="T135" s="6">
        <v>7</v>
      </c>
      <c r="U135" s="6">
        <v>8</v>
      </c>
      <c r="V135" s="5" t="s">
        <v>54</v>
      </c>
      <c r="W135" s="8"/>
      <c r="Y135">
        <f t="shared" si="5"/>
        <v>87.5</v>
      </c>
    </row>
    <row r="136" spans="1:25" ht="15.75" customHeight="1">
      <c r="A136" s="5" t="s">
        <v>434</v>
      </c>
      <c r="B136" s="6">
        <v>5</v>
      </c>
      <c r="C136" s="5" t="s">
        <v>36</v>
      </c>
      <c r="D136" s="7">
        <v>44929</v>
      </c>
      <c r="E136" s="7"/>
      <c r="F136" s="6" t="s">
        <v>192</v>
      </c>
      <c r="G136" s="6">
        <v>12</v>
      </c>
      <c r="H136" s="5" t="s">
        <v>24</v>
      </c>
      <c r="I136" s="6">
        <v>1</v>
      </c>
      <c r="J136" s="5" t="s">
        <v>25</v>
      </c>
      <c r="K136" s="6">
        <v>39502</v>
      </c>
      <c r="L136" s="5" t="s">
        <v>90</v>
      </c>
      <c r="M136" s="5" t="s">
        <v>66</v>
      </c>
      <c r="N136" s="5" t="s">
        <v>28</v>
      </c>
      <c r="O136" s="6" t="s">
        <v>435</v>
      </c>
      <c r="P136" s="6" t="s">
        <v>436</v>
      </c>
      <c r="Q136" s="5" t="s">
        <v>31</v>
      </c>
      <c r="R136" s="5" t="s">
        <v>32</v>
      </c>
      <c r="S136" s="5" t="s">
        <v>49</v>
      </c>
      <c r="T136" s="6">
        <v>9</v>
      </c>
      <c r="U136" s="6">
        <v>8</v>
      </c>
      <c r="V136" s="5" t="s">
        <v>34</v>
      </c>
      <c r="W136" s="8"/>
      <c r="Y136">
        <f t="shared" si="5"/>
        <v>112.5</v>
      </c>
    </row>
    <row r="137" spans="1:25" ht="15.75" customHeight="1">
      <c r="A137" s="5" t="s">
        <v>437</v>
      </c>
      <c r="B137" s="6">
        <v>14</v>
      </c>
      <c r="C137" s="5" t="s">
        <v>82</v>
      </c>
      <c r="D137" s="7">
        <v>45025</v>
      </c>
      <c r="E137" s="7"/>
      <c r="F137" s="6" t="s">
        <v>438</v>
      </c>
      <c r="G137" s="6">
        <v>13</v>
      </c>
      <c r="H137" s="5" t="s">
        <v>73</v>
      </c>
      <c r="I137" s="6">
        <v>3</v>
      </c>
      <c r="J137" s="5" t="s">
        <v>39</v>
      </c>
      <c r="K137" s="6">
        <v>36385</v>
      </c>
      <c r="L137" s="5" t="s">
        <v>80</v>
      </c>
      <c r="M137" s="5" t="s">
        <v>27</v>
      </c>
      <c r="N137" s="5" t="s">
        <v>28</v>
      </c>
      <c r="O137" s="6" t="s">
        <v>100</v>
      </c>
      <c r="P137" s="6" t="s">
        <v>439</v>
      </c>
      <c r="Q137" s="5" t="s">
        <v>69</v>
      </c>
      <c r="R137" s="5" t="s">
        <v>32</v>
      </c>
      <c r="S137" s="5" t="s">
        <v>53</v>
      </c>
      <c r="T137" s="6">
        <v>8</v>
      </c>
      <c r="U137" s="6">
        <v>8</v>
      </c>
      <c r="V137" s="5" t="s">
        <v>54</v>
      </c>
      <c r="W137" s="8"/>
      <c r="Y137">
        <f t="shared" si="5"/>
        <v>100</v>
      </c>
    </row>
    <row r="138" spans="1:25" ht="15.75" customHeight="1">
      <c r="A138" s="5" t="s">
        <v>440</v>
      </c>
      <c r="B138" s="6">
        <v>27</v>
      </c>
      <c r="C138" s="5" t="s">
        <v>62</v>
      </c>
      <c r="D138" s="6" t="s">
        <v>178</v>
      </c>
      <c r="E138" s="6"/>
      <c r="F138" s="7">
        <v>45081</v>
      </c>
      <c r="G138" s="6">
        <v>15</v>
      </c>
      <c r="H138" s="5" t="s">
        <v>58</v>
      </c>
      <c r="I138" s="6">
        <v>4</v>
      </c>
      <c r="J138" s="5" t="s">
        <v>89</v>
      </c>
      <c r="K138" s="6">
        <v>9663</v>
      </c>
      <c r="L138" s="5" t="s">
        <v>80</v>
      </c>
      <c r="M138" s="5" t="s">
        <v>66</v>
      </c>
      <c r="N138" s="5" t="s">
        <v>28</v>
      </c>
      <c r="O138" s="6" t="s">
        <v>180</v>
      </c>
      <c r="P138" s="6" t="s">
        <v>441</v>
      </c>
      <c r="Q138" s="5" t="s">
        <v>86</v>
      </c>
      <c r="R138" s="5" t="s">
        <v>32</v>
      </c>
      <c r="S138" s="5" t="s">
        <v>53</v>
      </c>
      <c r="T138" s="6">
        <v>7</v>
      </c>
      <c r="U138" s="6">
        <v>12</v>
      </c>
      <c r="V138" s="5" t="s">
        <v>34</v>
      </c>
      <c r="W138" s="8"/>
      <c r="Y138">
        <f t="shared" si="5"/>
        <v>58.333333333333336</v>
      </c>
    </row>
    <row r="139" spans="1:25" ht="15.75" customHeight="1">
      <c r="A139" s="5" t="s">
        <v>442</v>
      </c>
      <c r="B139" s="6">
        <v>9</v>
      </c>
      <c r="C139" s="5" t="s">
        <v>47</v>
      </c>
      <c r="D139" s="6" t="s">
        <v>77</v>
      </c>
      <c r="E139" s="6"/>
      <c r="F139" s="7">
        <v>45264</v>
      </c>
      <c r="G139" s="6">
        <v>14</v>
      </c>
      <c r="H139" s="5" t="s">
        <v>38</v>
      </c>
      <c r="I139" s="6">
        <v>3</v>
      </c>
      <c r="J139" s="5" t="s">
        <v>25</v>
      </c>
      <c r="K139" s="6">
        <v>43677</v>
      </c>
      <c r="L139" s="5" t="s">
        <v>40</v>
      </c>
      <c r="M139" s="5" t="s">
        <v>27</v>
      </c>
      <c r="N139" s="5" t="s">
        <v>28</v>
      </c>
      <c r="O139" s="6" t="s">
        <v>443</v>
      </c>
      <c r="P139" s="6" t="s">
        <v>444</v>
      </c>
      <c r="Q139" s="5" t="s">
        <v>86</v>
      </c>
      <c r="R139" s="5" t="s">
        <v>32</v>
      </c>
      <c r="S139" s="5" t="s">
        <v>33</v>
      </c>
      <c r="T139" s="6">
        <v>9</v>
      </c>
      <c r="U139" s="6">
        <v>8</v>
      </c>
      <c r="V139" s="5" t="s">
        <v>92</v>
      </c>
      <c r="W139" s="8"/>
      <c r="Y139">
        <f t="shared" si="5"/>
        <v>112.5</v>
      </c>
    </row>
    <row r="140" spans="1:25" ht="15.75" customHeight="1">
      <c r="A140" s="5" t="s">
        <v>445</v>
      </c>
      <c r="B140" s="6">
        <v>79</v>
      </c>
      <c r="C140" s="5" t="s">
        <v>47</v>
      </c>
      <c r="D140" s="7">
        <v>45631</v>
      </c>
      <c r="E140" s="7"/>
      <c r="F140" s="6" t="s">
        <v>332</v>
      </c>
      <c r="G140" s="6">
        <v>11</v>
      </c>
      <c r="H140" s="5" t="s">
        <v>38</v>
      </c>
      <c r="I140" s="6">
        <v>2</v>
      </c>
      <c r="J140" s="5" t="s">
        <v>25</v>
      </c>
      <c r="K140" s="6">
        <v>17818</v>
      </c>
      <c r="L140" s="5" t="s">
        <v>40</v>
      </c>
      <c r="M140" s="5" t="s">
        <v>66</v>
      </c>
      <c r="N140" s="5" t="s">
        <v>28</v>
      </c>
      <c r="O140" s="7">
        <v>45509</v>
      </c>
      <c r="P140" s="7">
        <v>45509.041666666664</v>
      </c>
      <c r="Q140" s="5" t="s">
        <v>48</v>
      </c>
      <c r="R140" s="5" t="s">
        <v>32</v>
      </c>
      <c r="S140" s="5" t="s">
        <v>49</v>
      </c>
      <c r="T140" s="6">
        <v>9</v>
      </c>
      <c r="U140" s="6">
        <v>10</v>
      </c>
      <c r="V140" s="5" t="s">
        <v>34</v>
      </c>
      <c r="W140" s="8"/>
      <c r="Y140">
        <f t="shared" si="5"/>
        <v>90</v>
      </c>
    </row>
    <row r="141" spans="1:25" ht="15.75" customHeight="1">
      <c r="A141" s="5" t="s">
        <v>446</v>
      </c>
      <c r="B141" s="6">
        <v>15</v>
      </c>
      <c r="C141" s="5" t="s">
        <v>62</v>
      </c>
      <c r="D141" s="7">
        <v>45263</v>
      </c>
      <c r="E141" s="7"/>
      <c r="F141" s="6" t="s">
        <v>180</v>
      </c>
      <c r="G141" s="6">
        <v>9</v>
      </c>
      <c r="H141" s="5" t="s">
        <v>24</v>
      </c>
      <c r="I141" s="6">
        <v>2</v>
      </c>
      <c r="J141" s="5" t="s">
        <v>89</v>
      </c>
      <c r="K141" s="6">
        <v>27686</v>
      </c>
      <c r="L141" s="5" t="s">
        <v>90</v>
      </c>
      <c r="M141" s="5" t="s">
        <v>66</v>
      </c>
      <c r="N141" s="5" t="s">
        <v>47</v>
      </c>
      <c r="O141" s="7">
        <v>45233</v>
      </c>
      <c r="P141" s="7">
        <v>45263.083333333336</v>
      </c>
      <c r="Q141" s="5" t="s">
        <v>86</v>
      </c>
      <c r="R141" s="5" t="s">
        <v>32</v>
      </c>
      <c r="S141" s="5" t="s">
        <v>49</v>
      </c>
      <c r="T141" s="6">
        <v>9</v>
      </c>
      <c r="U141" s="6">
        <v>12</v>
      </c>
      <c r="V141" s="5" t="s">
        <v>34</v>
      </c>
      <c r="W141" s="8"/>
      <c r="Y141">
        <f t="shared" si="5"/>
        <v>75</v>
      </c>
    </row>
    <row r="142" spans="1:25" ht="15.75" customHeight="1">
      <c r="A142" s="5" t="s">
        <v>447</v>
      </c>
      <c r="B142" s="6">
        <v>42</v>
      </c>
      <c r="C142" s="5" t="s">
        <v>36</v>
      </c>
      <c r="D142" s="7">
        <v>45174</v>
      </c>
      <c r="E142" s="7"/>
      <c r="F142" s="6" t="s">
        <v>448</v>
      </c>
      <c r="G142" s="6">
        <v>5</v>
      </c>
      <c r="H142" s="5" t="s">
        <v>58</v>
      </c>
      <c r="I142" s="6">
        <v>5</v>
      </c>
      <c r="J142" s="5" t="s">
        <v>39</v>
      </c>
      <c r="K142" s="6">
        <v>28977</v>
      </c>
      <c r="L142" s="5" t="s">
        <v>90</v>
      </c>
      <c r="M142" s="5" t="s">
        <v>66</v>
      </c>
      <c r="N142" s="5" t="s">
        <v>28</v>
      </c>
      <c r="O142" s="7">
        <v>45143</v>
      </c>
      <c r="P142" s="7">
        <v>45143.916666666664</v>
      </c>
      <c r="Q142" s="5" t="s">
        <v>48</v>
      </c>
      <c r="R142" s="5" t="s">
        <v>32</v>
      </c>
      <c r="S142" s="5" t="s">
        <v>49</v>
      </c>
      <c r="T142" s="6">
        <v>11</v>
      </c>
      <c r="U142" s="6">
        <v>10</v>
      </c>
      <c r="V142" s="5" t="s">
        <v>54</v>
      </c>
      <c r="W142" s="8"/>
      <c r="Y142">
        <f t="shared" si="5"/>
        <v>110.00000000000001</v>
      </c>
    </row>
    <row r="143" spans="1:25" ht="15.75" customHeight="1">
      <c r="A143" s="5" t="s">
        <v>449</v>
      </c>
      <c r="B143" s="6">
        <v>77</v>
      </c>
      <c r="C143" s="5" t="s">
        <v>62</v>
      </c>
      <c r="D143" s="7">
        <v>45265</v>
      </c>
      <c r="E143" s="7"/>
      <c r="F143" s="6" t="s">
        <v>450</v>
      </c>
      <c r="G143" s="6">
        <v>8</v>
      </c>
      <c r="H143" s="5" t="s">
        <v>24</v>
      </c>
      <c r="I143" s="6">
        <v>2</v>
      </c>
      <c r="J143" s="5" t="s">
        <v>39</v>
      </c>
      <c r="K143" s="6">
        <v>45931</v>
      </c>
      <c r="L143" s="5" t="s">
        <v>65</v>
      </c>
      <c r="M143" s="5" t="s">
        <v>66</v>
      </c>
      <c r="N143" s="5" t="s">
        <v>28</v>
      </c>
      <c r="O143" s="7">
        <v>45112</v>
      </c>
      <c r="P143" s="7">
        <v>45143.666666666664</v>
      </c>
      <c r="Q143" s="5" t="s">
        <v>69</v>
      </c>
      <c r="R143" s="5" t="s">
        <v>32</v>
      </c>
      <c r="S143" s="5" t="s">
        <v>53</v>
      </c>
      <c r="T143" s="6">
        <v>7</v>
      </c>
      <c r="U143" s="6">
        <v>10</v>
      </c>
      <c r="V143" s="5" t="s">
        <v>54</v>
      </c>
      <c r="W143" s="8"/>
      <c r="Y143">
        <f t="shared" si="5"/>
        <v>70</v>
      </c>
    </row>
    <row r="144" spans="1:25" ht="15.75" customHeight="1">
      <c r="A144" s="5" t="s">
        <v>451</v>
      </c>
      <c r="B144" s="6">
        <v>51</v>
      </c>
      <c r="C144" s="5" t="s">
        <v>51</v>
      </c>
      <c r="D144" s="7">
        <v>45296</v>
      </c>
      <c r="E144" s="7"/>
      <c r="F144" s="7">
        <v>45631</v>
      </c>
      <c r="G144" s="6">
        <v>11</v>
      </c>
      <c r="H144" s="5" t="s">
        <v>38</v>
      </c>
      <c r="I144" s="6">
        <v>3</v>
      </c>
      <c r="J144" s="5" t="s">
        <v>52</v>
      </c>
      <c r="K144" s="6">
        <v>23454</v>
      </c>
      <c r="L144" s="5" t="s">
        <v>80</v>
      </c>
      <c r="M144" s="5" t="s">
        <v>66</v>
      </c>
      <c r="N144" s="5" t="s">
        <v>47</v>
      </c>
      <c r="O144" s="6" t="s">
        <v>359</v>
      </c>
      <c r="P144" s="6" t="s">
        <v>452</v>
      </c>
      <c r="Q144" s="5" t="s">
        <v>86</v>
      </c>
      <c r="R144" s="5" t="s">
        <v>32</v>
      </c>
      <c r="S144" s="5" t="s">
        <v>49</v>
      </c>
      <c r="T144" s="6">
        <v>7</v>
      </c>
      <c r="U144" s="6">
        <v>12</v>
      </c>
      <c r="V144" s="5" t="s">
        <v>54</v>
      </c>
      <c r="W144" s="8"/>
      <c r="Y144">
        <f t="shared" si="5"/>
        <v>58.333333333333336</v>
      </c>
    </row>
    <row r="145" spans="1:25" ht="15.75" customHeight="1">
      <c r="A145" s="5" t="s">
        <v>453</v>
      </c>
      <c r="B145" s="6">
        <v>63</v>
      </c>
      <c r="C145" s="5" t="s">
        <v>22</v>
      </c>
      <c r="D145" s="6" t="s">
        <v>345</v>
      </c>
      <c r="E145" s="6"/>
      <c r="F145" s="6" t="s">
        <v>246</v>
      </c>
      <c r="G145" s="6">
        <v>1</v>
      </c>
      <c r="H145" s="5" t="s">
        <v>24</v>
      </c>
      <c r="I145" s="6">
        <v>2</v>
      </c>
      <c r="J145" s="5" t="s">
        <v>97</v>
      </c>
      <c r="K145" s="6">
        <v>18358</v>
      </c>
      <c r="L145" s="5" t="s">
        <v>80</v>
      </c>
      <c r="M145" s="5" t="s">
        <v>66</v>
      </c>
      <c r="N145" s="5" t="s">
        <v>47</v>
      </c>
      <c r="O145" s="6" t="s">
        <v>227</v>
      </c>
      <c r="P145" s="6" t="s">
        <v>454</v>
      </c>
      <c r="Q145" s="5" t="s">
        <v>69</v>
      </c>
      <c r="R145" s="5" t="s">
        <v>32</v>
      </c>
      <c r="S145" s="5" t="s">
        <v>53</v>
      </c>
      <c r="T145" s="6">
        <v>7</v>
      </c>
      <c r="U145" s="6">
        <v>8</v>
      </c>
      <c r="V145" s="5" t="s">
        <v>34</v>
      </c>
      <c r="W145" s="8"/>
      <c r="Y145">
        <f t="shared" si="5"/>
        <v>87.5</v>
      </c>
    </row>
    <row r="146" spans="1:25" ht="15.75" customHeight="1">
      <c r="A146" s="5" t="s">
        <v>455</v>
      </c>
      <c r="B146" s="6">
        <v>52</v>
      </c>
      <c r="C146" s="5" t="s">
        <v>36</v>
      </c>
      <c r="D146" s="6" t="s">
        <v>163</v>
      </c>
      <c r="E146" s="6"/>
      <c r="F146" s="6" t="s">
        <v>313</v>
      </c>
      <c r="G146" s="6">
        <v>1</v>
      </c>
      <c r="H146" s="5" t="s">
        <v>83</v>
      </c>
      <c r="I146" s="6">
        <v>4</v>
      </c>
      <c r="J146" s="5" t="s">
        <v>89</v>
      </c>
      <c r="K146" s="6">
        <v>11668</v>
      </c>
      <c r="L146" s="5" t="s">
        <v>40</v>
      </c>
      <c r="M146" s="5" t="s">
        <v>66</v>
      </c>
      <c r="N146" s="5" t="s">
        <v>28</v>
      </c>
      <c r="O146" s="6" t="s">
        <v>456</v>
      </c>
      <c r="P146" s="6" t="s">
        <v>457</v>
      </c>
      <c r="Q146" s="5" t="s">
        <v>86</v>
      </c>
      <c r="R146" s="5" t="s">
        <v>32</v>
      </c>
      <c r="S146" s="5" t="s">
        <v>49</v>
      </c>
      <c r="T146" s="6">
        <v>6</v>
      </c>
      <c r="U146" s="6">
        <v>10</v>
      </c>
      <c r="V146" s="5" t="s">
        <v>34</v>
      </c>
      <c r="W146" s="8"/>
      <c r="Y146">
        <f t="shared" si="5"/>
        <v>60</v>
      </c>
    </row>
    <row r="147" spans="1:25" ht="15.75" customHeight="1">
      <c r="A147" s="5" t="s">
        <v>458</v>
      </c>
      <c r="B147" s="6">
        <v>4</v>
      </c>
      <c r="C147" s="5" t="s">
        <v>82</v>
      </c>
      <c r="D147" s="6" t="s">
        <v>459</v>
      </c>
      <c r="E147" s="6"/>
      <c r="F147" s="7">
        <v>45329</v>
      </c>
      <c r="G147" s="6">
        <v>8</v>
      </c>
      <c r="H147" s="5" t="s">
        <v>24</v>
      </c>
      <c r="I147" s="6">
        <v>2</v>
      </c>
      <c r="J147" s="5" t="s">
        <v>89</v>
      </c>
      <c r="K147" s="6">
        <v>45769</v>
      </c>
      <c r="L147" s="5" t="s">
        <v>65</v>
      </c>
      <c r="M147" s="5" t="s">
        <v>27</v>
      </c>
      <c r="N147" s="5" t="s">
        <v>28</v>
      </c>
      <c r="O147" s="6" t="s">
        <v>460</v>
      </c>
      <c r="P147" s="6" t="s">
        <v>461</v>
      </c>
      <c r="Q147" s="5" t="s">
        <v>86</v>
      </c>
      <c r="R147" s="5" t="s">
        <v>32</v>
      </c>
      <c r="S147" s="5" t="s">
        <v>49</v>
      </c>
      <c r="T147" s="6">
        <v>9</v>
      </c>
      <c r="U147" s="6">
        <v>12</v>
      </c>
      <c r="V147" s="5" t="s">
        <v>92</v>
      </c>
      <c r="W147" s="8"/>
      <c r="Y147">
        <f t="shared" si="5"/>
        <v>75</v>
      </c>
    </row>
    <row r="148" spans="1:25" ht="15.75" customHeight="1">
      <c r="A148" s="5" t="s">
        <v>462</v>
      </c>
      <c r="B148" s="6">
        <v>23</v>
      </c>
      <c r="C148" s="5" t="s">
        <v>51</v>
      </c>
      <c r="D148" s="7">
        <v>45538</v>
      </c>
      <c r="E148" s="7"/>
      <c r="F148" s="6" t="s">
        <v>463</v>
      </c>
      <c r="G148" s="6">
        <v>14</v>
      </c>
      <c r="H148" s="5" t="s">
        <v>73</v>
      </c>
      <c r="I148" s="6">
        <v>5</v>
      </c>
      <c r="J148" s="5" t="s">
        <v>89</v>
      </c>
      <c r="K148" s="6">
        <v>14921</v>
      </c>
      <c r="L148" s="5" t="s">
        <v>80</v>
      </c>
      <c r="M148" s="5" t="s">
        <v>27</v>
      </c>
      <c r="N148" s="5" t="s">
        <v>28</v>
      </c>
      <c r="O148" s="7">
        <v>45415</v>
      </c>
      <c r="P148" s="7">
        <v>45446.166666666664</v>
      </c>
      <c r="Q148" s="5" t="s">
        <v>69</v>
      </c>
      <c r="R148" s="5" t="s">
        <v>32</v>
      </c>
      <c r="S148" s="5" t="s">
        <v>33</v>
      </c>
      <c r="T148" s="6">
        <v>6</v>
      </c>
      <c r="U148" s="6">
        <v>8</v>
      </c>
      <c r="V148" s="5" t="s">
        <v>34</v>
      </c>
      <c r="W148" s="8"/>
      <c r="Y148">
        <f t="shared" si="5"/>
        <v>75</v>
      </c>
    </row>
    <row r="149" spans="1:25" ht="15.75" customHeight="1">
      <c r="A149" s="5" t="s">
        <v>464</v>
      </c>
      <c r="B149" s="6">
        <v>15</v>
      </c>
      <c r="C149" s="5" t="s">
        <v>36</v>
      </c>
      <c r="D149" s="7">
        <v>45054</v>
      </c>
      <c r="E149" s="7"/>
      <c r="F149" s="7">
        <v>45268</v>
      </c>
      <c r="G149" s="6">
        <v>7</v>
      </c>
      <c r="H149" s="5" t="s">
        <v>24</v>
      </c>
      <c r="I149" s="6">
        <v>2</v>
      </c>
      <c r="J149" s="5" t="s">
        <v>39</v>
      </c>
      <c r="K149" s="6">
        <v>39959</v>
      </c>
      <c r="L149" s="5" t="s">
        <v>65</v>
      </c>
      <c r="M149" s="5" t="s">
        <v>27</v>
      </c>
      <c r="N149" s="5" t="s">
        <v>28</v>
      </c>
      <c r="O149" s="7">
        <v>45054</v>
      </c>
      <c r="P149" s="7">
        <v>45085.75</v>
      </c>
      <c r="Q149" s="5" t="s">
        <v>31</v>
      </c>
      <c r="R149" s="5" t="s">
        <v>32</v>
      </c>
      <c r="S149" s="5" t="s">
        <v>49</v>
      </c>
      <c r="T149" s="6">
        <v>5</v>
      </c>
      <c r="U149" s="6">
        <v>12</v>
      </c>
      <c r="V149" s="5" t="s">
        <v>92</v>
      </c>
      <c r="W149" s="8"/>
      <c r="Y149">
        <f t="shared" si="5"/>
        <v>41.666666666666671</v>
      </c>
    </row>
    <row r="150" spans="1:25" ht="15.75" customHeight="1">
      <c r="A150" s="5" t="s">
        <v>465</v>
      </c>
      <c r="B150" s="6">
        <v>43</v>
      </c>
      <c r="C150" s="5" t="s">
        <v>62</v>
      </c>
      <c r="D150" s="6" t="s">
        <v>466</v>
      </c>
      <c r="E150" s="6"/>
      <c r="F150" s="7">
        <v>44934</v>
      </c>
      <c r="G150" s="6">
        <v>7</v>
      </c>
      <c r="H150" s="5" t="s">
        <v>73</v>
      </c>
      <c r="I150" s="6">
        <v>3</v>
      </c>
      <c r="J150" s="5" t="s">
        <v>97</v>
      </c>
      <c r="K150" s="6">
        <v>37328</v>
      </c>
      <c r="L150" s="5" t="s">
        <v>65</v>
      </c>
      <c r="M150" s="5" t="s">
        <v>27</v>
      </c>
      <c r="N150" s="5" t="s">
        <v>47</v>
      </c>
      <c r="O150" s="6" t="s">
        <v>466</v>
      </c>
      <c r="P150" s="6" t="s">
        <v>467</v>
      </c>
      <c r="Q150" s="5" t="s">
        <v>31</v>
      </c>
      <c r="R150" s="5" t="s">
        <v>32</v>
      </c>
      <c r="S150" s="5" t="s">
        <v>33</v>
      </c>
      <c r="T150" s="6">
        <v>7</v>
      </c>
      <c r="U150" s="6">
        <v>12</v>
      </c>
      <c r="V150" s="5" t="s">
        <v>54</v>
      </c>
      <c r="W150" s="8"/>
      <c r="Y150">
        <f t="shared" si="5"/>
        <v>58.333333333333336</v>
      </c>
    </row>
    <row r="151" spans="1:25" ht="15.75" customHeight="1">
      <c r="A151" s="5" t="s">
        <v>468</v>
      </c>
      <c r="B151" s="6">
        <v>29</v>
      </c>
      <c r="C151" s="5" t="s">
        <v>62</v>
      </c>
      <c r="D151" s="6" t="s">
        <v>469</v>
      </c>
      <c r="E151" s="6"/>
      <c r="F151" s="6" t="s">
        <v>470</v>
      </c>
      <c r="G151" s="6">
        <v>11</v>
      </c>
      <c r="H151" s="5" t="s">
        <v>58</v>
      </c>
      <c r="I151" s="6">
        <v>3</v>
      </c>
      <c r="J151" s="5" t="s">
        <v>52</v>
      </c>
      <c r="K151" s="6">
        <v>13859</v>
      </c>
      <c r="L151" s="5" t="s">
        <v>40</v>
      </c>
      <c r="M151" s="5" t="s">
        <v>66</v>
      </c>
      <c r="N151" s="5" t="s">
        <v>28</v>
      </c>
      <c r="O151" s="6" t="s">
        <v>469</v>
      </c>
      <c r="P151" s="6" t="s">
        <v>471</v>
      </c>
      <c r="Q151" s="5" t="s">
        <v>31</v>
      </c>
      <c r="R151" s="5" t="s">
        <v>32</v>
      </c>
      <c r="S151" s="5" t="s">
        <v>33</v>
      </c>
      <c r="T151" s="6">
        <v>11</v>
      </c>
      <c r="U151" s="6">
        <v>12</v>
      </c>
      <c r="V151" s="5" t="s">
        <v>54</v>
      </c>
      <c r="W151" s="8"/>
      <c r="Y151">
        <f t="shared" si="5"/>
        <v>91.666666666666657</v>
      </c>
    </row>
    <row r="152" spans="1:25" ht="15.75" customHeight="1">
      <c r="A152" s="5" t="s">
        <v>472</v>
      </c>
      <c r="B152" s="6">
        <v>36</v>
      </c>
      <c r="C152" s="5" t="s">
        <v>62</v>
      </c>
      <c r="D152" s="6" t="s">
        <v>320</v>
      </c>
      <c r="E152" s="6"/>
      <c r="F152" s="6" t="s">
        <v>281</v>
      </c>
      <c r="G152" s="6">
        <v>2</v>
      </c>
      <c r="H152" s="5" t="s">
        <v>38</v>
      </c>
      <c r="I152" s="6">
        <v>2</v>
      </c>
      <c r="J152" s="5" t="s">
        <v>25</v>
      </c>
      <c r="K152" s="6">
        <v>28970</v>
      </c>
      <c r="L152" s="5" t="s">
        <v>65</v>
      </c>
      <c r="M152" s="5" t="s">
        <v>66</v>
      </c>
      <c r="N152" s="5" t="s">
        <v>28</v>
      </c>
      <c r="O152" s="6" t="s">
        <v>320</v>
      </c>
      <c r="P152" s="6" t="s">
        <v>473</v>
      </c>
      <c r="Q152" s="5" t="s">
        <v>31</v>
      </c>
      <c r="R152" s="5" t="s">
        <v>32</v>
      </c>
      <c r="S152" s="5" t="s">
        <v>53</v>
      </c>
      <c r="T152" s="6">
        <v>10</v>
      </c>
      <c r="U152" s="6">
        <v>8</v>
      </c>
      <c r="V152" s="5" t="s">
        <v>54</v>
      </c>
      <c r="W152" s="8"/>
      <c r="Y152">
        <f t="shared" si="5"/>
        <v>125</v>
      </c>
    </row>
    <row r="153" spans="1:25" ht="15.75" customHeight="1">
      <c r="A153" s="5" t="s">
        <v>474</v>
      </c>
      <c r="B153" s="6">
        <v>13</v>
      </c>
      <c r="C153" s="5" t="s">
        <v>62</v>
      </c>
      <c r="D153" s="6" t="s">
        <v>408</v>
      </c>
      <c r="E153" s="6"/>
      <c r="F153" s="6" t="s">
        <v>216</v>
      </c>
      <c r="G153" s="6">
        <v>8</v>
      </c>
      <c r="H153" s="5" t="s">
        <v>46</v>
      </c>
      <c r="I153" s="6">
        <v>3</v>
      </c>
      <c r="J153" s="5" t="s">
        <v>25</v>
      </c>
      <c r="K153" s="6">
        <v>13872</v>
      </c>
      <c r="L153" s="5" t="s">
        <v>90</v>
      </c>
      <c r="M153" s="5" t="s">
        <v>66</v>
      </c>
      <c r="N153" s="5" t="s">
        <v>28</v>
      </c>
      <c r="O153" s="6" t="s">
        <v>223</v>
      </c>
      <c r="P153" s="6" t="s">
        <v>475</v>
      </c>
      <c r="Q153" s="5" t="s">
        <v>86</v>
      </c>
      <c r="R153" s="5" t="s">
        <v>32</v>
      </c>
      <c r="S153" s="5" t="s">
        <v>49</v>
      </c>
      <c r="T153" s="6">
        <v>8</v>
      </c>
      <c r="U153" s="6">
        <v>10</v>
      </c>
      <c r="V153" s="5" t="s">
        <v>92</v>
      </c>
      <c r="W153" s="8"/>
      <c r="Y153">
        <f t="shared" si="5"/>
        <v>80</v>
      </c>
    </row>
    <row r="154" spans="1:25" ht="15.75" customHeight="1">
      <c r="A154" s="5" t="s">
        <v>476</v>
      </c>
      <c r="B154" s="6">
        <v>32</v>
      </c>
      <c r="C154" s="5" t="s">
        <v>82</v>
      </c>
      <c r="D154" s="6" t="s">
        <v>477</v>
      </c>
      <c r="E154" s="6"/>
      <c r="F154" s="7">
        <v>45416</v>
      </c>
      <c r="G154" s="6">
        <v>12</v>
      </c>
      <c r="H154" s="5" t="s">
        <v>46</v>
      </c>
      <c r="I154" s="6">
        <v>3</v>
      </c>
      <c r="J154" s="5" t="s">
        <v>89</v>
      </c>
      <c r="K154" s="6">
        <v>24230</v>
      </c>
      <c r="L154" s="5" t="s">
        <v>90</v>
      </c>
      <c r="M154" s="5" t="s">
        <v>27</v>
      </c>
      <c r="N154" s="5" t="s">
        <v>28</v>
      </c>
      <c r="O154" s="6" t="s">
        <v>133</v>
      </c>
      <c r="P154" s="6" t="s">
        <v>478</v>
      </c>
      <c r="Q154" s="5" t="s">
        <v>43</v>
      </c>
      <c r="R154" s="5" t="s">
        <v>32</v>
      </c>
      <c r="S154" s="5" t="s">
        <v>49</v>
      </c>
      <c r="T154" s="6">
        <v>11</v>
      </c>
      <c r="U154" s="6">
        <v>10</v>
      </c>
      <c r="V154" s="5" t="s">
        <v>34</v>
      </c>
      <c r="W154" s="8"/>
      <c r="Y154">
        <f t="shared" si="5"/>
        <v>110.00000000000001</v>
      </c>
    </row>
    <row r="155" spans="1:25" ht="15.75" customHeight="1">
      <c r="A155" s="5" t="s">
        <v>479</v>
      </c>
      <c r="B155" s="6">
        <v>71</v>
      </c>
      <c r="C155" s="5" t="s">
        <v>51</v>
      </c>
      <c r="D155" s="6" t="s">
        <v>480</v>
      </c>
      <c r="E155" s="6"/>
      <c r="F155" s="6" t="s">
        <v>481</v>
      </c>
      <c r="G155" s="6">
        <v>15</v>
      </c>
      <c r="H155" s="5" t="s">
        <v>38</v>
      </c>
      <c r="I155" s="6">
        <v>5</v>
      </c>
      <c r="J155" s="5" t="s">
        <v>97</v>
      </c>
      <c r="K155" s="6">
        <v>31708</v>
      </c>
      <c r="L155" s="5" t="s">
        <v>26</v>
      </c>
      <c r="M155" s="5" t="s">
        <v>27</v>
      </c>
      <c r="N155" s="5" t="s">
        <v>28</v>
      </c>
      <c r="O155" s="7">
        <v>45602</v>
      </c>
      <c r="P155" s="7">
        <v>45632.875</v>
      </c>
      <c r="Q155" s="5" t="s">
        <v>69</v>
      </c>
      <c r="R155" s="5" t="s">
        <v>44</v>
      </c>
      <c r="S155" s="5" t="s">
        <v>49</v>
      </c>
      <c r="T155" s="6">
        <v>4</v>
      </c>
      <c r="U155" s="6">
        <v>12</v>
      </c>
      <c r="V155" s="5" t="s">
        <v>54</v>
      </c>
      <c r="W155" s="8"/>
      <c r="Y155">
        <f t="shared" si="5"/>
        <v>33.333333333333329</v>
      </c>
    </row>
    <row r="156" spans="1:25" ht="15.75" customHeight="1">
      <c r="A156" s="5" t="s">
        <v>482</v>
      </c>
      <c r="B156" s="6">
        <v>59</v>
      </c>
      <c r="C156" s="5" t="s">
        <v>47</v>
      </c>
      <c r="D156" s="7">
        <v>45477</v>
      </c>
      <c r="E156" s="7"/>
      <c r="F156" s="6" t="s">
        <v>170</v>
      </c>
      <c r="G156" s="6">
        <v>8</v>
      </c>
      <c r="H156" s="5" t="s">
        <v>46</v>
      </c>
      <c r="I156" s="6">
        <v>4</v>
      </c>
      <c r="J156" s="5" t="s">
        <v>39</v>
      </c>
      <c r="K156" s="6">
        <v>23847</v>
      </c>
      <c r="L156" s="5" t="s">
        <v>40</v>
      </c>
      <c r="M156" s="5" t="s">
        <v>66</v>
      </c>
      <c r="N156" s="5" t="s">
        <v>28</v>
      </c>
      <c r="O156" s="7">
        <v>45326</v>
      </c>
      <c r="P156" s="7">
        <v>45326.541666666664</v>
      </c>
      <c r="Q156" s="5" t="s">
        <v>43</v>
      </c>
      <c r="R156" s="5" t="s">
        <v>32</v>
      </c>
      <c r="S156" s="5" t="s">
        <v>33</v>
      </c>
      <c r="T156" s="6">
        <v>5</v>
      </c>
      <c r="U156" s="6">
        <v>12</v>
      </c>
      <c r="V156" s="5" t="s">
        <v>34</v>
      </c>
      <c r="W156" s="8"/>
      <c r="Y156">
        <f t="shared" si="5"/>
        <v>41.666666666666671</v>
      </c>
    </row>
    <row r="157" spans="1:25" ht="15.75" customHeight="1">
      <c r="A157" s="5" t="s">
        <v>483</v>
      </c>
      <c r="B157" s="6">
        <v>86</v>
      </c>
      <c r="C157" s="5" t="s">
        <v>22</v>
      </c>
      <c r="D157" s="7">
        <v>45021</v>
      </c>
      <c r="E157" s="7"/>
      <c r="F157" s="7">
        <v>45082</v>
      </c>
      <c r="G157" s="6">
        <v>2</v>
      </c>
      <c r="H157" s="5" t="s">
        <v>24</v>
      </c>
      <c r="I157" s="6">
        <v>5</v>
      </c>
      <c r="J157" s="5" t="s">
        <v>97</v>
      </c>
      <c r="K157" s="6">
        <v>32105</v>
      </c>
      <c r="L157" s="5" t="s">
        <v>26</v>
      </c>
      <c r="M157" s="5" t="s">
        <v>66</v>
      </c>
      <c r="N157" s="5" t="s">
        <v>28</v>
      </c>
      <c r="O157" s="7">
        <v>44990</v>
      </c>
      <c r="P157" s="7">
        <v>45021.291666666664</v>
      </c>
      <c r="Q157" s="5" t="s">
        <v>43</v>
      </c>
      <c r="R157" s="5" t="s">
        <v>32</v>
      </c>
      <c r="S157" s="5" t="s">
        <v>49</v>
      </c>
      <c r="T157" s="6">
        <v>10</v>
      </c>
      <c r="U157" s="6">
        <v>8</v>
      </c>
      <c r="V157" s="5" t="s">
        <v>34</v>
      </c>
      <c r="W157" s="8"/>
      <c r="Y157">
        <f t="shared" si="5"/>
        <v>125</v>
      </c>
    </row>
    <row r="158" spans="1:25" ht="15.75" customHeight="1">
      <c r="A158" s="5" t="s">
        <v>484</v>
      </c>
      <c r="B158" s="6">
        <v>28</v>
      </c>
      <c r="C158" s="5" t="s">
        <v>82</v>
      </c>
      <c r="D158" s="7">
        <v>45239</v>
      </c>
      <c r="E158" s="7"/>
      <c r="F158" s="6" t="s">
        <v>164</v>
      </c>
      <c r="G158" s="6">
        <v>15</v>
      </c>
      <c r="H158" s="5" t="s">
        <v>58</v>
      </c>
      <c r="I158" s="6">
        <v>1</v>
      </c>
      <c r="J158" s="5" t="s">
        <v>97</v>
      </c>
      <c r="K158" s="6">
        <v>9922</v>
      </c>
      <c r="L158" s="5" t="s">
        <v>90</v>
      </c>
      <c r="M158" s="5" t="s">
        <v>66</v>
      </c>
      <c r="N158" s="5" t="s">
        <v>47</v>
      </c>
      <c r="O158" s="7">
        <v>45116</v>
      </c>
      <c r="P158" s="7">
        <v>45116.875</v>
      </c>
      <c r="Q158" s="5" t="s">
        <v>48</v>
      </c>
      <c r="R158" s="5" t="s">
        <v>32</v>
      </c>
      <c r="S158" s="5" t="s">
        <v>53</v>
      </c>
      <c r="T158" s="6">
        <v>4</v>
      </c>
      <c r="U158" s="6">
        <v>12</v>
      </c>
      <c r="V158" s="5" t="s">
        <v>54</v>
      </c>
      <c r="W158" s="8"/>
      <c r="Y158">
        <f t="shared" si="5"/>
        <v>33.333333333333329</v>
      </c>
    </row>
    <row r="159" spans="1:25" ht="15.75" customHeight="1">
      <c r="A159" s="5" t="s">
        <v>485</v>
      </c>
      <c r="B159" s="6">
        <v>66</v>
      </c>
      <c r="C159" s="5" t="s">
        <v>82</v>
      </c>
      <c r="D159" s="6" t="s">
        <v>486</v>
      </c>
      <c r="E159" s="6"/>
      <c r="F159" s="6" t="s">
        <v>96</v>
      </c>
      <c r="G159" s="6">
        <v>2</v>
      </c>
      <c r="H159" s="5" t="s">
        <v>58</v>
      </c>
      <c r="I159" s="6">
        <v>5</v>
      </c>
      <c r="J159" s="5" t="s">
        <v>39</v>
      </c>
      <c r="K159" s="6">
        <v>9392</v>
      </c>
      <c r="L159" s="5" t="s">
        <v>26</v>
      </c>
      <c r="M159" s="5" t="s">
        <v>27</v>
      </c>
      <c r="N159" s="5" t="s">
        <v>28</v>
      </c>
      <c r="O159" s="6" t="s">
        <v>59</v>
      </c>
      <c r="P159" s="6" t="s">
        <v>487</v>
      </c>
      <c r="Q159" s="5" t="s">
        <v>31</v>
      </c>
      <c r="R159" s="5" t="s">
        <v>32</v>
      </c>
      <c r="S159" s="5" t="s">
        <v>53</v>
      </c>
      <c r="T159" s="6">
        <v>4</v>
      </c>
      <c r="U159" s="6">
        <v>12</v>
      </c>
      <c r="V159" s="5" t="s">
        <v>92</v>
      </c>
      <c r="W159" s="8"/>
      <c r="Y159">
        <f t="shared" si="5"/>
        <v>33.333333333333329</v>
      </c>
    </row>
    <row r="160" spans="1:25" ht="15.75" customHeight="1">
      <c r="A160" s="5" t="s">
        <v>488</v>
      </c>
      <c r="B160" s="6">
        <v>42</v>
      </c>
      <c r="C160" s="5" t="s">
        <v>47</v>
      </c>
      <c r="D160" s="7">
        <v>45110</v>
      </c>
      <c r="E160" s="7"/>
      <c r="F160" s="6" t="s">
        <v>192</v>
      </c>
      <c r="G160" s="6">
        <v>6</v>
      </c>
      <c r="H160" s="5" t="s">
        <v>38</v>
      </c>
      <c r="I160" s="6">
        <v>2</v>
      </c>
      <c r="J160" s="5" t="s">
        <v>89</v>
      </c>
      <c r="K160" s="6">
        <v>18541</v>
      </c>
      <c r="L160" s="5" t="s">
        <v>40</v>
      </c>
      <c r="M160" s="5" t="s">
        <v>66</v>
      </c>
      <c r="N160" s="5" t="s">
        <v>28</v>
      </c>
      <c r="O160" s="7">
        <v>44988</v>
      </c>
      <c r="P160" s="7">
        <v>45019.083333333336</v>
      </c>
      <c r="Q160" s="5" t="s">
        <v>86</v>
      </c>
      <c r="R160" s="5" t="s">
        <v>32</v>
      </c>
      <c r="S160" s="5" t="s">
        <v>49</v>
      </c>
      <c r="T160" s="6">
        <v>7</v>
      </c>
      <c r="U160" s="6">
        <v>12</v>
      </c>
      <c r="V160" s="5" t="s">
        <v>34</v>
      </c>
      <c r="W160" s="8"/>
      <c r="Y160">
        <f t="shared" si="5"/>
        <v>58.333333333333336</v>
      </c>
    </row>
    <row r="161" spans="1:25" ht="15.75" customHeight="1">
      <c r="A161" s="5" t="s">
        <v>489</v>
      </c>
      <c r="B161" s="6">
        <v>45</v>
      </c>
      <c r="C161" s="5" t="s">
        <v>47</v>
      </c>
      <c r="D161" s="6" t="s">
        <v>490</v>
      </c>
      <c r="E161" s="6"/>
      <c r="F161" s="6" t="s">
        <v>491</v>
      </c>
      <c r="G161" s="6">
        <v>10</v>
      </c>
      <c r="H161" s="5" t="s">
        <v>46</v>
      </c>
      <c r="I161" s="6">
        <v>4</v>
      </c>
      <c r="J161" s="5" t="s">
        <v>97</v>
      </c>
      <c r="K161" s="6">
        <v>24551</v>
      </c>
      <c r="L161" s="5" t="s">
        <v>40</v>
      </c>
      <c r="M161" s="5" t="s">
        <v>66</v>
      </c>
      <c r="N161" s="5" t="s">
        <v>28</v>
      </c>
      <c r="O161" s="7">
        <v>45150</v>
      </c>
      <c r="P161" s="7">
        <v>45150.875</v>
      </c>
      <c r="Q161" s="5" t="s">
        <v>31</v>
      </c>
      <c r="R161" s="5" t="s">
        <v>32</v>
      </c>
      <c r="S161" s="5" t="s">
        <v>33</v>
      </c>
      <c r="T161" s="6">
        <v>8</v>
      </c>
      <c r="U161" s="6">
        <v>10</v>
      </c>
      <c r="V161" s="5" t="s">
        <v>54</v>
      </c>
      <c r="W161" s="8"/>
      <c r="Y161">
        <f t="shared" si="5"/>
        <v>80</v>
      </c>
    </row>
    <row r="162" spans="1:25" ht="15.75" customHeight="1">
      <c r="A162" s="5" t="s">
        <v>492</v>
      </c>
      <c r="B162" s="6">
        <v>62</v>
      </c>
      <c r="C162" s="5" t="s">
        <v>22</v>
      </c>
      <c r="D162" s="6" t="s">
        <v>41</v>
      </c>
      <c r="E162" s="6"/>
      <c r="F162" s="6" t="s">
        <v>108</v>
      </c>
      <c r="G162" s="6">
        <v>3</v>
      </c>
      <c r="H162" s="5" t="s">
        <v>24</v>
      </c>
      <c r="I162" s="6">
        <v>2</v>
      </c>
      <c r="J162" s="5" t="s">
        <v>25</v>
      </c>
      <c r="K162" s="6">
        <v>24381</v>
      </c>
      <c r="L162" s="5" t="s">
        <v>65</v>
      </c>
      <c r="M162" s="5" t="s">
        <v>66</v>
      </c>
      <c r="N162" s="5" t="s">
        <v>47</v>
      </c>
      <c r="O162" s="6" t="s">
        <v>41</v>
      </c>
      <c r="P162" s="6" t="s">
        <v>493</v>
      </c>
      <c r="Q162" s="5" t="s">
        <v>31</v>
      </c>
      <c r="R162" s="5" t="s">
        <v>32</v>
      </c>
      <c r="S162" s="5" t="s">
        <v>53</v>
      </c>
      <c r="T162" s="6">
        <v>4</v>
      </c>
      <c r="U162" s="6">
        <v>12</v>
      </c>
      <c r="V162" s="5" t="s">
        <v>34</v>
      </c>
      <c r="W162" s="8"/>
      <c r="Y162">
        <f t="shared" si="5"/>
        <v>33.333333333333329</v>
      </c>
    </row>
    <row r="163" spans="1:25" ht="15.75" customHeight="1">
      <c r="A163" s="5" t="s">
        <v>494</v>
      </c>
      <c r="B163" s="6">
        <v>57</v>
      </c>
      <c r="C163" s="5" t="s">
        <v>22</v>
      </c>
      <c r="D163" s="6" t="s">
        <v>495</v>
      </c>
      <c r="E163" s="6"/>
      <c r="F163" s="6" t="s">
        <v>121</v>
      </c>
      <c r="G163" s="6">
        <v>2</v>
      </c>
      <c r="H163" s="5" t="s">
        <v>58</v>
      </c>
      <c r="I163" s="6">
        <v>1</v>
      </c>
      <c r="J163" s="5" t="s">
        <v>39</v>
      </c>
      <c r="K163" s="6">
        <v>40995</v>
      </c>
      <c r="L163" s="5" t="s">
        <v>80</v>
      </c>
      <c r="M163" s="5" t="s">
        <v>27</v>
      </c>
      <c r="N163" s="5" t="s">
        <v>28</v>
      </c>
      <c r="O163" s="6" t="s">
        <v>96</v>
      </c>
      <c r="P163" s="6" t="s">
        <v>101</v>
      </c>
      <c r="Q163" s="5" t="s">
        <v>43</v>
      </c>
      <c r="R163" s="5" t="s">
        <v>32</v>
      </c>
      <c r="S163" s="5" t="s">
        <v>53</v>
      </c>
      <c r="T163" s="6">
        <v>9</v>
      </c>
      <c r="U163" s="6">
        <v>10</v>
      </c>
      <c r="V163" s="5" t="s">
        <v>34</v>
      </c>
      <c r="W163" s="8"/>
      <c r="Y163">
        <f t="shared" si="5"/>
        <v>90</v>
      </c>
    </row>
    <row r="164" spans="1:25" ht="15.75" customHeight="1">
      <c r="A164" s="5" t="s">
        <v>496</v>
      </c>
      <c r="B164" s="6">
        <v>6</v>
      </c>
      <c r="C164" s="5" t="s">
        <v>47</v>
      </c>
      <c r="D164" s="6" t="s">
        <v>120</v>
      </c>
      <c r="E164" s="6"/>
      <c r="F164" s="6" t="s">
        <v>56</v>
      </c>
      <c r="G164" s="6">
        <v>3</v>
      </c>
      <c r="H164" s="5" t="s">
        <v>58</v>
      </c>
      <c r="I164" s="6">
        <v>4</v>
      </c>
      <c r="J164" s="5" t="s">
        <v>52</v>
      </c>
      <c r="K164" s="6">
        <v>27948</v>
      </c>
      <c r="L164" s="5" t="s">
        <v>65</v>
      </c>
      <c r="M164" s="5" t="s">
        <v>27</v>
      </c>
      <c r="N164" s="5" t="s">
        <v>47</v>
      </c>
      <c r="O164" s="7">
        <v>45177</v>
      </c>
      <c r="P164" s="7">
        <v>45207.875</v>
      </c>
      <c r="Q164" s="5" t="s">
        <v>48</v>
      </c>
      <c r="R164" s="5" t="s">
        <v>32</v>
      </c>
      <c r="S164" s="5" t="s">
        <v>33</v>
      </c>
      <c r="T164" s="6">
        <v>10</v>
      </c>
      <c r="U164" s="6">
        <v>8</v>
      </c>
      <c r="V164" s="5" t="s">
        <v>34</v>
      </c>
      <c r="W164" s="8"/>
      <c r="Y164">
        <f t="shared" si="5"/>
        <v>125</v>
      </c>
    </row>
    <row r="165" spans="1:25" ht="15.75" customHeight="1">
      <c r="A165" s="5" t="s">
        <v>497</v>
      </c>
      <c r="B165" s="6">
        <v>28</v>
      </c>
      <c r="C165" s="5" t="s">
        <v>62</v>
      </c>
      <c r="D165" s="7">
        <v>45139</v>
      </c>
      <c r="E165" s="7"/>
      <c r="F165" s="6" t="s">
        <v>498</v>
      </c>
      <c r="G165" s="6">
        <v>5</v>
      </c>
      <c r="H165" s="5" t="s">
        <v>83</v>
      </c>
      <c r="I165" s="6">
        <v>3</v>
      </c>
      <c r="J165" s="5" t="s">
        <v>89</v>
      </c>
      <c r="K165" s="6">
        <v>31728</v>
      </c>
      <c r="L165" s="5" t="s">
        <v>40</v>
      </c>
      <c r="M165" s="5" t="s">
        <v>66</v>
      </c>
      <c r="N165" s="5" t="s">
        <v>28</v>
      </c>
      <c r="O165" s="7">
        <v>45017</v>
      </c>
      <c r="P165" s="7">
        <v>45047.708333333336</v>
      </c>
      <c r="Q165" s="5" t="s">
        <v>31</v>
      </c>
      <c r="R165" s="5" t="s">
        <v>32</v>
      </c>
      <c r="S165" s="5" t="s">
        <v>53</v>
      </c>
      <c r="T165" s="6">
        <v>11</v>
      </c>
      <c r="U165" s="6">
        <v>8</v>
      </c>
      <c r="V165" s="5" t="s">
        <v>34</v>
      </c>
      <c r="W165" s="8"/>
      <c r="Y165">
        <f t="shared" si="5"/>
        <v>137.5</v>
      </c>
    </row>
    <row r="166" spans="1:25" ht="15.75" customHeight="1">
      <c r="A166" s="5" t="s">
        <v>499</v>
      </c>
      <c r="B166" s="6">
        <v>28</v>
      </c>
      <c r="C166" s="5" t="s">
        <v>82</v>
      </c>
      <c r="D166" s="6" t="s">
        <v>500</v>
      </c>
      <c r="E166" s="6"/>
      <c r="F166" s="6" t="s">
        <v>501</v>
      </c>
      <c r="G166" s="6">
        <v>10</v>
      </c>
      <c r="H166" s="5" t="s">
        <v>83</v>
      </c>
      <c r="I166" s="6">
        <v>5</v>
      </c>
      <c r="J166" s="5" t="s">
        <v>39</v>
      </c>
      <c r="K166" s="6">
        <v>7024</v>
      </c>
      <c r="L166" s="5" t="s">
        <v>90</v>
      </c>
      <c r="M166" s="5" t="s">
        <v>27</v>
      </c>
      <c r="N166" s="5" t="s">
        <v>28</v>
      </c>
      <c r="O166" s="7">
        <v>45263</v>
      </c>
      <c r="P166" s="6" t="s">
        <v>502</v>
      </c>
      <c r="Q166" s="5" t="s">
        <v>69</v>
      </c>
      <c r="R166" s="5" t="s">
        <v>32</v>
      </c>
      <c r="S166" s="5" t="s">
        <v>33</v>
      </c>
      <c r="T166" s="6">
        <v>11</v>
      </c>
      <c r="U166" s="6">
        <v>10</v>
      </c>
      <c r="V166" s="5" t="s">
        <v>34</v>
      </c>
      <c r="W166" s="8"/>
      <c r="Y166">
        <f t="shared" si="5"/>
        <v>110.00000000000001</v>
      </c>
    </row>
    <row r="167" spans="1:25" ht="15.75" customHeight="1">
      <c r="A167" s="5" t="s">
        <v>503</v>
      </c>
      <c r="B167" s="6">
        <v>44</v>
      </c>
      <c r="C167" s="5" t="s">
        <v>36</v>
      </c>
      <c r="D167" s="7">
        <v>44960</v>
      </c>
      <c r="E167" s="7"/>
      <c r="F167" s="6" t="s">
        <v>192</v>
      </c>
      <c r="G167" s="6">
        <v>11</v>
      </c>
      <c r="H167" s="5" t="s">
        <v>58</v>
      </c>
      <c r="I167" s="6">
        <v>2</v>
      </c>
      <c r="J167" s="5" t="s">
        <v>52</v>
      </c>
      <c r="K167" s="6">
        <v>21713</v>
      </c>
      <c r="L167" s="5" t="s">
        <v>90</v>
      </c>
      <c r="M167" s="5" t="s">
        <v>66</v>
      </c>
      <c r="N167" s="5" t="s">
        <v>28</v>
      </c>
      <c r="O167" s="6" t="s">
        <v>435</v>
      </c>
      <c r="P167" s="6" t="s">
        <v>504</v>
      </c>
      <c r="Q167" s="5" t="s">
        <v>69</v>
      </c>
      <c r="R167" s="5" t="s">
        <v>32</v>
      </c>
      <c r="S167" s="5" t="s">
        <v>53</v>
      </c>
      <c r="T167" s="6">
        <v>4</v>
      </c>
      <c r="U167" s="6">
        <v>10</v>
      </c>
      <c r="V167" s="5" t="s">
        <v>92</v>
      </c>
      <c r="W167" s="8"/>
      <c r="Y167">
        <f t="shared" si="5"/>
        <v>40</v>
      </c>
    </row>
    <row r="168" spans="1:25" ht="15.75" customHeight="1">
      <c r="A168" s="5" t="s">
        <v>505</v>
      </c>
      <c r="B168" s="6">
        <v>84</v>
      </c>
      <c r="C168" s="5" t="s">
        <v>22</v>
      </c>
      <c r="D168" s="6" t="s">
        <v>101</v>
      </c>
      <c r="E168" s="6"/>
      <c r="F168" s="7">
        <v>44966</v>
      </c>
      <c r="G168" s="6">
        <v>10</v>
      </c>
      <c r="H168" s="5" t="s">
        <v>38</v>
      </c>
      <c r="I168" s="6">
        <v>1</v>
      </c>
      <c r="J168" s="5" t="s">
        <v>52</v>
      </c>
      <c r="K168" s="6">
        <v>7486</v>
      </c>
      <c r="L168" s="5" t="s">
        <v>65</v>
      </c>
      <c r="M168" s="5" t="s">
        <v>27</v>
      </c>
      <c r="N168" s="5" t="s">
        <v>47</v>
      </c>
      <c r="O168" s="6" t="s">
        <v>96</v>
      </c>
      <c r="P168" s="6" t="s">
        <v>506</v>
      </c>
      <c r="Q168" s="5" t="s">
        <v>31</v>
      </c>
      <c r="R168" s="5" t="s">
        <v>32</v>
      </c>
      <c r="S168" s="5" t="s">
        <v>33</v>
      </c>
      <c r="T168" s="6">
        <v>5</v>
      </c>
      <c r="U168" s="6">
        <v>10</v>
      </c>
      <c r="V168" s="5" t="s">
        <v>92</v>
      </c>
      <c r="W168" s="8"/>
      <c r="Y168">
        <f t="shared" si="5"/>
        <v>50</v>
      </c>
    </row>
    <row r="169" spans="1:25" ht="15.75" customHeight="1">
      <c r="A169" s="5" t="s">
        <v>507</v>
      </c>
      <c r="B169" s="6">
        <v>30</v>
      </c>
      <c r="C169" s="5" t="s">
        <v>22</v>
      </c>
      <c r="D169" s="7">
        <v>45233</v>
      </c>
      <c r="E169" s="7"/>
      <c r="F169" s="6" t="s">
        <v>508</v>
      </c>
      <c r="G169" s="6">
        <v>9</v>
      </c>
      <c r="H169" s="5" t="s">
        <v>73</v>
      </c>
      <c r="I169" s="6">
        <v>3</v>
      </c>
      <c r="J169" s="5" t="s">
        <v>97</v>
      </c>
      <c r="K169" s="6">
        <v>6155</v>
      </c>
      <c r="L169" s="5" t="s">
        <v>40</v>
      </c>
      <c r="M169" s="5" t="s">
        <v>27</v>
      </c>
      <c r="N169" s="5" t="s">
        <v>28</v>
      </c>
      <c r="O169" s="7">
        <v>45141</v>
      </c>
      <c r="P169" s="7">
        <v>45141.875</v>
      </c>
      <c r="Q169" s="5" t="s">
        <v>43</v>
      </c>
      <c r="R169" s="5" t="s">
        <v>32</v>
      </c>
      <c r="S169" s="5" t="s">
        <v>53</v>
      </c>
      <c r="T169" s="6">
        <v>8</v>
      </c>
      <c r="U169" s="6">
        <v>10</v>
      </c>
      <c r="V169" s="5" t="s">
        <v>54</v>
      </c>
      <c r="W169" s="8"/>
      <c r="Y169">
        <f t="shared" si="5"/>
        <v>80</v>
      </c>
    </row>
    <row r="170" spans="1:25" ht="15.75" customHeight="1">
      <c r="A170" s="5" t="s">
        <v>509</v>
      </c>
      <c r="B170" s="6">
        <v>62</v>
      </c>
      <c r="C170" s="5" t="s">
        <v>47</v>
      </c>
      <c r="D170" s="7">
        <v>44959</v>
      </c>
      <c r="E170" s="7"/>
      <c r="F170" s="6" t="s">
        <v>167</v>
      </c>
      <c r="G170" s="6">
        <v>12</v>
      </c>
      <c r="H170" s="5" t="s">
        <v>73</v>
      </c>
      <c r="I170" s="6">
        <v>5</v>
      </c>
      <c r="J170" s="5" t="s">
        <v>97</v>
      </c>
      <c r="K170" s="6">
        <v>15082</v>
      </c>
      <c r="L170" s="5" t="s">
        <v>90</v>
      </c>
      <c r="M170" s="5" t="s">
        <v>66</v>
      </c>
      <c r="N170" s="5" t="s">
        <v>28</v>
      </c>
      <c r="O170" s="7">
        <v>44928</v>
      </c>
      <c r="P170" s="7">
        <v>44959.041666666664</v>
      </c>
      <c r="Q170" s="5" t="s">
        <v>43</v>
      </c>
      <c r="R170" s="5" t="s">
        <v>32</v>
      </c>
      <c r="S170" s="5" t="s">
        <v>49</v>
      </c>
      <c r="T170" s="6">
        <v>8</v>
      </c>
      <c r="U170" s="6">
        <v>12</v>
      </c>
      <c r="V170" s="5" t="s">
        <v>92</v>
      </c>
      <c r="W170" s="8"/>
      <c r="Y170">
        <f t="shared" si="5"/>
        <v>66.666666666666657</v>
      </c>
    </row>
    <row r="171" spans="1:25" ht="15.75" customHeight="1">
      <c r="A171" s="5" t="s">
        <v>510</v>
      </c>
      <c r="B171" s="6">
        <v>75</v>
      </c>
      <c r="C171" s="5" t="s">
        <v>51</v>
      </c>
      <c r="D171" s="7">
        <v>45058</v>
      </c>
      <c r="E171" s="7"/>
      <c r="F171" s="7">
        <v>45242</v>
      </c>
      <c r="G171" s="6">
        <v>6</v>
      </c>
      <c r="H171" s="5" t="s">
        <v>24</v>
      </c>
      <c r="I171" s="6">
        <v>3</v>
      </c>
      <c r="J171" s="5" t="s">
        <v>97</v>
      </c>
      <c r="K171" s="6">
        <v>42245</v>
      </c>
      <c r="L171" s="5" t="s">
        <v>40</v>
      </c>
      <c r="M171" s="5" t="s">
        <v>66</v>
      </c>
      <c r="N171" s="5" t="s">
        <v>28</v>
      </c>
      <c r="O171" s="6" t="s">
        <v>277</v>
      </c>
      <c r="P171" s="6" t="s">
        <v>511</v>
      </c>
      <c r="Q171" s="5" t="s">
        <v>86</v>
      </c>
      <c r="R171" s="5" t="s">
        <v>32</v>
      </c>
      <c r="S171" s="5" t="s">
        <v>53</v>
      </c>
      <c r="T171" s="6">
        <v>11</v>
      </c>
      <c r="U171" s="6">
        <v>10</v>
      </c>
      <c r="V171" s="5" t="s">
        <v>92</v>
      </c>
      <c r="W171" s="8"/>
      <c r="Y171">
        <f t="shared" si="5"/>
        <v>110.00000000000001</v>
      </c>
    </row>
    <row r="172" spans="1:25" ht="15.75" customHeight="1">
      <c r="A172" s="5" t="s">
        <v>512</v>
      </c>
      <c r="B172" s="6">
        <v>89</v>
      </c>
      <c r="C172" s="5" t="s">
        <v>36</v>
      </c>
      <c r="D172" s="6" t="s">
        <v>500</v>
      </c>
      <c r="E172" s="6"/>
      <c r="F172" s="6" t="s">
        <v>180</v>
      </c>
      <c r="G172" s="6">
        <v>7</v>
      </c>
      <c r="H172" s="5" t="s">
        <v>58</v>
      </c>
      <c r="I172" s="6">
        <v>5</v>
      </c>
      <c r="J172" s="5" t="s">
        <v>39</v>
      </c>
      <c r="K172" s="6">
        <v>23569</v>
      </c>
      <c r="L172" s="5" t="s">
        <v>90</v>
      </c>
      <c r="M172" s="5" t="s">
        <v>27</v>
      </c>
      <c r="N172" s="5" t="s">
        <v>28</v>
      </c>
      <c r="O172" s="7">
        <v>45233</v>
      </c>
      <c r="P172" s="7">
        <v>45263.083333333336</v>
      </c>
      <c r="Q172" s="5" t="s">
        <v>48</v>
      </c>
      <c r="R172" s="5" t="s">
        <v>32</v>
      </c>
      <c r="S172" s="5" t="s">
        <v>53</v>
      </c>
      <c r="T172" s="6">
        <v>4</v>
      </c>
      <c r="U172" s="6">
        <v>10</v>
      </c>
      <c r="V172" s="5" t="s">
        <v>92</v>
      </c>
      <c r="W172" s="8"/>
      <c r="Y172">
        <f t="shared" si="5"/>
        <v>40</v>
      </c>
    </row>
    <row r="173" spans="1:25" ht="15.75" customHeight="1">
      <c r="A173" s="5" t="s">
        <v>513</v>
      </c>
      <c r="B173" s="6">
        <v>62</v>
      </c>
      <c r="C173" s="5" t="s">
        <v>36</v>
      </c>
      <c r="D173" s="7">
        <v>45571</v>
      </c>
      <c r="E173" s="7"/>
      <c r="F173" s="6" t="s">
        <v>514</v>
      </c>
      <c r="G173" s="6">
        <v>10</v>
      </c>
      <c r="H173" s="5" t="s">
        <v>58</v>
      </c>
      <c r="I173" s="6">
        <v>4</v>
      </c>
      <c r="J173" s="5" t="s">
        <v>39</v>
      </c>
      <c r="K173" s="6">
        <v>12086</v>
      </c>
      <c r="L173" s="5" t="s">
        <v>40</v>
      </c>
      <c r="M173" s="5" t="s">
        <v>66</v>
      </c>
      <c r="N173" s="5" t="s">
        <v>28</v>
      </c>
      <c r="O173" s="7">
        <v>45510</v>
      </c>
      <c r="P173" s="7">
        <v>45541</v>
      </c>
      <c r="Q173" s="5" t="s">
        <v>43</v>
      </c>
      <c r="R173" s="5" t="s">
        <v>32</v>
      </c>
      <c r="S173" s="5" t="s">
        <v>49</v>
      </c>
      <c r="T173" s="6">
        <v>8</v>
      </c>
      <c r="U173" s="6">
        <v>10</v>
      </c>
      <c r="V173" s="5" t="s">
        <v>34</v>
      </c>
      <c r="W173" s="8"/>
      <c r="Y173">
        <f t="shared" si="5"/>
        <v>80</v>
      </c>
    </row>
    <row r="174" spans="1:25" ht="15.75" customHeight="1">
      <c r="A174" s="5" t="s">
        <v>515</v>
      </c>
      <c r="B174" s="6">
        <v>1</v>
      </c>
      <c r="C174" s="5" t="s">
        <v>22</v>
      </c>
      <c r="D174" s="7">
        <v>44935</v>
      </c>
      <c r="E174" s="7"/>
      <c r="F174" s="7">
        <v>45208</v>
      </c>
      <c r="G174" s="6">
        <v>9</v>
      </c>
      <c r="H174" s="5" t="s">
        <v>58</v>
      </c>
      <c r="I174" s="6">
        <v>3</v>
      </c>
      <c r="J174" s="5" t="s">
        <v>89</v>
      </c>
      <c r="K174" s="6">
        <v>7317</v>
      </c>
      <c r="L174" s="5" t="s">
        <v>26</v>
      </c>
      <c r="M174" s="5" t="s">
        <v>27</v>
      </c>
      <c r="N174" s="5" t="s">
        <v>28</v>
      </c>
      <c r="O174" s="6" t="s">
        <v>516</v>
      </c>
      <c r="P174" s="6" t="s">
        <v>517</v>
      </c>
      <c r="Q174" s="5" t="s">
        <v>86</v>
      </c>
      <c r="R174" s="5" t="s">
        <v>44</v>
      </c>
      <c r="S174" s="5" t="s">
        <v>49</v>
      </c>
      <c r="T174" s="6">
        <v>5</v>
      </c>
      <c r="U174" s="6">
        <v>12</v>
      </c>
      <c r="V174" s="5" t="s">
        <v>34</v>
      </c>
      <c r="W174" s="8"/>
      <c r="Y174">
        <f t="shared" si="5"/>
        <v>41.666666666666671</v>
      </c>
    </row>
    <row r="175" spans="1:25" ht="15.75" customHeight="1">
      <c r="A175" s="5" t="s">
        <v>518</v>
      </c>
      <c r="B175" s="6">
        <v>27</v>
      </c>
      <c r="C175" s="5" t="s">
        <v>62</v>
      </c>
      <c r="D175" s="6" t="s">
        <v>519</v>
      </c>
      <c r="E175" s="6"/>
      <c r="F175" s="6" t="s">
        <v>520</v>
      </c>
      <c r="G175" s="6">
        <v>5</v>
      </c>
      <c r="H175" s="5" t="s">
        <v>38</v>
      </c>
      <c r="I175" s="6">
        <v>3</v>
      </c>
      <c r="J175" s="5" t="s">
        <v>97</v>
      </c>
      <c r="K175" s="6">
        <v>41389</v>
      </c>
      <c r="L175" s="5" t="s">
        <v>40</v>
      </c>
      <c r="M175" s="5" t="s">
        <v>27</v>
      </c>
      <c r="N175" s="5" t="s">
        <v>47</v>
      </c>
      <c r="O175" s="6" t="s">
        <v>519</v>
      </c>
      <c r="P175" s="6" t="s">
        <v>521</v>
      </c>
      <c r="Q175" s="5" t="s">
        <v>69</v>
      </c>
      <c r="R175" s="5" t="s">
        <v>44</v>
      </c>
      <c r="S175" s="5" t="s">
        <v>49</v>
      </c>
      <c r="T175" s="6">
        <v>11</v>
      </c>
      <c r="U175" s="6">
        <v>12</v>
      </c>
      <c r="V175" s="5" t="s">
        <v>54</v>
      </c>
      <c r="W175" s="8"/>
      <c r="Y175">
        <f t="shared" si="5"/>
        <v>91.666666666666657</v>
      </c>
    </row>
    <row r="176" spans="1:25" ht="15.75" customHeight="1">
      <c r="A176" s="5" t="s">
        <v>522</v>
      </c>
      <c r="B176" s="6">
        <v>62</v>
      </c>
      <c r="C176" s="5" t="s">
        <v>51</v>
      </c>
      <c r="D176" s="7">
        <v>45631</v>
      </c>
      <c r="E176" s="7"/>
      <c r="F176" s="6" t="s">
        <v>331</v>
      </c>
      <c r="G176" s="6">
        <v>8</v>
      </c>
      <c r="H176" s="5" t="s">
        <v>83</v>
      </c>
      <c r="I176" s="6">
        <v>3</v>
      </c>
      <c r="J176" s="5" t="s">
        <v>52</v>
      </c>
      <c r="K176" s="6">
        <v>9491</v>
      </c>
      <c r="L176" s="5" t="s">
        <v>40</v>
      </c>
      <c r="M176" s="5" t="s">
        <v>27</v>
      </c>
      <c r="N176" s="5" t="s">
        <v>47</v>
      </c>
      <c r="O176" s="7">
        <v>45478</v>
      </c>
      <c r="P176" s="7">
        <v>45478.541666666664</v>
      </c>
      <c r="Q176" s="5" t="s">
        <v>69</v>
      </c>
      <c r="R176" s="5" t="s">
        <v>44</v>
      </c>
      <c r="S176" s="5" t="s">
        <v>49</v>
      </c>
      <c r="T176" s="6">
        <v>10</v>
      </c>
      <c r="U176" s="6">
        <v>12</v>
      </c>
      <c r="V176" s="5" t="s">
        <v>54</v>
      </c>
      <c r="W176" s="8"/>
      <c r="Y176">
        <f t="shared" si="5"/>
        <v>83.333333333333343</v>
      </c>
    </row>
    <row r="177" spans="1:25" ht="15.75" customHeight="1">
      <c r="A177" s="5" t="s">
        <v>523</v>
      </c>
      <c r="B177" s="6">
        <v>77</v>
      </c>
      <c r="C177" s="5" t="s">
        <v>36</v>
      </c>
      <c r="D177" s="7">
        <v>45146</v>
      </c>
      <c r="E177" s="7"/>
      <c r="F177" s="6" t="s">
        <v>56</v>
      </c>
      <c r="G177" s="6">
        <v>9</v>
      </c>
      <c r="H177" s="5" t="s">
        <v>58</v>
      </c>
      <c r="I177" s="6">
        <v>4</v>
      </c>
      <c r="J177" s="5" t="s">
        <v>25</v>
      </c>
      <c r="K177" s="6">
        <v>20916</v>
      </c>
      <c r="L177" s="5" t="s">
        <v>65</v>
      </c>
      <c r="M177" s="5" t="s">
        <v>66</v>
      </c>
      <c r="N177" s="5" t="s">
        <v>28</v>
      </c>
      <c r="O177" s="7">
        <v>45146</v>
      </c>
      <c r="P177" s="7">
        <v>45177.583333333336</v>
      </c>
      <c r="Q177" s="5" t="s">
        <v>69</v>
      </c>
      <c r="R177" s="5" t="s">
        <v>32</v>
      </c>
      <c r="S177" s="5" t="s">
        <v>33</v>
      </c>
      <c r="T177" s="6">
        <v>5</v>
      </c>
      <c r="U177" s="6">
        <v>8</v>
      </c>
      <c r="V177" s="5" t="s">
        <v>54</v>
      </c>
      <c r="W177" s="8"/>
      <c r="Y177">
        <f t="shared" si="5"/>
        <v>62.5</v>
      </c>
    </row>
    <row r="178" spans="1:25" ht="15.75" customHeight="1">
      <c r="A178" s="5" t="s">
        <v>524</v>
      </c>
      <c r="B178" s="6">
        <v>3</v>
      </c>
      <c r="C178" s="5" t="s">
        <v>22</v>
      </c>
      <c r="D178" s="6" t="s">
        <v>525</v>
      </c>
      <c r="E178" s="6"/>
      <c r="F178" s="6" t="s">
        <v>526</v>
      </c>
      <c r="G178" s="6">
        <v>10</v>
      </c>
      <c r="H178" s="5" t="s">
        <v>58</v>
      </c>
      <c r="I178" s="6">
        <v>1</v>
      </c>
      <c r="J178" s="5" t="s">
        <v>89</v>
      </c>
      <c r="K178" s="6">
        <v>20248</v>
      </c>
      <c r="L178" s="5" t="s">
        <v>26</v>
      </c>
      <c r="M178" s="5" t="s">
        <v>66</v>
      </c>
      <c r="N178" s="5" t="s">
        <v>28</v>
      </c>
      <c r="O178" s="6" t="s">
        <v>527</v>
      </c>
      <c r="P178" s="6" t="s">
        <v>528</v>
      </c>
      <c r="Q178" s="5" t="s">
        <v>31</v>
      </c>
      <c r="R178" s="5" t="s">
        <v>32</v>
      </c>
      <c r="S178" s="5" t="s">
        <v>33</v>
      </c>
      <c r="T178" s="6">
        <v>5</v>
      </c>
      <c r="U178" s="6">
        <v>12</v>
      </c>
      <c r="V178" s="5" t="s">
        <v>34</v>
      </c>
      <c r="W178" s="8"/>
      <c r="Y178">
        <f t="shared" si="5"/>
        <v>41.666666666666671</v>
      </c>
    </row>
    <row r="179" spans="1:25" ht="15.75" customHeight="1">
      <c r="A179" s="5" t="s">
        <v>529</v>
      </c>
      <c r="B179" s="6">
        <v>70</v>
      </c>
      <c r="C179" s="5" t="s">
        <v>36</v>
      </c>
      <c r="D179" s="6" t="s">
        <v>530</v>
      </c>
      <c r="E179" s="6"/>
      <c r="F179" s="7">
        <v>45448</v>
      </c>
      <c r="G179" s="6">
        <v>7</v>
      </c>
      <c r="H179" s="5" t="s">
        <v>46</v>
      </c>
      <c r="I179" s="6">
        <v>5</v>
      </c>
      <c r="J179" s="5" t="s">
        <v>39</v>
      </c>
      <c r="K179" s="6">
        <v>7511</v>
      </c>
      <c r="L179" s="5" t="s">
        <v>80</v>
      </c>
      <c r="M179" s="5" t="s">
        <v>27</v>
      </c>
      <c r="N179" s="5" t="s">
        <v>28</v>
      </c>
      <c r="O179" s="6" t="s">
        <v>531</v>
      </c>
      <c r="P179" s="6" t="s">
        <v>532</v>
      </c>
      <c r="Q179" s="5" t="s">
        <v>48</v>
      </c>
      <c r="R179" s="5" t="s">
        <v>32</v>
      </c>
      <c r="S179" s="5" t="s">
        <v>53</v>
      </c>
      <c r="T179" s="6">
        <v>9</v>
      </c>
      <c r="U179" s="6">
        <v>10</v>
      </c>
      <c r="V179" s="5" t="s">
        <v>92</v>
      </c>
      <c r="W179" s="8"/>
      <c r="Y179">
        <f t="shared" si="5"/>
        <v>90</v>
      </c>
    </row>
    <row r="180" spans="1:25" ht="15.75" customHeight="1">
      <c r="A180" s="5" t="s">
        <v>533</v>
      </c>
      <c r="B180" s="6">
        <v>72</v>
      </c>
      <c r="C180" s="5" t="s">
        <v>51</v>
      </c>
      <c r="D180" s="7">
        <v>45086</v>
      </c>
      <c r="E180" s="7"/>
      <c r="F180" s="7">
        <v>45147</v>
      </c>
      <c r="G180" s="6">
        <v>2</v>
      </c>
      <c r="H180" s="5" t="s">
        <v>38</v>
      </c>
      <c r="I180" s="6">
        <v>3</v>
      </c>
      <c r="J180" s="5" t="s">
        <v>89</v>
      </c>
      <c r="K180" s="6">
        <v>29226</v>
      </c>
      <c r="L180" s="5" t="s">
        <v>65</v>
      </c>
      <c r="M180" s="5" t="s">
        <v>66</v>
      </c>
      <c r="N180" s="5" t="s">
        <v>47</v>
      </c>
      <c r="O180" s="7">
        <v>44994</v>
      </c>
      <c r="P180" s="7">
        <v>45025.833333333336</v>
      </c>
      <c r="Q180" s="5" t="s">
        <v>86</v>
      </c>
      <c r="R180" s="5" t="s">
        <v>32</v>
      </c>
      <c r="S180" s="5" t="s">
        <v>53</v>
      </c>
      <c r="T180" s="6">
        <v>7</v>
      </c>
      <c r="U180" s="6">
        <v>12</v>
      </c>
      <c r="V180" s="5" t="s">
        <v>92</v>
      </c>
      <c r="W180" s="8"/>
      <c r="Y180">
        <f t="shared" si="5"/>
        <v>58.333333333333336</v>
      </c>
    </row>
    <row r="181" spans="1:25" ht="15.75" customHeight="1">
      <c r="A181" s="5" t="s">
        <v>534</v>
      </c>
      <c r="B181" s="6">
        <v>27</v>
      </c>
      <c r="C181" s="5" t="s">
        <v>51</v>
      </c>
      <c r="D181" s="6" t="s">
        <v>530</v>
      </c>
      <c r="E181" s="6"/>
      <c r="F181" s="7">
        <v>45631</v>
      </c>
      <c r="G181" s="6">
        <v>13</v>
      </c>
      <c r="H181" s="5" t="s">
        <v>24</v>
      </c>
      <c r="I181" s="6">
        <v>4</v>
      </c>
      <c r="J181" s="5" t="s">
        <v>89</v>
      </c>
      <c r="K181" s="6">
        <v>30025</v>
      </c>
      <c r="L181" s="5" t="s">
        <v>80</v>
      </c>
      <c r="M181" s="5" t="s">
        <v>27</v>
      </c>
      <c r="N181" s="5" t="s">
        <v>47</v>
      </c>
      <c r="O181" s="6" t="s">
        <v>531</v>
      </c>
      <c r="P181" s="6" t="s">
        <v>535</v>
      </c>
      <c r="Q181" s="5" t="s">
        <v>48</v>
      </c>
      <c r="R181" s="5" t="s">
        <v>32</v>
      </c>
      <c r="S181" s="5" t="s">
        <v>53</v>
      </c>
      <c r="T181" s="6">
        <v>4</v>
      </c>
      <c r="U181" s="6">
        <v>12</v>
      </c>
      <c r="V181" s="5" t="s">
        <v>34</v>
      </c>
      <c r="W181" s="8"/>
      <c r="Y181">
        <f t="shared" si="5"/>
        <v>33.333333333333329</v>
      </c>
    </row>
    <row r="182" spans="1:25" ht="15.75" customHeight="1">
      <c r="A182" s="5" t="s">
        <v>536</v>
      </c>
      <c r="B182" s="6">
        <v>9</v>
      </c>
      <c r="C182" s="5" t="s">
        <v>82</v>
      </c>
      <c r="D182" s="6" t="s">
        <v>537</v>
      </c>
      <c r="E182" s="6"/>
      <c r="F182" s="7">
        <v>45385</v>
      </c>
      <c r="G182" s="6">
        <v>12</v>
      </c>
      <c r="H182" s="5" t="s">
        <v>58</v>
      </c>
      <c r="I182" s="6">
        <v>1</v>
      </c>
      <c r="J182" s="5" t="s">
        <v>89</v>
      </c>
      <c r="K182" s="6">
        <v>47314</v>
      </c>
      <c r="L182" s="5" t="s">
        <v>90</v>
      </c>
      <c r="M182" s="5" t="s">
        <v>27</v>
      </c>
      <c r="N182" s="5" t="s">
        <v>28</v>
      </c>
      <c r="O182" s="6" t="s">
        <v>538</v>
      </c>
      <c r="P182" s="6" t="s">
        <v>539</v>
      </c>
      <c r="Q182" s="5" t="s">
        <v>31</v>
      </c>
      <c r="R182" s="5" t="s">
        <v>32</v>
      </c>
      <c r="S182" s="5" t="s">
        <v>33</v>
      </c>
      <c r="T182" s="6">
        <v>10</v>
      </c>
      <c r="U182" s="6">
        <v>10</v>
      </c>
      <c r="V182" s="5" t="s">
        <v>54</v>
      </c>
      <c r="W182" s="8"/>
      <c r="Y182">
        <f t="shared" si="5"/>
        <v>100</v>
      </c>
    </row>
    <row r="183" spans="1:25" ht="15.75" customHeight="1">
      <c r="A183" s="5" t="s">
        <v>540</v>
      </c>
      <c r="B183" s="6">
        <v>62</v>
      </c>
      <c r="C183" s="5" t="s">
        <v>47</v>
      </c>
      <c r="D183" s="6" t="s">
        <v>541</v>
      </c>
      <c r="E183" s="6"/>
      <c r="F183" s="6" t="s">
        <v>187</v>
      </c>
      <c r="G183" s="6">
        <v>2</v>
      </c>
      <c r="H183" s="5" t="s">
        <v>46</v>
      </c>
      <c r="I183" s="6">
        <v>5</v>
      </c>
      <c r="J183" s="5" t="s">
        <v>89</v>
      </c>
      <c r="K183" s="6">
        <v>12848</v>
      </c>
      <c r="L183" s="5" t="s">
        <v>80</v>
      </c>
      <c r="M183" s="5" t="s">
        <v>66</v>
      </c>
      <c r="N183" s="5" t="s">
        <v>47</v>
      </c>
      <c r="O183" s="6" t="s">
        <v>542</v>
      </c>
      <c r="P183" s="6" t="s">
        <v>543</v>
      </c>
      <c r="Q183" s="5" t="s">
        <v>86</v>
      </c>
      <c r="R183" s="5" t="s">
        <v>44</v>
      </c>
      <c r="S183" s="5" t="s">
        <v>53</v>
      </c>
      <c r="T183" s="6">
        <v>11</v>
      </c>
      <c r="U183" s="6">
        <v>12</v>
      </c>
      <c r="V183" s="5" t="s">
        <v>54</v>
      </c>
      <c r="W183" s="8"/>
      <c r="Y183">
        <f t="shared" si="5"/>
        <v>91.666666666666657</v>
      </c>
    </row>
    <row r="184" spans="1:25" ht="15.75" customHeight="1">
      <c r="A184" s="5" t="s">
        <v>544</v>
      </c>
      <c r="B184" s="6">
        <v>37</v>
      </c>
      <c r="C184" s="5" t="s">
        <v>47</v>
      </c>
      <c r="D184" s="7">
        <v>45111</v>
      </c>
      <c r="E184" s="7"/>
      <c r="F184" s="6" t="s">
        <v>94</v>
      </c>
      <c r="G184" s="6">
        <v>14</v>
      </c>
      <c r="H184" s="5" t="s">
        <v>73</v>
      </c>
      <c r="I184" s="6">
        <v>4</v>
      </c>
      <c r="J184" s="5" t="s">
        <v>25</v>
      </c>
      <c r="K184" s="6">
        <v>19274</v>
      </c>
      <c r="L184" s="5" t="s">
        <v>40</v>
      </c>
      <c r="M184" s="5" t="s">
        <v>27</v>
      </c>
      <c r="N184" s="5" t="s">
        <v>28</v>
      </c>
      <c r="O184" s="7">
        <v>45050</v>
      </c>
      <c r="P184" s="7">
        <v>45081.25</v>
      </c>
      <c r="Q184" s="5" t="s">
        <v>86</v>
      </c>
      <c r="R184" s="5" t="s">
        <v>32</v>
      </c>
      <c r="S184" s="5" t="s">
        <v>53</v>
      </c>
      <c r="T184" s="6">
        <v>8</v>
      </c>
      <c r="U184" s="6">
        <v>8</v>
      </c>
      <c r="V184" s="5" t="s">
        <v>54</v>
      </c>
      <c r="W184" s="8"/>
      <c r="Y184">
        <f t="shared" si="5"/>
        <v>100</v>
      </c>
    </row>
    <row r="185" spans="1:25" ht="15.75" customHeight="1">
      <c r="A185" s="5" t="s">
        <v>545</v>
      </c>
      <c r="B185" s="6">
        <v>51</v>
      </c>
      <c r="C185" s="5" t="s">
        <v>22</v>
      </c>
      <c r="D185" s="7">
        <v>45203</v>
      </c>
      <c r="E185" s="7"/>
      <c r="F185" s="6" t="s">
        <v>94</v>
      </c>
      <c r="G185" s="6">
        <v>11</v>
      </c>
      <c r="H185" s="5" t="s">
        <v>24</v>
      </c>
      <c r="I185" s="6">
        <v>5</v>
      </c>
      <c r="J185" s="5" t="s">
        <v>97</v>
      </c>
      <c r="K185" s="6">
        <v>35958</v>
      </c>
      <c r="L185" s="5" t="s">
        <v>80</v>
      </c>
      <c r="M185" s="5" t="s">
        <v>66</v>
      </c>
      <c r="N185" s="5" t="s">
        <v>47</v>
      </c>
      <c r="O185" s="7">
        <v>45081</v>
      </c>
      <c r="P185" s="7">
        <v>45111.916666666664</v>
      </c>
      <c r="Q185" s="5" t="s">
        <v>43</v>
      </c>
      <c r="R185" s="5" t="s">
        <v>44</v>
      </c>
      <c r="S185" s="5" t="s">
        <v>33</v>
      </c>
      <c r="T185" s="6">
        <v>5</v>
      </c>
      <c r="U185" s="6">
        <v>12</v>
      </c>
      <c r="V185" s="5" t="s">
        <v>34</v>
      </c>
      <c r="W185" s="8"/>
      <c r="Y185">
        <f t="shared" si="5"/>
        <v>41.666666666666671</v>
      </c>
    </row>
    <row r="186" spans="1:25" ht="15.75" customHeight="1">
      <c r="A186" s="5" t="s">
        <v>546</v>
      </c>
      <c r="B186" s="6">
        <v>44</v>
      </c>
      <c r="C186" s="5" t="s">
        <v>51</v>
      </c>
      <c r="D186" s="6" t="s">
        <v>381</v>
      </c>
      <c r="E186" s="6"/>
      <c r="F186" s="6" t="s">
        <v>547</v>
      </c>
      <c r="G186" s="6">
        <v>11</v>
      </c>
      <c r="H186" s="5" t="s">
        <v>58</v>
      </c>
      <c r="I186" s="6">
        <v>3</v>
      </c>
      <c r="J186" s="5" t="s">
        <v>52</v>
      </c>
      <c r="K186" s="6">
        <v>40233</v>
      </c>
      <c r="L186" s="5" t="s">
        <v>65</v>
      </c>
      <c r="M186" s="5" t="s">
        <v>66</v>
      </c>
      <c r="N186" s="5" t="s">
        <v>28</v>
      </c>
      <c r="O186" s="6" t="s">
        <v>116</v>
      </c>
      <c r="P186" s="6" t="s">
        <v>548</v>
      </c>
      <c r="Q186" s="5" t="s">
        <v>48</v>
      </c>
      <c r="R186" s="5" t="s">
        <v>32</v>
      </c>
      <c r="S186" s="5" t="s">
        <v>53</v>
      </c>
      <c r="T186" s="6">
        <v>11</v>
      </c>
      <c r="U186" s="6">
        <v>8</v>
      </c>
      <c r="V186" s="5" t="s">
        <v>54</v>
      </c>
      <c r="W186" s="8"/>
      <c r="Y186">
        <f t="shared" si="5"/>
        <v>137.5</v>
      </c>
    </row>
    <row r="187" spans="1:25" ht="15.75" customHeight="1">
      <c r="A187" s="5" t="s">
        <v>549</v>
      </c>
      <c r="B187" s="6">
        <v>24</v>
      </c>
      <c r="C187" s="5" t="s">
        <v>82</v>
      </c>
      <c r="D187" s="6" t="s">
        <v>235</v>
      </c>
      <c r="E187" s="6"/>
      <c r="F187" s="6" t="s">
        <v>223</v>
      </c>
      <c r="G187" s="6">
        <v>15</v>
      </c>
      <c r="H187" s="5" t="s">
        <v>58</v>
      </c>
      <c r="I187" s="6">
        <v>1</v>
      </c>
      <c r="J187" s="5" t="s">
        <v>89</v>
      </c>
      <c r="K187" s="6">
        <v>21304</v>
      </c>
      <c r="L187" s="5" t="s">
        <v>65</v>
      </c>
      <c r="M187" s="5" t="s">
        <v>27</v>
      </c>
      <c r="N187" s="5" t="s">
        <v>28</v>
      </c>
      <c r="O187" s="6" t="s">
        <v>136</v>
      </c>
      <c r="P187" s="6" t="s">
        <v>550</v>
      </c>
      <c r="Q187" s="5" t="s">
        <v>48</v>
      </c>
      <c r="R187" s="5" t="s">
        <v>32</v>
      </c>
      <c r="S187" s="5" t="s">
        <v>33</v>
      </c>
      <c r="T187" s="6">
        <v>4</v>
      </c>
      <c r="U187" s="6">
        <v>8</v>
      </c>
      <c r="V187" s="5" t="s">
        <v>54</v>
      </c>
      <c r="W187" s="8"/>
      <c r="Y187">
        <f t="shared" si="5"/>
        <v>50</v>
      </c>
    </row>
    <row r="188" spans="1:25" ht="15.75" customHeight="1">
      <c r="A188" s="5" t="s">
        <v>551</v>
      </c>
      <c r="B188" s="6">
        <v>79</v>
      </c>
      <c r="C188" s="5" t="s">
        <v>82</v>
      </c>
      <c r="D188" s="7">
        <v>45538</v>
      </c>
      <c r="E188" s="7"/>
      <c r="F188" s="6" t="s">
        <v>380</v>
      </c>
      <c r="G188" s="6">
        <v>13</v>
      </c>
      <c r="H188" s="5" t="s">
        <v>46</v>
      </c>
      <c r="I188" s="6">
        <v>4</v>
      </c>
      <c r="J188" s="5" t="s">
        <v>89</v>
      </c>
      <c r="K188" s="6">
        <v>16294</v>
      </c>
      <c r="L188" s="5" t="s">
        <v>80</v>
      </c>
      <c r="M188" s="5" t="s">
        <v>27</v>
      </c>
      <c r="N188" s="5" t="s">
        <v>47</v>
      </c>
      <c r="O188" s="7">
        <v>45385</v>
      </c>
      <c r="P188" s="7">
        <v>45385.791666666664</v>
      </c>
      <c r="Q188" s="5" t="s">
        <v>43</v>
      </c>
      <c r="R188" s="5" t="s">
        <v>32</v>
      </c>
      <c r="S188" s="5" t="s">
        <v>33</v>
      </c>
      <c r="T188" s="6">
        <v>10</v>
      </c>
      <c r="U188" s="6">
        <v>8</v>
      </c>
      <c r="V188" s="5" t="s">
        <v>34</v>
      </c>
      <c r="W188" s="8"/>
      <c r="Y188">
        <f t="shared" si="5"/>
        <v>125</v>
      </c>
    </row>
    <row r="189" spans="1:25" ht="15.75" customHeight="1">
      <c r="A189" s="5" t="s">
        <v>552</v>
      </c>
      <c r="B189" s="6">
        <v>59</v>
      </c>
      <c r="C189" s="5" t="s">
        <v>36</v>
      </c>
      <c r="D189" s="6" t="s">
        <v>553</v>
      </c>
      <c r="E189" s="6"/>
      <c r="F189" s="7">
        <v>45415</v>
      </c>
      <c r="G189" s="6">
        <v>9</v>
      </c>
      <c r="H189" s="5" t="s">
        <v>38</v>
      </c>
      <c r="I189" s="6">
        <v>1</v>
      </c>
      <c r="J189" s="5" t="s">
        <v>89</v>
      </c>
      <c r="K189" s="6">
        <v>31425</v>
      </c>
      <c r="L189" s="5" t="s">
        <v>65</v>
      </c>
      <c r="M189" s="5" t="s">
        <v>66</v>
      </c>
      <c r="N189" s="5" t="s">
        <v>28</v>
      </c>
      <c r="O189" s="6" t="s">
        <v>554</v>
      </c>
      <c r="P189" s="6" t="s">
        <v>555</v>
      </c>
      <c r="Q189" s="5" t="s">
        <v>69</v>
      </c>
      <c r="R189" s="5" t="s">
        <v>32</v>
      </c>
      <c r="S189" s="5" t="s">
        <v>49</v>
      </c>
      <c r="T189" s="6">
        <v>10</v>
      </c>
      <c r="U189" s="6">
        <v>10</v>
      </c>
      <c r="V189" s="5" t="s">
        <v>92</v>
      </c>
      <c r="W189" s="8"/>
      <c r="Y189">
        <f t="shared" si="5"/>
        <v>100</v>
      </c>
    </row>
    <row r="190" spans="1:25" ht="15.75" customHeight="1">
      <c r="A190" s="5" t="s">
        <v>556</v>
      </c>
      <c r="B190" s="6">
        <v>32</v>
      </c>
      <c r="C190" s="5" t="s">
        <v>36</v>
      </c>
      <c r="D190" s="6" t="s">
        <v>557</v>
      </c>
      <c r="E190" s="6"/>
      <c r="F190" s="7">
        <v>45417</v>
      </c>
      <c r="G190" s="6">
        <v>12</v>
      </c>
      <c r="H190" s="5" t="s">
        <v>58</v>
      </c>
      <c r="I190" s="6">
        <v>3</v>
      </c>
      <c r="J190" s="5" t="s">
        <v>97</v>
      </c>
      <c r="K190" s="6">
        <v>8175</v>
      </c>
      <c r="L190" s="5" t="s">
        <v>65</v>
      </c>
      <c r="M190" s="5" t="s">
        <v>27</v>
      </c>
      <c r="N190" s="5" t="s">
        <v>47</v>
      </c>
      <c r="O190" s="6" t="s">
        <v>256</v>
      </c>
      <c r="P190" s="6" t="s">
        <v>558</v>
      </c>
      <c r="Q190" s="5" t="s">
        <v>31</v>
      </c>
      <c r="R190" s="5" t="s">
        <v>32</v>
      </c>
      <c r="S190" s="5" t="s">
        <v>49</v>
      </c>
      <c r="T190" s="6">
        <v>4</v>
      </c>
      <c r="U190" s="6">
        <v>12</v>
      </c>
      <c r="V190" s="5" t="s">
        <v>34</v>
      </c>
      <c r="W190" s="8"/>
      <c r="Y190">
        <f t="shared" si="5"/>
        <v>33.333333333333329</v>
      </c>
    </row>
    <row r="191" spans="1:25" ht="15.75" customHeight="1">
      <c r="A191" s="5" t="s">
        <v>559</v>
      </c>
      <c r="B191" s="6">
        <v>88</v>
      </c>
      <c r="C191" s="5" t="s">
        <v>82</v>
      </c>
      <c r="D191" s="6" t="s">
        <v>435</v>
      </c>
      <c r="E191" s="6"/>
      <c r="F191" s="7">
        <v>45233</v>
      </c>
      <c r="G191" s="6">
        <v>14</v>
      </c>
      <c r="H191" s="5" t="s">
        <v>73</v>
      </c>
      <c r="I191" s="6">
        <v>1</v>
      </c>
      <c r="J191" s="5" t="s">
        <v>39</v>
      </c>
      <c r="K191" s="6">
        <v>45617</v>
      </c>
      <c r="L191" s="5" t="s">
        <v>80</v>
      </c>
      <c r="M191" s="5" t="s">
        <v>66</v>
      </c>
      <c r="N191" s="5" t="s">
        <v>28</v>
      </c>
      <c r="O191" s="6" t="s">
        <v>560</v>
      </c>
      <c r="P191" s="6" t="s">
        <v>561</v>
      </c>
      <c r="Q191" s="5" t="s">
        <v>48</v>
      </c>
      <c r="R191" s="5" t="s">
        <v>32</v>
      </c>
      <c r="S191" s="5" t="s">
        <v>33</v>
      </c>
      <c r="T191" s="6">
        <v>7</v>
      </c>
      <c r="U191" s="6">
        <v>8</v>
      </c>
      <c r="V191" s="5" t="s">
        <v>34</v>
      </c>
      <c r="W191" s="8"/>
      <c r="Y191">
        <f t="shared" si="5"/>
        <v>87.5</v>
      </c>
    </row>
    <row r="192" spans="1:25" ht="15.75" customHeight="1">
      <c r="A192" s="5" t="s">
        <v>562</v>
      </c>
      <c r="B192" s="6">
        <v>52</v>
      </c>
      <c r="C192" s="5" t="s">
        <v>36</v>
      </c>
      <c r="D192" s="7">
        <v>45234</v>
      </c>
      <c r="E192" s="7"/>
      <c r="F192" s="6" t="s">
        <v>71</v>
      </c>
      <c r="G192" s="6">
        <v>4</v>
      </c>
      <c r="H192" s="5" t="s">
        <v>58</v>
      </c>
      <c r="I192" s="6">
        <v>1</v>
      </c>
      <c r="J192" s="5" t="s">
        <v>39</v>
      </c>
      <c r="K192" s="6">
        <v>32775</v>
      </c>
      <c r="L192" s="5" t="s">
        <v>26</v>
      </c>
      <c r="M192" s="5" t="s">
        <v>66</v>
      </c>
      <c r="N192" s="5" t="s">
        <v>28</v>
      </c>
      <c r="O192" s="7">
        <v>45142</v>
      </c>
      <c r="P192" s="7">
        <v>45173.833333333336</v>
      </c>
      <c r="Q192" s="5" t="s">
        <v>43</v>
      </c>
      <c r="R192" s="5" t="s">
        <v>32</v>
      </c>
      <c r="S192" s="5" t="s">
        <v>33</v>
      </c>
      <c r="T192" s="6">
        <v>9</v>
      </c>
      <c r="U192" s="6">
        <v>8</v>
      </c>
      <c r="V192" s="5" t="s">
        <v>34</v>
      </c>
      <c r="W192" s="8"/>
      <c r="Y192">
        <f t="shared" si="5"/>
        <v>112.5</v>
      </c>
    </row>
    <row r="193" spans="1:25" ht="15.75" customHeight="1">
      <c r="A193" s="5" t="s">
        <v>563</v>
      </c>
      <c r="B193" s="6">
        <v>62</v>
      </c>
      <c r="C193" s="5" t="s">
        <v>51</v>
      </c>
      <c r="D193" s="7">
        <v>45019</v>
      </c>
      <c r="E193" s="7"/>
      <c r="F193" s="7">
        <v>45233</v>
      </c>
      <c r="G193" s="6">
        <v>7</v>
      </c>
      <c r="H193" s="5" t="s">
        <v>73</v>
      </c>
      <c r="I193" s="6">
        <v>2</v>
      </c>
      <c r="J193" s="5" t="s">
        <v>25</v>
      </c>
      <c r="K193" s="6">
        <v>14425</v>
      </c>
      <c r="L193" s="5" t="s">
        <v>26</v>
      </c>
      <c r="M193" s="5" t="s">
        <v>66</v>
      </c>
      <c r="N193" s="5" t="s">
        <v>28</v>
      </c>
      <c r="O193" s="7">
        <v>44988</v>
      </c>
      <c r="P193" s="7">
        <v>45019.333333333336</v>
      </c>
      <c r="Q193" s="5" t="s">
        <v>86</v>
      </c>
      <c r="R193" s="5" t="s">
        <v>32</v>
      </c>
      <c r="S193" s="5" t="s">
        <v>49</v>
      </c>
      <c r="T193" s="6">
        <v>8</v>
      </c>
      <c r="U193" s="6">
        <v>12</v>
      </c>
      <c r="V193" s="5" t="s">
        <v>34</v>
      </c>
      <c r="W193" s="8"/>
      <c r="Y193">
        <f t="shared" si="5"/>
        <v>66.666666666666657</v>
      </c>
    </row>
    <row r="194" spans="1:25" ht="15.75" customHeight="1">
      <c r="A194" s="5" t="s">
        <v>564</v>
      </c>
      <c r="B194" s="6">
        <v>58</v>
      </c>
      <c r="C194" s="5" t="s">
        <v>62</v>
      </c>
      <c r="D194" s="6" t="s">
        <v>565</v>
      </c>
      <c r="E194" s="6"/>
      <c r="F194" s="6" t="s">
        <v>553</v>
      </c>
      <c r="G194" s="6">
        <v>8</v>
      </c>
      <c r="H194" s="5" t="s">
        <v>24</v>
      </c>
      <c r="I194" s="6">
        <v>1</v>
      </c>
      <c r="J194" s="5" t="s">
        <v>39</v>
      </c>
      <c r="K194" s="6">
        <v>31013</v>
      </c>
      <c r="L194" s="5" t="s">
        <v>90</v>
      </c>
      <c r="M194" s="5" t="s">
        <v>27</v>
      </c>
      <c r="N194" s="5" t="s">
        <v>28</v>
      </c>
      <c r="O194" s="6" t="s">
        <v>281</v>
      </c>
      <c r="P194" s="6" t="s">
        <v>566</v>
      </c>
      <c r="Q194" s="5" t="s">
        <v>43</v>
      </c>
      <c r="R194" s="5" t="s">
        <v>32</v>
      </c>
      <c r="S194" s="5" t="s">
        <v>53</v>
      </c>
      <c r="T194" s="6">
        <v>9</v>
      </c>
      <c r="U194" s="6">
        <v>10</v>
      </c>
      <c r="V194" s="5" t="s">
        <v>92</v>
      </c>
      <c r="W194" s="8"/>
      <c r="Y194">
        <f t="shared" si="5"/>
        <v>90</v>
      </c>
    </row>
    <row r="195" spans="1:25" ht="15.75" customHeight="1">
      <c r="A195" s="5" t="s">
        <v>567</v>
      </c>
      <c r="B195" s="6">
        <v>52</v>
      </c>
      <c r="C195" s="5" t="s">
        <v>51</v>
      </c>
      <c r="D195" s="6" t="s">
        <v>568</v>
      </c>
      <c r="E195" s="6"/>
      <c r="F195" s="6" t="s">
        <v>235</v>
      </c>
      <c r="G195" s="6">
        <v>15</v>
      </c>
      <c r="H195" s="5" t="s">
        <v>24</v>
      </c>
      <c r="I195" s="6">
        <v>5</v>
      </c>
      <c r="J195" s="5" t="s">
        <v>89</v>
      </c>
      <c r="K195" s="6">
        <v>32928</v>
      </c>
      <c r="L195" s="5" t="s">
        <v>65</v>
      </c>
      <c r="M195" s="5" t="s">
        <v>66</v>
      </c>
      <c r="N195" s="5" t="s">
        <v>28</v>
      </c>
      <c r="O195" s="7">
        <v>45211</v>
      </c>
      <c r="P195" s="7">
        <v>45242.708333333336</v>
      </c>
      <c r="Q195" s="5" t="s">
        <v>69</v>
      </c>
      <c r="R195" s="5" t="s">
        <v>32</v>
      </c>
      <c r="S195" s="5" t="s">
        <v>53</v>
      </c>
      <c r="T195" s="6">
        <v>10</v>
      </c>
      <c r="U195" s="6">
        <v>10</v>
      </c>
      <c r="V195" s="5" t="s">
        <v>54</v>
      </c>
      <c r="W195" s="8"/>
      <c r="Y195">
        <f t="shared" ref="Y195:Y258" si="6">(T195/U195*100)</f>
        <v>100</v>
      </c>
    </row>
    <row r="196" spans="1:25" ht="15.75" customHeight="1">
      <c r="A196" s="5" t="s">
        <v>569</v>
      </c>
      <c r="B196" s="6">
        <v>12</v>
      </c>
      <c r="C196" s="5" t="s">
        <v>82</v>
      </c>
      <c r="D196" s="6" t="s">
        <v>29</v>
      </c>
      <c r="E196" s="6"/>
      <c r="F196" s="6" t="s">
        <v>570</v>
      </c>
      <c r="G196" s="6">
        <v>4</v>
      </c>
      <c r="H196" s="5" t="s">
        <v>83</v>
      </c>
      <c r="I196" s="6">
        <v>4</v>
      </c>
      <c r="J196" s="5" t="s">
        <v>89</v>
      </c>
      <c r="K196" s="6">
        <v>49990</v>
      </c>
      <c r="L196" s="5" t="s">
        <v>80</v>
      </c>
      <c r="M196" s="5" t="s">
        <v>66</v>
      </c>
      <c r="N196" s="5" t="s">
        <v>47</v>
      </c>
      <c r="O196" s="6" t="s">
        <v>571</v>
      </c>
      <c r="P196" s="6" t="s">
        <v>572</v>
      </c>
      <c r="Q196" s="5" t="s">
        <v>31</v>
      </c>
      <c r="R196" s="5" t="s">
        <v>32</v>
      </c>
      <c r="S196" s="5" t="s">
        <v>53</v>
      </c>
      <c r="T196" s="6">
        <v>8</v>
      </c>
      <c r="U196" s="6">
        <v>8</v>
      </c>
      <c r="V196" s="5" t="s">
        <v>34</v>
      </c>
      <c r="W196" s="8"/>
      <c r="Y196">
        <f t="shared" si="6"/>
        <v>100</v>
      </c>
    </row>
    <row r="197" spans="1:25" ht="15.75" customHeight="1">
      <c r="A197" s="5" t="s">
        <v>573</v>
      </c>
      <c r="B197" s="6">
        <v>39</v>
      </c>
      <c r="C197" s="5" t="s">
        <v>82</v>
      </c>
      <c r="D197" s="7">
        <v>45269</v>
      </c>
      <c r="E197" s="7"/>
      <c r="F197" s="6" t="s">
        <v>249</v>
      </c>
      <c r="G197" s="6">
        <v>7</v>
      </c>
      <c r="H197" s="5" t="s">
        <v>83</v>
      </c>
      <c r="I197" s="6">
        <v>2</v>
      </c>
      <c r="J197" s="5" t="s">
        <v>89</v>
      </c>
      <c r="K197" s="6">
        <v>46212</v>
      </c>
      <c r="L197" s="5" t="s">
        <v>65</v>
      </c>
      <c r="M197" s="5" t="s">
        <v>66</v>
      </c>
      <c r="N197" s="5" t="s">
        <v>47</v>
      </c>
      <c r="O197" s="7">
        <v>45269</v>
      </c>
      <c r="P197" s="7">
        <v>45269.666666666664</v>
      </c>
      <c r="Q197" s="5" t="s">
        <v>69</v>
      </c>
      <c r="R197" s="5" t="s">
        <v>32</v>
      </c>
      <c r="S197" s="5" t="s">
        <v>33</v>
      </c>
      <c r="T197" s="6">
        <v>10</v>
      </c>
      <c r="U197" s="6">
        <v>10</v>
      </c>
      <c r="V197" s="5" t="s">
        <v>92</v>
      </c>
      <c r="W197" s="8"/>
      <c r="Y197">
        <f t="shared" si="6"/>
        <v>100</v>
      </c>
    </row>
    <row r="198" spans="1:25" ht="15.75" customHeight="1">
      <c r="A198" s="5" t="s">
        <v>574</v>
      </c>
      <c r="B198" s="6">
        <v>2</v>
      </c>
      <c r="C198" s="5" t="s">
        <v>51</v>
      </c>
      <c r="D198" s="6" t="s">
        <v>187</v>
      </c>
      <c r="E198" s="6"/>
      <c r="F198" s="6" t="s">
        <v>188</v>
      </c>
      <c r="G198" s="6">
        <v>6</v>
      </c>
      <c r="H198" s="5" t="s">
        <v>73</v>
      </c>
      <c r="I198" s="6">
        <v>4</v>
      </c>
      <c r="J198" s="5" t="s">
        <v>25</v>
      </c>
      <c r="K198" s="6">
        <v>13210</v>
      </c>
      <c r="L198" s="5" t="s">
        <v>40</v>
      </c>
      <c r="M198" s="5" t="s">
        <v>27</v>
      </c>
      <c r="N198" s="5" t="s">
        <v>28</v>
      </c>
      <c r="O198" s="6" t="s">
        <v>541</v>
      </c>
      <c r="P198" s="6" t="s">
        <v>575</v>
      </c>
      <c r="Q198" s="5" t="s">
        <v>86</v>
      </c>
      <c r="R198" s="5" t="s">
        <v>32</v>
      </c>
      <c r="S198" s="5" t="s">
        <v>49</v>
      </c>
      <c r="T198" s="6">
        <v>5</v>
      </c>
      <c r="U198" s="6">
        <v>12</v>
      </c>
      <c r="V198" s="5" t="s">
        <v>54</v>
      </c>
      <c r="W198" s="8"/>
      <c r="Y198">
        <f t="shared" si="6"/>
        <v>41.666666666666671</v>
      </c>
    </row>
    <row r="199" spans="1:25" ht="15.75" customHeight="1">
      <c r="A199" s="5" t="s">
        <v>576</v>
      </c>
      <c r="B199" s="6">
        <v>3</v>
      </c>
      <c r="C199" s="5" t="s">
        <v>36</v>
      </c>
      <c r="D199" s="6" t="s">
        <v>541</v>
      </c>
      <c r="E199" s="6"/>
      <c r="F199" s="6" t="s">
        <v>577</v>
      </c>
      <c r="G199" s="6">
        <v>14</v>
      </c>
      <c r="H199" s="5" t="s">
        <v>38</v>
      </c>
      <c r="I199" s="6">
        <v>4</v>
      </c>
      <c r="J199" s="5" t="s">
        <v>89</v>
      </c>
      <c r="K199" s="6">
        <v>7759</v>
      </c>
      <c r="L199" s="5" t="s">
        <v>65</v>
      </c>
      <c r="M199" s="5" t="s">
        <v>66</v>
      </c>
      <c r="N199" s="5" t="s">
        <v>28</v>
      </c>
      <c r="O199" s="6" t="s">
        <v>542</v>
      </c>
      <c r="P199" s="6" t="s">
        <v>578</v>
      </c>
      <c r="Q199" s="5" t="s">
        <v>86</v>
      </c>
      <c r="R199" s="5" t="s">
        <v>32</v>
      </c>
      <c r="S199" s="5" t="s">
        <v>53</v>
      </c>
      <c r="T199" s="6">
        <v>5</v>
      </c>
      <c r="U199" s="6">
        <v>10</v>
      </c>
      <c r="V199" s="5" t="s">
        <v>54</v>
      </c>
      <c r="W199" s="8"/>
      <c r="Y199">
        <f t="shared" si="6"/>
        <v>50</v>
      </c>
    </row>
    <row r="200" spans="1:25" ht="15.75" customHeight="1">
      <c r="A200" s="5" t="s">
        <v>579</v>
      </c>
      <c r="B200" s="6">
        <v>56</v>
      </c>
      <c r="C200" s="5" t="s">
        <v>36</v>
      </c>
      <c r="D200" s="7">
        <v>45386</v>
      </c>
      <c r="E200" s="7"/>
      <c r="F200" s="7">
        <v>45630</v>
      </c>
      <c r="G200" s="6">
        <v>8</v>
      </c>
      <c r="H200" s="5" t="s">
        <v>58</v>
      </c>
      <c r="I200" s="6">
        <v>3</v>
      </c>
      <c r="J200" s="5" t="s">
        <v>39</v>
      </c>
      <c r="K200" s="6">
        <v>21091</v>
      </c>
      <c r="L200" s="5" t="s">
        <v>65</v>
      </c>
      <c r="M200" s="5" t="s">
        <v>66</v>
      </c>
      <c r="N200" s="5" t="s">
        <v>28</v>
      </c>
      <c r="O200" s="7">
        <v>45295</v>
      </c>
      <c r="P200" s="7">
        <v>45295.416666666664</v>
      </c>
      <c r="Q200" s="5" t="s">
        <v>86</v>
      </c>
      <c r="R200" s="5" t="s">
        <v>32</v>
      </c>
      <c r="S200" s="5" t="s">
        <v>49</v>
      </c>
      <c r="T200" s="6">
        <v>4</v>
      </c>
      <c r="U200" s="6">
        <v>12</v>
      </c>
      <c r="V200" s="5" t="s">
        <v>54</v>
      </c>
      <c r="W200" s="8"/>
      <c r="Y200">
        <f t="shared" si="6"/>
        <v>33.333333333333329</v>
      </c>
    </row>
    <row r="201" spans="1:25" ht="15.75" customHeight="1">
      <c r="A201" s="5" t="s">
        <v>580</v>
      </c>
      <c r="B201" s="6">
        <v>81</v>
      </c>
      <c r="C201" s="5" t="s">
        <v>47</v>
      </c>
      <c r="D201" s="6" t="s">
        <v>64</v>
      </c>
      <c r="E201" s="6"/>
      <c r="F201" s="6" t="s">
        <v>581</v>
      </c>
      <c r="G201" s="6">
        <v>7</v>
      </c>
      <c r="H201" s="5" t="s">
        <v>58</v>
      </c>
      <c r="I201" s="6">
        <v>3</v>
      </c>
      <c r="J201" s="5" t="s">
        <v>97</v>
      </c>
      <c r="K201" s="6">
        <v>5002</v>
      </c>
      <c r="L201" s="5" t="s">
        <v>26</v>
      </c>
      <c r="M201" s="5" t="s">
        <v>66</v>
      </c>
      <c r="N201" s="5" t="s">
        <v>28</v>
      </c>
      <c r="O201" s="6" t="s">
        <v>64</v>
      </c>
      <c r="P201" s="6" t="s">
        <v>582</v>
      </c>
      <c r="Q201" s="5" t="s">
        <v>86</v>
      </c>
      <c r="R201" s="5" t="s">
        <v>32</v>
      </c>
      <c r="S201" s="5" t="s">
        <v>49</v>
      </c>
      <c r="T201" s="6">
        <v>8</v>
      </c>
      <c r="U201" s="6">
        <v>8</v>
      </c>
      <c r="V201" s="5" t="s">
        <v>34</v>
      </c>
      <c r="W201" s="8"/>
      <c r="Y201">
        <f t="shared" si="6"/>
        <v>100</v>
      </c>
    </row>
    <row r="202" spans="1:25" ht="15.75" customHeight="1">
      <c r="A202" s="5" t="s">
        <v>583</v>
      </c>
      <c r="B202" s="6">
        <v>59</v>
      </c>
      <c r="C202" s="5" t="s">
        <v>82</v>
      </c>
      <c r="D202" s="7">
        <v>45507</v>
      </c>
      <c r="E202" s="7"/>
      <c r="F202" s="6" t="s">
        <v>584</v>
      </c>
      <c r="G202" s="6">
        <v>7</v>
      </c>
      <c r="H202" s="5" t="s">
        <v>83</v>
      </c>
      <c r="I202" s="6">
        <v>2</v>
      </c>
      <c r="J202" s="5" t="s">
        <v>97</v>
      </c>
      <c r="K202" s="6">
        <v>45958</v>
      </c>
      <c r="L202" s="5" t="s">
        <v>80</v>
      </c>
      <c r="M202" s="5" t="s">
        <v>66</v>
      </c>
      <c r="N202" s="5" t="s">
        <v>28</v>
      </c>
      <c r="O202" s="7">
        <v>45446</v>
      </c>
      <c r="P202" s="7">
        <v>45476.166666666664</v>
      </c>
      <c r="Q202" s="5" t="s">
        <v>43</v>
      </c>
      <c r="R202" s="5" t="s">
        <v>32</v>
      </c>
      <c r="S202" s="5" t="s">
        <v>33</v>
      </c>
      <c r="T202" s="6">
        <v>8</v>
      </c>
      <c r="U202" s="6">
        <v>12</v>
      </c>
      <c r="V202" s="5" t="s">
        <v>34</v>
      </c>
      <c r="W202" s="8"/>
      <c r="Y202">
        <f t="shared" si="6"/>
        <v>66.666666666666657</v>
      </c>
    </row>
    <row r="203" spans="1:25" ht="15.75" customHeight="1">
      <c r="A203" s="5" t="s">
        <v>585</v>
      </c>
      <c r="B203" s="6">
        <v>2</v>
      </c>
      <c r="C203" s="5" t="s">
        <v>22</v>
      </c>
      <c r="D203" s="7">
        <v>45114</v>
      </c>
      <c r="E203" s="7"/>
      <c r="F203" s="6" t="s">
        <v>586</v>
      </c>
      <c r="G203" s="6">
        <v>12</v>
      </c>
      <c r="H203" s="5" t="s">
        <v>73</v>
      </c>
      <c r="I203" s="6">
        <v>3</v>
      </c>
      <c r="J203" s="5" t="s">
        <v>52</v>
      </c>
      <c r="K203" s="6">
        <v>35160</v>
      </c>
      <c r="L203" s="5" t="s">
        <v>65</v>
      </c>
      <c r="M203" s="5" t="s">
        <v>27</v>
      </c>
      <c r="N203" s="5" t="s">
        <v>28</v>
      </c>
      <c r="O203" s="7">
        <v>45023</v>
      </c>
      <c r="P203" s="7">
        <v>45053.041666666664</v>
      </c>
      <c r="Q203" s="5" t="s">
        <v>86</v>
      </c>
      <c r="R203" s="5" t="s">
        <v>32</v>
      </c>
      <c r="S203" s="5" t="s">
        <v>53</v>
      </c>
      <c r="T203" s="6">
        <v>10</v>
      </c>
      <c r="U203" s="6">
        <v>8</v>
      </c>
      <c r="V203" s="5" t="s">
        <v>54</v>
      </c>
      <c r="W203" s="8"/>
      <c r="Y203">
        <f t="shared" si="6"/>
        <v>125</v>
      </c>
    </row>
    <row r="204" spans="1:25" ht="15.75" customHeight="1">
      <c r="A204" s="5" t="s">
        <v>587</v>
      </c>
      <c r="B204" s="6">
        <v>2</v>
      </c>
      <c r="C204" s="5" t="s">
        <v>47</v>
      </c>
      <c r="D204" s="6" t="s">
        <v>519</v>
      </c>
      <c r="E204" s="6"/>
      <c r="F204" s="6" t="s">
        <v>139</v>
      </c>
      <c r="G204" s="6">
        <v>2</v>
      </c>
      <c r="H204" s="5" t="s">
        <v>58</v>
      </c>
      <c r="I204" s="6">
        <v>3</v>
      </c>
      <c r="J204" s="5" t="s">
        <v>39</v>
      </c>
      <c r="K204" s="6">
        <v>25707</v>
      </c>
      <c r="L204" s="5" t="s">
        <v>26</v>
      </c>
      <c r="M204" s="5" t="s">
        <v>66</v>
      </c>
      <c r="N204" s="5" t="s">
        <v>28</v>
      </c>
      <c r="O204" s="7">
        <v>45270</v>
      </c>
      <c r="P204" s="7">
        <v>45270.208333333336</v>
      </c>
      <c r="Q204" s="5" t="s">
        <v>86</v>
      </c>
      <c r="R204" s="5" t="s">
        <v>32</v>
      </c>
      <c r="S204" s="5" t="s">
        <v>49</v>
      </c>
      <c r="T204" s="6">
        <v>9</v>
      </c>
      <c r="U204" s="6">
        <v>12</v>
      </c>
      <c r="V204" s="5" t="s">
        <v>54</v>
      </c>
      <c r="W204" s="8"/>
      <c r="Y204">
        <f t="shared" si="6"/>
        <v>75</v>
      </c>
    </row>
    <row r="205" spans="1:25" ht="15.75" customHeight="1">
      <c r="A205" s="5" t="s">
        <v>588</v>
      </c>
      <c r="B205" s="6">
        <v>54</v>
      </c>
      <c r="C205" s="5" t="s">
        <v>36</v>
      </c>
      <c r="D205" s="6" t="s">
        <v>256</v>
      </c>
      <c r="E205" s="6"/>
      <c r="F205" s="6" t="s">
        <v>358</v>
      </c>
      <c r="G205" s="6">
        <v>6</v>
      </c>
      <c r="H205" s="5" t="s">
        <v>58</v>
      </c>
      <c r="I205" s="6">
        <v>3</v>
      </c>
      <c r="J205" s="5" t="s">
        <v>89</v>
      </c>
      <c r="K205" s="6">
        <v>20248</v>
      </c>
      <c r="L205" s="5" t="s">
        <v>90</v>
      </c>
      <c r="M205" s="5" t="s">
        <v>27</v>
      </c>
      <c r="N205" s="5" t="s">
        <v>28</v>
      </c>
      <c r="O205" s="6" t="s">
        <v>589</v>
      </c>
      <c r="P205" s="6" t="s">
        <v>558</v>
      </c>
      <c r="Q205" s="5" t="s">
        <v>43</v>
      </c>
      <c r="R205" s="5" t="s">
        <v>32</v>
      </c>
      <c r="S205" s="5" t="s">
        <v>33</v>
      </c>
      <c r="T205" s="6">
        <v>5</v>
      </c>
      <c r="U205" s="6">
        <v>12</v>
      </c>
      <c r="V205" s="5" t="s">
        <v>54</v>
      </c>
      <c r="W205" s="8"/>
      <c r="Y205">
        <f t="shared" si="6"/>
        <v>41.666666666666671</v>
      </c>
    </row>
    <row r="206" spans="1:25" ht="15.75" customHeight="1">
      <c r="A206" s="5" t="s">
        <v>590</v>
      </c>
      <c r="B206" s="6">
        <v>87</v>
      </c>
      <c r="C206" s="5" t="s">
        <v>51</v>
      </c>
      <c r="D206" s="6" t="s">
        <v>591</v>
      </c>
      <c r="E206" s="6"/>
      <c r="F206" s="6" t="s">
        <v>592</v>
      </c>
      <c r="G206" s="6">
        <v>7</v>
      </c>
      <c r="H206" s="5" t="s">
        <v>38</v>
      </c>
      <c r="I206" s="6">
        <v>4</v>
      </c>
      <c r="J206" s="5" t="s">
        <v>97</v>
      </c>
      <c r="K206" s="6">
        <v>10773</v>
      </c>
      <c r="L206" s="5" t="s">
        <v>26</v>
      </c>
      <c r="M206" s="5" t="s">
        <v>66</v>
      </c>
      <c r="N206" s="5" t="s">
        <v>28</v>
      </c>
      <c r="O206" s="6" t="s">
        <v>591</v>
      </c>
      <c r="P206" s="6" t="s">
        <v>593</v>
      </c>
      <c r="Q206" s="5" t="s">
        <v>86</v>
      </c>
      <c r="R206" s="5" t="s">
        <v>32</v>
      </c>
      <c r="S206" s="5" t="s">
        <v>33</v>
      </c>
      <c r="T206" s="6">
        <v>6</v>
      </c>
      <c r="U206" s="6">
        <v>10</v>
      </c>
      <c r="V206" s="5" t="s">
        <v>54</v>
      </c>
      <c r="W206" s="8"/>
      <c r="Y206">
        <f t="shared" si="6"/>
        <v>60</v>
      </c>
    </row>
    <row r="207" spans="1:25" ht="15.75" customHeight="1">
      <c r="A207" s="5" t="s">
        <v>594</v>
      </c>
      <c r="B207" s="6">
        <v>1</v>
      </c>
      <c r="C207" s="5" t="s">
        <v>36</v>
      </c>
      <c r="D207" s="6" t="s">
        <v>595</v>
      </c>
      <c r="E207" s="6"/>
      <c r="F207" s="6" t="s">
        <v>443</v>
      </c>
      <c r="G207" s="6">
        <v>6</v>
      </c>
      <c r="H207" s="5" t="s">
        <v>46</v>
      </c>
      <c r="I207" s="6">
        <v>2</v>
      </c>
      <c r="J207" s="5" t="s">
        <v>39</v>
      </c>
      <c r="K207" s="6">
        <v>17786</v>
      </c>
      <c r="L207" s="5" t="s">
        <v>26</v>
      </c>
      <c r="M207" s="5" t="s">
        <v>27</v>
      </c>
      <c r="N207" s="5" t="s">
        <v>47</v>
      </c>
      <c r="O207" s="6" t="s">
        <v>595</v>
      </c>
      <c r="P207" s="6" t="s">
        <v>596</v>
      </c>
      <c r="Q207" s="5" t="s">
        <v>69</v>
      </c>
      <c r="R207" s="5" t="s">
        <v>44</v>
      </c>
      <c r="S207" s="5" t="s">
        <v>33</v>
      </c>
      <c r="T207" s="6">
        <v>4</v>
      </c>
      <c r="U207" s="6">
        <v>12</v>
      </c>
      <c r="V207" s="5" t="s">
        <v>54</v>
      </c>
      <c r="W207" s="8"/>
      <c r="Y207">
        <f t="shared" si="6"/>
        <v>33.333333333333329</v>
      </c>
    </row>
    <row r="208" spans="1:25" ht="15.75" customHeight="1">
      <c r="A208" s="5" t="s">
        <v>597</v>
      </c>
      <c r="B208" s="6">
        <v>19</v>
      </c>
      <c r="C208" s="5" t="s">
        <v>51</v>
      </c>
      <c r="D208" s="6" t="s">
        <v>598</v>
      </c>
      <c r="E208" s="6"/>
      <c r="F208" s="7">
        <v>45539</v>
      </c>
      <c r="G208" s="6">
        <v>11</v>
      </c>
      <c r="H208" s="5" t="s">
        <v>83</v>
      </c>
      <c r="I208" s="6">
        <v>4</v>
      </c>
      <c r="J208" s="5" t="s">
        <v>97</v>
      </c>
      <c r="K208" s="6">
        <v>20037</v>
      </c>
      <c r="L208" s="5" t="s">
        <v>26</v>
      </c>
      <c r="M208" s="5" t="s">
        <v>66</v>
      </c>
      <c r="N208" s="5" t="s">
        <v>47</v>
      </c>
      <c r="O208" s="6" t="s">
        <v>318</v>
      </c>
      <c r="P208" s="6" t="s">
        <v>599</v>
      </c>
      <c r="Q208" s="5" t="s">
        <v>69</v>
      </c>
      <c r="R208" s="5" t="s">
        <v>32</v>
      </c>
      <c r="S208" s="5" t="s">
        <v>53</v>
      </c>
      <c r="T208" s="6">
        <v>11</v>
      </c>
      <c r="U208" s="6">
        <v>8</v>
      </c>
      <c r="V208" s="5" t="s">
        <v>54</v>
      </c>
      <c r="W208" s="8"/>
      <c r="Y208">
        <f t="shared" si="6"/>
        <v>137.5</v>
      </c>
    </row>
    <row r="209" spans="1:25" ht="15.75" customHeight="1">
      <c r="A209" s="5" t="s">
        <v>600</v>
      </c>
      <c r="B209" s="6">
        <v>2</v>
      </c>
      <c r="C209" s="5" t="s">
        <v>47</v>
      </c>
      <c r="D209" s="7">
        <v>45234</v>
      </c>
      <c r="E209" s="7"/>
      <c r="F209" s="6" t="s">
        <v>601</v>
      </c>
      <c r="G209" s="6">
        <v>5</v>
      </c>
      <c r="H209" s="5" t="s">
        <v>83</v>
      </c>
      <c r="I209" s="6">
        <v>5</v>
      </c>
      <c r="J209" s="5" t="s">
        <v>89</v>
      </c>
      <c r="K209" s="6">
        <v>6885</v>
      </c>
      <c r="L209" s="5" t="s">
        <v>65</v>
      </c>
      <c r="M209" s="5" t="s">
        <v>66</v>
      </c>
      <c r="N209" s="5" t="s">
        <v>47</v>
      </c>
      <c r="O209" s="7">
        <v>45142</v>
      </c>
      <c r="P209" s="7">
        <v>45173.083333333336</v>
      </c>
      <c r="Q209" s="5" t="s">
        <v>48</v>
      </c>
      <c r="R209" s="5" t="s">
        <v>32</v>
      </c>
      <c r="S209" s="5" t="s">
        <v>53</v>
      </c>
      <c r="T209" s="6">
        <v>8</v>
      </c>
      <c r="U209" s="6">
        <v>12</v>
      </c>
      <c r="V209" s="5" t="s">
        <v>92</v>
      </c>
      <c r="W209" s="8"/>
      <c r="Y209">
        <f t="shared" si="6"/>
        <v>66.666666666666657</v>
      </c>
    </row>
    <row r="210" spans="1:25" ht="15.75" customHeight="1">
      <c r="A210" s="5" t="s">
        <v>602</v>
      </c>
      <c r="B210" s="6">
        <v>53</v>
      </c>
      <c r="C210" s="5" t="s">
        <v>82</v>
      </c>
      <c r="D210" s="6" t="s">
        <v>603</v>
      </c>
      <c r="E210" s="6"/>
      <c r="F210" s="6" t="s">
        <v>196</v>
      </c>
      <c r="G210" s="6">
        <v>6</v>
      </c>
      <c r="H210" s="5" t="s">
        <v>46</v>
      </c>
      <c r="I210" s="6">
        <v>4</v>
      </c>
      <c r="J210" s="5" t="s">
        <v>97</v>
      </c>
      <c r="K210" s="6">
        <v>44828</v>
      </c>
      <c r="L210" s="5" t="s">
        <v>65</v>
      </c>
      <c r="M210" s="5" t="s">
        <v>66</v>
      </c>
      <c r="N210" s="5" t="s">
        <v>47</v>
      </c>
      <c r="O210" s="6" t="s">
        <v>604</v>
      </c>
      <c r="P210" s="6" t="s">
        <v>605</v>
      </c>
      <c r="Q210" s="5" t="s">
        <v>69</v>
      </c>
      <c r="R210" s="5" t="s">
        <v>32</v>
      </c>
      <c r="S210" s="5" t="s">
        <v>33</v>
      </c>
      <c r="T210" s="6">
        <v>7</v>
      </c>
      <c r="U210" s="6">
        <v>8</v>
      </c>
      <c r="V210" s="5" t="s">
        <v>54</v>
      </c>
      <c r="W210" s="8"/>
      <c r="Y210">
        <f t="shared" si="6"/>
        <v>87.5</v>
      </c>
    </row>
    <row r="211" spans="1:25" ht="15.75" customHeight="1">
      <c r="A211" s="5" t="s">
        <v>606</v>
      </c>
      <c r="B211" s="6">
        <v>44</v>
      </c>
      <c r="C211" s="5" t="s">
        <v>36</v>
      </c>
      <c r="D211" s="6" t="s">
        <v>607</v>
      </c>
      <c r="E211" s="6"/>
      <c r="F211" s="6" t="s">
        <v>608</v>
      </c>
      <c r="G211" s="6">
        <v>3</v>
      </c>
      <c r="H211" s="5" t="s">
        <v>58</v>
      </c>
      <c r="I211" s="6">
        <v>5</v>
      </c>
      <c r="J211" s="5" t="s">
        <v>52</v>
      </c>
      <c r="K211" s="6">
        <v>21331</v>
      </c>
      <c r="L211" s="5" t="s">
        <v>90</v>
      </c>
      <c r="M211" s="5" t="s">
        <v>27</v>
      </c>
      <c r="N211" s="5" t="s">
        <v>28</v>
      </c>
      <c r="O211" s="6" t="s">
        <v>498</v>
      </c>
      <c r="P211" s="6" t="s">
        <v>609</v>
      </c>
      <c r="Q211" s="5" t="s">
        <v>31</v>
      </c>
      <c r="R211" s="5" t="s">
        <v>32</v>
      </c>
      <c r="S211" s="5" t="s">
        <v>53</v>
      </c>
      <c r="T211" s="6">
        <v>7</v>
      </c>
      <c r="U211" s="6">
        <v>8</v>
      </c>
      <c r="V211" s="5" t="s">
        <v>34</v>
      </c>
      <c r="W211" s="8"/>
      <c r="Y211">
        <f t="shared" si="6"/>
        <v>87.5</v>
      </c>
    </row>
    <row r="212" spans="1:25" ht="15.75" customHeight="1">
      <c r="A212" s="5" t="s">
        <v>610</v>
      </c>
      <c r="B212" s="6">
        <v>32</v>
      </c>
      <c r="C212" s="5" t="s">
        <v>51</v>
      </c>
      <c r="D212" s="7">
        <v>45081</v>
      </c>
      <c r="E212" s="7"/>
      <c r="F212" s="6" t="s">
        <v>146</v>
      </c>
      <c r="G212" s="6">
        <v>11</v>
      </c>
      <c r="H212" s="5" t="s">
        <v>38</v>
      </c>
      <c r="I212" s="6">
        <v>1</v>
      </c>
      <c r="J212" s="5" t="s">
        <v>52</v>
      </c>
      <c r="K212" s="6">
        <v>45612</v>
      </c>
      <c r="L212" s="5" t="s">
        <v>40</v>
      </c>
      <c r="M212" s="5" t="s">
        <v>27</v>
      </c>
      <c r="N212" s="5" t="s">
        <v>28</v>
      </c>
      <c r="O212" s="7">
        <v>45050</v>
      </c>
      <c r="P212" s="7">
        <v>45081.875</v>
      </c>
      <c r="Q212" s="5" t="s">
        <v>31</v>
      </c>
      <c r="R212" s="5" t="s">
        <v>44</v>
      </c>
      <c r="S212" s="5" t="s">
        <v>53</v>
      </c>
      <c r="T212" s="6">
        <v>6</v>
      </c>
      <c r="U212" s="6">
        <v>12</v>
      </c>
      <c r="V212" s="5" t="s">
        <v>34</v>
      </c>
      <c r="W212" s="8"/>
      <c r="Y212">
        <f t="shared" si="6"/>
        <v>50</v>
      </c>
    </row>
    <row r="213" spans="1:25" ht="15.75" customHeight="1">
      <c r="A213" s="5" t="s">
        <v>611</v>
      </c>
      <c r="B213" s="6">
        <v>70</v>
      </c>
      <c r="C213" s="5" t="s">
        <v>82</v>
      </c>
      <c r="D213" s="6" t="s">
        <v>612</v>
      </c>
      <c r="E213" s="6"/>
      <c r="F213" s="6" t="s">
        <v>363</v>
      </c>
      <c r="G213" s="6">
        <v>15</v>
      </c>
      <c r="H213" s="5" t="s">
        <v>38</v>
      </c>
      <c r="I213" s="6">
        <v>1</v>
      </c>
      <c r="J213" s="5" t="s">
        <v>97</v>
      </c>
      <c r="K213" s="6">
        <v>27495</v>
      </c>
      <c r="L213" s="5" t="s">
        <v>40</v>
      </c>
      <c r="M213" s="5" t="s">
        <v>66</v>
      </c>
      <c r="N213" s="5" t="s">
        <v>28</v>
      </c>
      <c r="O213" s="6" t="s">
        <v>100</v>
      </c>
      <c r="P213" s="6" t="s">
        <v>613</v>
      </c>
      <c r="Q213" s="5" t="s">
        <v>31</v>
      </c>
      <c r="R213" s="5" t="s">
        <v>32</v>
      </c>
      <c r="S213" s="5" t="s">
        <v>49</v>
      </c>
      <c r="T213" s="6">
        <v>5</v>
      </c>
      <c r="U213" s="6">
        <v>10</v>
      </c>
      <c r="V213" s="5" t="s">
        <v>34</v>
      </c>
      <c r="W213" s="8"/>
      <c r="Y213">
        <f t="shared" si="6"/>
        <v>50</v>
      </c>
    </row>
    <row r="214" spans="1:25" ht="15.75" customHeight="1">
      <c r="A214" s="5" t="s">
        <v>614</v>
      </c>
      <c r="B214" s="6">
        <v>32</v>
      </c>
      <c r="C214" s="5" t="s">
        <v>22</v>
      </c>
      <c r="D214" s="6" t="s">
        <v>246</v>
      </c>
      <c r="E214" s="6"/>
      <c r="F214" s="6" t="s">
        <v>252</v>
      </c>
      <c r="G214" s="6">
        <v>8</v>
      </c>
      <c r="H214" s="5" t="s">
        <v>83</v>
      </c>
      <c r="I214" s="6">
        <v>5</v>
      </c>
      <c r="J214" s="5" t="s">
        <v>39</v>
      </c>
      <c r="K214" s="6">
        <v>18450</v>
      </c>
      <c r="L214" s="5" t="s">
        <v>40</v>
      </c>
      <c r="M214" s="5" t="s">
        <v>27</v>
      </c>
      <c r="N214" s="5" t="s">
        <v>28</v>
      </c>
      <c r="O214" s="6" t="s">
        <v>226</v>
      </c>
      <c r="P214" s="6" t="s">
        <v>615</v>
      </c>
      <c r="Q214" s="5" t="s">
        <v>43</v>
      </c>
      <c r="R214" s="5" t="s">
        <v>32</v>
      </c>
      <c r="S214" s="5" t="s">
        <v>33</v>
      </c>
      <c r="T214" s="6">
        <v>5</v>
      </c>
      <c r="U214" s="6">
        <v>12</v>
      </c>
      <c r="V214" s="5" t="s">
        <v>54</v>
      </c>
      <c r="W214" s="8"/>
      <c r="Y214">
        <f t="shared" si="6"/>
        <v>41.666666666666671</v>
      </c>
    </row>
    <row r="215" spans="1:25" ht="15.75" customHeight="1">
      <c r="A215" s="5" t="s">
        <v>616</v>
      </c>
      <c r="B215" s="6">
        <v>68</v>
      </c>
      <c r="C215" s="5" t="s">
        <v>51</v>
      </c>
      <c r="D215" s="6" t="s">
        <v>537</v>
      </c>
      <c r="E215" s="6"/>
      <c r="F215" s="6" t="s">
        <v>554</v>
      </c>
      <c r="G215" s="6">
        <v>2</v>
      </c>
      <c r="H215" s="5" t="s">
        <v>38</v>
      </c>
      <c r="I215" s="6">
        <v>5</v>
      </c>
      <c r="J215" s="5" t="s">
        <v>39</v>
      </c>
      <c r="K215" s="6">
        <v>14491</v>
      </c>
      <c r="L215" s="5" t="s">
        <v>90</v>
      </c>
      <c r="M215" s="5" t="s">
        <v>66</v>
      </c>
      <c r="N215" s="5" t="s">
        <v>28</v>
      </c>
      <c r="O215" s="6" t="s">
        <v>565</v>
      </c>
      <c r="P215" s="6" t="s">
        <v>617</v>
      </c>
      <c r="Q215" s="5" t="s">
        <v>69</v>
      </c>
      <c r="R215" s="5" t="s">
        <v>32</v>
      </c>
      <c r="S215" s="5" t="s">
        <v>33</v>
      </c>
      <c r="T215" s="6">
        <v>5</v>
      </c>
      <c r="U215" s="6">
        <v>12</v>
      </c>
      <c r="V215" s="5" t="s">
        <v>34</v>
      </c>
      <c r="W215" s="8"/>
      <c r="Y215">
        <f t="shared" si="6"/>
        <v>41.666666666666671</v>
      </c>
    </row>
    <row r="216" spans="1:25" ht="15.75" customHeight="1">
      <c r="A216" s="5" t="s">
        <v>618</v>
      </c>
      <c r="B216" s="6">
        <v>55</v>
      </c>
      <c r="C216" s="5" t="s">
        <v>47</v>
      </c>
      <c r="D216" s="7">
        <v>45631</v>
      </c>
      <c r="E216" s="7"/>
      <c r="F216" s="6" t="s">
        <v>422</v>
      </c>
      <c r="G216" s="6">
        <v>2</v>
      </c>
      <c r="H216" s="5" t="s">
        <v>24</v>
      </c>
      <c r="I216" s="6">
        <v>4</v>
      </c>
      <c r="J216" s="5" t="s">
        <v>39</v>
      </c>
      <c r="K216" s="6">
        <v>14268</v>
      </c>
      <c r="L216" s="5" t="s">
        <v>40</v>
      </c>
      <c r="M216" s="5" t="s">
        <v>66</v>
      </c>
      <c r="N216" s="5" t="s">
        <v>47</v>
      </c>
      <c r="O216" s="7">
        <v>45478</v>
      </c>
      <c r="P216" s="7">
        <v>45509</v>
      </c>
      <c r="Q216" s="5" t="s">
        <v>31</v>
      </c>
      <c r="R216" s="5" t="s">
        <v>32</v>
      </c>
      <c r="S216" s="5" t="s">
        <v>53</v>
      </c>
      <c r="T216" s="6">
        <v>9</v>
      </c>
      <c r="U216" s="6">
        <v>10</v>
      </c>
      <c r="V216" s="5" t="s">
        <v>92</v>
      </c>
      <c r="W216" s="8"/>
      <c r="Y216">
        <f t="shared" si="6"/>
        <v>90</v>
      </c>
    </row>
    <row r="217" spans="1:25" ht="15.75" customHeight="1">
      <c r="A217" s="5" t="s">
        <v>619</v>
      </c>
      <c r="B217" s="6">
        <v>75</v>
      </c>
      <c r="C217" s="5" t="s">
        <v>22</v>
      </c>
      <c r="D217" s="7">
        <v>45478</v>
      </c>
      <c r="E217" s="7"/>
      <c r="F217" s="6" t="s">
        <v>620</v>
      </c>
      <c r="G217" s="6">
        <v>14</v>
      </c>
      <c r="H217" s="5" t="s">
        <v>46</v>
      </c>
      <c r="I217" s="6">
        <v>5</v>
      </c>
      <c r="J217" s="5" t="s">
        <v>97</v>
      </c>
      <c r="K217" s="6">
        <v>32757</v>
      </c>
      <c r="L217" s="5" t="s">
        <v>40</v>
      </c>
      <c r="M217" s="5" t="s">
        <v>66</v>
      </c>
      <c r="N217" s="5" t="s">
        <v>47</v>
      </c>
      <c r="O217" s="7">
        <v>45417</v>
      </c>
      <c r="P217" s="7">
        <v>45448.875</v>
      </c>
      <c r="Q217" s="5" t="s">
        <v>48</v>
      </c>
      <c r="R217" s="5" t="s">
        <v>32</v>
      </c>
      <c r="S217" s="5" t="s">
        <v>33</v>
      </c>
      <c r="T217" s="6">
        <v>10</v>
      </c>
      <c r="U217" s="6">
        <v>8</v>
      </c>
      <c r="V217" s="5" t="s">
        <v>54</v>
      </c>
      <c r="W217" s="8"/>
      <c r="Y217">
        <f t="shared" si="6"/>
        <v>125</v>
      </c>
    </row>
    <row r="218" spans="1:25" ht="15.75" customHeight="1">
      <c r="A218" s="5" t="s">
        <v>621</v>
      </c>
      <c r="B218" s="6">
        <v>56</v>
      </c>
      <c r="C218" s="5" t="s">
        <v>22</v>
      </c>
      <c r="D218" s="7">
        <v>45115</v>
      </c>
      <c r="E218" s="7"/>
      <c r="F218" s="7">
        <v>45177</v>
      </c>
      <c r="G218" s="6">
        <v>2</v>
      </c>
      <c r="H218" s="5" t="s">
        <v>58</v>
      </c>
      <c r="I218" s="6">
        <v>2</v>
      </c>
      <c r="J218" s="5" t="s">
        <v>39</v>
      </c>
      <c r="K218" s="6">
        <v>46907</v>
      </c>
      <c r="L218" s="5" t="s">
        <v>26</v>
      </c>
      <c r="M218" s="5" t="s">
        <v>27</v>
      </c>
      <c r="N218" s="5" t="s">
        <v>47</v>
      </c>
      <c r="O218" s="7">
        <v>45085</v>
      </c>
      <c r="P218" s="7">
        <v>45115.458333333336</v>
      </c>
      <c r="Q218" s="5" t="s">
        <v>43</v>
      </c>
      <c r="R218" s="5" t="s">
        <v>32</v>
      </c>
      <c r="S218" s="5" t="s">
        <v>33</v>
      </c>
      <c r="T218" s="6">
        <v>7</v>
      </c>
      <c r="U218" s="6">
        <v>12</v>
      </c>
      <c r="V218" s="5" t="s">
        <v>34</v>
      </c>
      <c r="W218" s="8"/>
      <c r="Y218">
        <f t="shared" si="6"/>
        <v>58.333333333333336</v>
      </c>
    </row>
    <row r="219" spans="1:25" ht="15.75" customHeight="1">
      <c r="A219" s="5" t="s">
        <v>622</v>
      </c>
      <c r="B219" s="6">
        <v>17</v>
      </c>
      <c r="C219" s="5" t="s">
        <v>62</v>
      </c>
      <c r="D219" s="6" t="s">
        <v>281</v>
      </c>
      <c r="E219" s="6"/>
      <c r="F219" s="6" t="s">
        <v>565</v>
      </c>
      <c r="G219" s="6">
        <v>2</v>
      </c>
      <c r="H219" s="5" t="s">
        <v>24</v>
      </c>
      <c r="I219" s="6">
        <v>1</v>
      </c>
      <c r="J219" s="5" t="s">
        <v>89</v>
      </c>
      <c r="K219" s="6">
        <v>11791</v>
      </c>
      <c r="L219" s="5" t="s">
        <v>65</v>
      </c>
      <c r="M219" s="5" t="s">
        <v>27</v>
      </c>
      <c r="N219" s="5" t="s">
        <v>28</v>
      </c>
      <c r="O219" s="6" t="s">
        <v>297</v>
      </c>
      <c r="P219" s="6" t="s">
        <v>623</v>
      </c>
      <c r="Q219" s="5" t="s">
        <v>48</v>
      </c>
      <c r="R219" s="5" t="s">
        <v>32</v>
      </c>
      <c r="S219" s="5" t="s">
        <v>33</v>
      </c>
      <c r="T219" s="6">
        <v>5</v>
      </c>
      <c r="U219" s="6">
        <v>10</v>
      </c>
      <c r="V219" s="5" t="s">
        <v>92</v>
      </c>
      <c r="W219" s="8"/>
      <c r="Y219">
        <f t="shared" si="6"/>
        <v>50</v>
      </c>
    </row>
    <row r="220" spans="1:25" ht="15.75" customHeight="1">
      <c r="A220" s="5" t="s">
        <v>624</v>
      </c>
      <c r="B220" s="6">
        <v>38</v>
      </c>
      <c r="C220" s="5" t="s">
        <v>36</v>
      </c>
      <c r="D220" s="7">
        <v>44960</v>
      </c>
      <c r="E220" s="7"/>
      <c r="F220" s="7">
        <v>45172</v>
      </c>
      <c r="G220" s="6">
        <v>7</v>
      </c>
      <c r="H220" s="5" t="s">
        <v>46</v>
      </c>
      <c r="I220" s="6">
        <v>1</v>
      </c>
      <c r="J220" s="5" t="s">
        <v>52</v>
      </c>
      <c r="K220" s="6">
        <v>44939</v>
      </c>
      <c r="L220" s="5" t="s">
        <v>65</v>
      </c>
      <c r="M220" s="5" t="s">
        <v>66</v>
      </c>
      <c r="N220" s="5" t="s">
        <v>47</v>
      </c>
      <c r="O220" s="6" t="s">
        <v>196</v>
      </c>
      <c r="P220" s="6" t="s">
        <v>625</v>
      </c>
      <c r="Q220" s="5" t="s">
        <v>69</v>
      </c>
      <c r="R220" s="5" t="s">
        <v>32</v>
      </c>
      <c r="S220" s="5" t="s">
        <v>53</v>
      </c>
      <c r="T220" s="6">
        <v>7</v>
      </c>
      <c r="U220" s="6">
        <v>10</v>
      </c>
      <c r="V220" s="5" t="s">
        <v>92</v>
      </c>
      <c r="W220" s="8"/>
      <c r="Y220">
        <f t="shared" si="6"/>
        <v>70</v>
      </c>
    </row>
    <row r="221" spans="1:25" ht="15.75" customHeight="1">
      <c r="A221" s="5" t="s">
        <v>626</v>
      </c>
      <c r="B221" s="6">
        <v>24</v>
      </c>
      <c r="C221" s="5" t="s">
        <v>51</v>
      </c>
      <c r="D221" s="6" t="s">
        <v>226</v>
      </c>
      <c r="E221" s="6"/>
      <c r="F221" s="6" t="s">
        <v>246</v>
      </c>
      <c r="G221" s="6">
        <v>2</v>
      </c>
      <c r="H221" s="5" t="s">
        <v>73</v>
      </c>
      <c r="I221" s="6">
        <v>5</v>
      </c>
      <c r="J221" s="5" t="s">
        <v>89</v>
      </c>
      <c r="K221" s="6">
        <v>33314</v>
      </c>
      <c r="L221" s="5" t="s">
        <v>26</v>
      </c>
      <c r="M221" s="5" t="s">
        <v>66</v>
      </c>
      <c r="N221" s="5" t="s">
        <v>47</v>
      </c>
      <c r="O221" s="6" t="s">
        <v>227</v>
      </c>
      <c r="P221" s="6" t="s">
        <v>627</v>
      </c>
      <c r="Q221" s="5" t="s">
        <v>86</v>
      </c>
      <c r="R221" s="5" t="s">
        <v>32</v>
      </c>
      <c r="S221" s="5" t="s">
        <v>53</v>
      </c>
      <c r="T221" s="6">
        <v>6</v>
      </c>
      <c r="U221" s="6">
        <v>8</v>
      </c>
      <c r="V221" s="5" t="s">
        <v>34</v>
      </c>
      <c r="W221" s="8"/>
      <c r="Y221">
        <f t="shared" si="6"/>
        <v>75</v>
      </c>
    </row>
    <row r="222" spans="1:25" ht="15.75" customHeight="1">
      <c r="A222" s="5" t="s">
        <v>628</v>
      </c>
      <c r="B222" s="6">
        <v>69</v>
      </c>
      <c r="C222" s="5" t="s">
        <v>22</v>
      </c>
      <c r="D222" s="6" t="s">
        <v>260</v>
      </c>
      <c r="E222" s="6"/>
      <c r="F222" s="7">
        <v>45414</v>
      </c>
      <c r="G222" s="6">
        <v>12</v>
      </c>
      <c r="H222" s="5" t="s">
        <v>83</v>
      </c>
      <c r="I222" s="6">
        <v>3</v>
      </c>
      <c r="J222" s="5" t="s">
        <v>39</v>
      </c>
      <c r="K222" s="6">
        <v>33583</v>
      </c>
      <c r="L222" s="5" t="s">
        <v>26</v>
      </c>
      <c r="M222" s="5" t="s">
        <v>66</v>
      </c>
      <c r="N222" s="5" t="s">
        <v>28</v>
      </c>
      <c r="O222" s="6" t="s">
        <v>629</v>
      </c>
      <c r="P222" s="6" t="s">
        <v>630</v>
      </c>
      <c r="Q222" s="5" t="s">
        <v>48</v>
      </c>
      <c r="R222" s="5" t="s">
        <v>32</v>
      </c>
      <c r="S222" s="5" t="s">
        <v>53</v>
      </c>
      <c r="T222" s="6">
        <v>4</v>
      </c>
      <c r="U222" s="6">
        <v>10</v>
      </c>
      <c r="V222" s="5" t="s">
        <v>92</v>
      </c>
      <c r="W222" s="8"/>
      <c r="Y222">
        <f t="shared" si="6"/>
        <v>40</v>
      </c>
    </row>
    <row r="223" spans="1:25" ht="15.75" customHeight="1">
      <c r="A223" s="5" t="s">
        <v>631</v>
      </c>
      <c r="B223" s="6">
        <v>70</v>
      </c>
      <c r="C223" s="5" t="s">
        <v>62</v>
      </c>
      <c r="D223" s="7">
        <v>44986</v>
      </c>
      <c r="E223" s="7"/>
      <c r="F223" s="6" t="s">
        <v>426</v>
      </c>
      <c r="G223" s="6">
        <v>12</v>
      </c>
      <c r="H223" s="5" t="s">
        <v>38</v>
      </c>
      <c r="I223" s="6">
        <v>3</v>
      </c>
      <c r="J223" s="5" t="s">
        <v>89</v>
      </c>
      <c r="K223" s="6">
        <v>26550</v>
      </c>
      <c r="L223" s="5" t="s">
        <v>26</v>
      </c>
      <c r="M223" s="5" t="s">
        <v>66</v>
      </c>
      <c r="N223" s="5" t="s">
        <v>28</v>
      </c>
      <c r="O223" s="6" t="s">
        <v>632</v>
      </c>
      <c r="P223" s="6" t="s">
        <v>633</v>
      </c>
      <c r="Q223" s="5" t="s">
        <v>86</v>
      </c>
      <c r="R223" s="5" t="s">
        <v>32</v>
      </c>
      <c r="S223" s="5" t="s">
        <v>49</v>
      </c>
      <c r="T223" s="6">
        <v>10</v>
      </c>
      <c r="U223" s="6">
        <v>8</v>
      </c>
      <c r="V223" s="5" t="s">
        <v>34</v>
      </c>
      <c r="W223" s="8"/>
      <c r="Y223">
        <f t="shared" si="6"/>
        <v>125</v>
      </c>
    </row>
    <row r="224" spans="1:25" ht="15.75" customHeight="1">
      <c r="A224" s="5" t="s">
        <v>634</v>
      </c>
      <c r="B224" s="6">
        <v>86</v>
      </c>
      <c r="C224" s="5" t="s">
        <v>47</v>
      </c>
      <c r="D224" s="7">
        <v>45384</v>
      </c>
      <c r="E224" s="7"/>
      <c r="F224" s="7">
        <v>45567</v>
      </c>
      <c r="G224" s="6">
        <v>6</v>
      </c>
      <c r="H224" s="5" t="s">
        <v>73</v>
      </c>
      <c r="I224" s="6">
        <v>5</v>
      </c>
      <c r="J224" s="5" t="s">
        <v>39</v>
      </c>
      <c r="K224" s="6">
        <v>5093</v>
      </c>
      <c r="L224" s="5" t="s">
        <v>65</v>
      </c>
      <c r="M224" s="5" t="s">
        <v>66</v>
      </c>
      <c r="N224" s="5" t="s">
        <v>47</v>
      </c>
      <c r="O224" s="7">
        <v>45324</v>
      </c>
      <c r="P224" s="7">
        <v>45353.791666666664</v>
      </c>
      <c r="Q224" s="5" t="s">
        <v>43</v>
      </c>
      <c r="R224" s="5" t="s">
        <v>32</v>
      </c>
      <c r="S224" s="5" t="s">
        <v>33</v>
      </c>
      <c r="T224" s="6">
        <v>9</v>
      </c>
      <c r="U224" s="6">
        <v>12</v>
      </c>
      <c r="V224" s="5" t="s">
        <v>92</v>
      </c>
      <c r="W224" s="8"/>
      <c r="Y224">
        <f t="shared" si="6"/>
        <v>75</v>
      </c>
    </row>
    <row r="225" spans="1:25" ht="15.75" customHeight="1">
      <c r="A225" s="5" t="s">
        <v>635</v>
      </c>
      <c r="B225" s="6">
        <v>11</v>
      </c>
      <c r="C225" s="5" t="s">
        <v>82</v>
      </c>
      <c r="D225" s="6" t="s">
        <v>163</v>
      </c>
      <c r="E225" s="6"/>
      <c r="F225" s="7">
        <v>45270</v>
      </c>
      <c r="G225" s="6">
        <v>13</v>
      </c>
      <c r="H225" s="5" t="s">
        <v>38</v>
      </c>
      <c r="I225" s="6">
        <v>2</v>
      </c>
      <c r="J225" s="5" t="s">
        <v>97</v>
      </c>
      <c r="K225" s="6">
        <v>40755</v>
      </c>
      <c r="L225" s="5" t="s">
        <v>40</v>
      </c>
      <c r="M225" s="5" t="s">
        <v>66</v>
      </c>
      <c r="N225" s="5" t="s">
        <v>28</v>
      </c>
      <c r="O225" s="6" t="s">
        <v>164</v>
      </c>
      <c r="P225" s="6" t="s">
        <v>636</v>
      </c>
      <c r="Q225" s="5" t="s">
        <v>48</v>
      </c>
      <c r="R225" s="5" t="s">
        <v>32</v>
      </c>
      <c r="S225" s="5" t="s">
        <v>49</v>
      </c>
      <c r="T225" s="6">
        <v>8</v>
      </c>
      <c r="U225" s="6">
        <v>10</v>
      </c>
      <c r="V225" s="5" t="s">
        <v>54</v>
      </c>
      <c r="W225" s="8"/>
      <c r="Y225">
        <f t="shared" si="6"/>
        <v>80</v>
      </c>
    </row>
    <row r="226" spans="1:25" ht="15.75" customHeight="1">
      <c r="A226" s="5" t="s">
        <v>637</v>
      </c>
      <c r="B226" s="6">
        <v>16</v>
      </c>
      <c r="C226" s="5" t="s">
        <v>51</v>
      </c>
      <c r="D226" s="7">
        <v>45569</v>
      </c>
      <c r="E226" s="7"/>
      <c r="F226" s="6" t="s">
        <v>638</v>
      </c>
      <c r="G226" s="6">
        <v>3</v>
      </c>
      <c r="H226" s="5" t="s">
        <v>24</v>
      </c>
      <c r="I226" s="6">
        <v>3</v>
      </c>
      <c r="J226" s="5" t="s">
        <v>89</v>
      </c>
      <c r="K226" s="6">
        <v>14967</v>
      </c>
      <c r="L226" s="5" t="s">
        <v>26</v>
      </c>
      <c r="M226" s="5" t="s">
        <v>66</v>
      </c>
      <c r="N226" s="5" t="s">
        <v>28</v>
      </c>
      <c r="O226" s="7">
        <v>45569</v>
      </c>
      <c r="P226" s="7">
        <v>45569.958333333336</v>
      </c>
      <c r="Q226" s="5" t="s">
        <v>48</v>
      </c>
      <c r="R226" s="5" t="s">
        <v>32</v>
      </c>
      <c r="S226" s="5" t="s">
        <v>53</v>
      </c>
      <c r="T226" s="6">
        <v>6</v>
      </c>
      <c r="U226" s="6">
        <v>12</v>
      </c>
      <c r="V226" s="5" t="s">
        <v>54</v>
      </c>
      <c r="W226" s="8"/>
      <c r="Y226">
        <f t="shared" si="6"/>
        <v>50</v>
      </c>
    </row>
    <row r="227" spans="1:25" ht="15.75" customHeight="1">
      <c r="A227" s="5" t="s">
        <v>639</v>
      </c>
      <c r="B227" s="6">
        <v>73</v>
      </c>
      <c r="C227" s="5" t="s">
        <v>22</v>
      </c>
      <c r="D227" s="6" t="s">
        <v>640</v>
      </c>
      <c r="E227" s="6"/>
      <c r="F227" s="6" t="s">
        <v>400</v>
      </c>
      <c r="G227" s="6">
        <v>9</v>
      </c>
      <c r="H227" s="5" t="s">
        <v>58</v>
      </c>
      <c r="I227" s="6">
        <v>5</v>
      </c>
      <c r="J227" s="5" t="s">
        <v>97</v>
      </c>
      <c r="K227" s="6">
        <v>21218</v>
      </c>
      <c r="L227" s="5" t="s">
        <v>90</v>
      </c>
      <c r="M227" s="5" t="s">
        <v>66</v>
      </c>
      <c r="N227" s="5" t="s">
        <v>28</v>
      </c>
      <c r="O227" s="6" t="s">
        <v>640</v>
      </c>
      <c r="P227" s="6" t="s">
        <v>641</v>
      </c>
      <c r="Q227" s="5" t="s">
        <v>43</v>
      </c>
      <c r="R227" s="5" t="s">
        <v>32</v>
      </c>
      <c r="S227" s="5" t="s">
        <v>49</v>
      </c>
      <c r="T227" s="6">
        <v>10</v>
      </c>
      <c r="U227" s="6">
        <v>10</v>
      </c>
      <c r="V227" s="5" t="s">
        <v>54</v>
      </c>
      <c r="W227" s="8"/>
      <c r="Y227">
        <f t="shared" si="6"/>
        <v>100</v>
      </c>
    </row>
    <row r="228" spans="1:25" ht="15.75" customHeight="1">
      <c r="A228" s="5" t="s">
        <v>642</v>
      </c>
      <c r="B228" s="6">
        <v>59</v>
      </c>
      <c r="C228" s="5" t="s">
        <v>36</v>
      </c>
      <c r="D228" s="7">
        <v>45538</v>
      </c>
      <c r="E228" s="7"/>
      <c r="F228" s="7">
        <v>45568</v>
      </c>
      <c r="G228" s="6">
        <v>1</v>
      </c>
      <c r="H228" s="5" t="s">
        <v>58</v>
      </c>
      <c r="I228" s="6">
        <v>2</v>
      </c>
      <c r="J228" s="5" t="s">
        <v>97</v>
      </c>
      <c r="K228" s="6">
        <v>48220</v>
      </c>
      <c r="L228" s="5" t="s">
        <v>26</v>
      </c>
      <c r="M228" s="5" t="s">
        <v>66</v>
      </c>
      <c r="N228" s="5" t="s">
        <v>28</v>
      </c>
      <c r="O228" s="7">
        <v>45446</v>
      </c>
      <c r="P228" s="7">
        <v>45476.75</v>
      </c>
      <c r="Q228" s="5" t="s">
        <v>43</v>
      </c>
      <c r="R228" s="5" t="s">
        <v>32</v>
      </c>
      <c r="S228" s="5" t="s">
        <v>33</v>
      </c>
      <c r="T228" s="6">
        <v>7</v>
      </c>
      <c r="U228" s="6">
        <v>10</v>
      </c>
      <c r="V228" s="5" t="s">
        <v>54</v>
      </c>
      <c r="W228" s="8"/>
      <c r="Y228">
        <f t="shared" si="6"/>
        <v>70</v>
      </c>
    </row>
    <row r="229" spans="1:25" ht="15.75" customHeight="1">
      <c r="A229" s="5" t="s">
        <v>643</v>
      </c>
      <c r="B229" s="6">
        <v>70</v>
      </c>
      <c r="C229" s="5" t="s">
        <v>62</v>
      </c>
      <c r="D229" s="6" t="s">
        <v>644</v>
      </c>
      <c r="E229" s="6"/>
      <c r="F229" s="6" t="s">
        <v>332</v>
      </c>
      <c r="G229" s="6">
        <v>10</v>
      </c>
      <c r="H229" s="5" t="s">
        <v>58</v>
      </c>
      <c r="I229" s="6">
        <v>2</v>
      </c>
      <c r="J229" s="5" t="s">
        <v>25</v>
      </c>
      <c r="K229" s="6">
        <v>13627</v>
      </c>
      <c r="L229" s="5" t="s">
        <v>80</v>
      </c>
      <c r="M229" s="5" t="s">
        <v>66</v>
      </c>
      <c r="N229" s="5" t="s">
        <v>47</v>
      </c>
      <c r="O229" s="7">
        <v>45540</v>
      </c>
      <c r="P229" s="7">
        <v>45570.666666666664</v>
      </c>
      <c r="Q229" s="5" t="s">
        <v>31</v>
      </c>
      <c r="R229" s="5" t="s">
        <v>32</v>
      </c>
      <c r="S229" s="5" t="s">
        <v>33</v>
      </c>
      <c r="T229" s="6">
        <v>6</v>
      </c>
      <c r="U229" s="6">
        <v>12</v>
      </c>
      <c r="V229" s="5" t="s">
        <v>54</v>
      </c>
      <c r="W229" s="8"/>
      <c r="Y229">
        <f t="shared" si="6"/>
        <v>50</v>
      </c>
    </row>
    <row r="230" spans="1:25" ht="15.75" customHeight="1">
      <c r="A230" s="5" t="s">
        <v>645</v>
      </c>
      <c r="B230" s="6">
        <v>80</v>
      </c>
      <c r="C230" s="5" t="s">
        <v>22</v>
      </c>
      <c r="D230" s="7">
        <v>45144</v>
      </c>
      <c r="E230" s="7"/>
      <c r="F230" s="6" t="s">
        <v>251</v>
      </c>
      <c r="G230" s="6">
        <v>9</v>
      </c>
      <c r="H230" s="5" t="s">
        <v>38</v>
      </c>
      <c r="I230" s="6">
        <v>4</v>
      </c>
      <c r="J230" s="5" t="s">
        <v>39</v>
      </c>
      <c r="K230" s="6">
        <v>9947</v>
      </c>
      <c r="L230" s="5" t="s">
        <v>26</v>
      </c>
      <c r="M230" s="5" t="s">
        <v>66</v>
      </c>
      <c r="N230" s="5" t="s">
        <v>47</v>
      </c>
      <c r="O230" s="7">
        <v>45052</v>
      </c>
      <c r="P230" s="7">
        <v>45052.125</v>
      </c>
      <c r="Q230" s="5" t="s">
        <v>69</v>
      </c>
      <c r="R230" s="5" t="s">
        <v>32</v>
      </c>
      <c r="S230" s="5" t="s">
        <v>53</v>
      </c>
      <c r="T230" s="6">
        <v>8</v>
      </c>
      <c r="U230" s="6">
        <v>10</v>
      </c>
      <c r="V230" s="5" t="s">
        <v>34</v>
      </c>
      <c r="W230" s="8"/>
      <c r="Y230">
        <f t="shared" si="6"/>
        <v>80</v>
      </c>
    </row>
    <row r="231" spans="1:25" ht="15.75" customHeight="1">
      <c r="A231" s="5" t="s">
        <v>646</v>
      </c>
      <c r="B231" s="6">
        <v>3</v>
      </c>
      <c r="C231" s="5" t="s">
        <v>36</v>
      </c>
      <c r="D231" s="6" t="s">
        <v>541</v>
      </c>
      <c r="E231" s="6"/>
      <c r="F231" s="6" t="s">
        <v>111</v>
      </c>
      <c r="G231" s="6">
        <v>9</v>
      </c>
      <c r="H231" s="5" t="s">
        <v>73</v>
      </c>
      <c r="I231" s="6">
        <v>2</v>
      </c>
      <c r="J231" s="5" t="s">
        <v>52</v>
      </c>
      <c r="K231" s="6">
        <v>44419</v>
      </c>
      <c r="L231" s="5" t="s">
        <v>65</v>
      </c>
      <c r="M231" s="5" t="s">
        <v>27</v>
      </c>
      <c r="N231" s="5" t="s">
        <v>28</v>
      </c>
      <c r="O231" s="6" t="s">
        <v>542</v>
      </c>
      <c r="P231" s="6" t="s">
        <v>647</v>
      </c>
      <c r="Q231" s="5" t="s">
        <v>48</v>
      </c>
      <c r="R231" s="5" t="s">
        <v>44</v>
      </c>
      <c r="S231" s="5" t="s">
        <v>53</v>
      </c>
      <c r="T231" s="6">
        <v>10</v>
      </c>
      <c r="U231" s="6">
        <v>12</v>
      </c>
      <c r="V231" s="5" t="s">
        <v>54</v>
      </c>
      <c r="W231" s="8"/>
      <c r="Y231">
        <f t="shared" si="6"/>
        <v>83.333333333333343</v>
      </c>
    </row>
    <row r="232" spans="1:25" ht="15.75" customHeight="1">
      <c r="A232" s="5" t="s">
        <v>648</v>
      </c>
      <c r="B232" s="6">
        <v>20</v>
      </c>
      <c r="C232" s="5" t="s">
        <v>22</v>
      </c>
      <c r="D232" s="6" t="s">
        <v>649</v>
      </c>
      <c r="E232" s="6"/>
      <c r="F232" s="7">
        <v>45088</v>
      </c>
      <c r="G232" s="6">
        <v>6</v>
      </c>
      <c r="H232" s="5" t="s">
        <v>58</v>
      </c>
      <c r="I232" s="6">
        <v>3</v>
      </c>
      <c r="J232" s="5" t="s">
        <v>39</v>
      </c>
      <c r="K232" s="6">
        <v>28178</v>
      </c>
      <c r="L232" s="5" t="s">
        <v>26</v>
      </c>
      <c r="M232" s="5" t="s">
        <v>66</v>
      </c>
      <c r="N232" s="5" t="s">
        <v>28</v>
      </c>
      <c r="O232" s="6" t="s">
        <v>650</v>
      </c>
      <c r="P232" s="6" t="s">
        <v>651</v>
      </c>
      <c r="Q232" s="5" t="s">
        <v>48</v>
      </c>
      <c r="R232" s="5" t="s">
        <v>32</v>
      </c>
      <c r="S232" s="5" t="s">
        <v>49</v>
      </c>
      <c r="T232" s="6">
        <v>9</v>
      </c>
      <c r="U232" s="6">
        <v>12</v>
      </c>
      <c r="V232" s="5" t="s">
        <v>54</v>
      </c>
      <c r="W232" s="8"/>
      <c r="Y232">
        <f t="shared" si="6"/>
        <v>75</v>
      </c>
    </row>
    <row r="233" spans="1:25" ht="15.75" customHeight="1">
      <c r="A233" s="5" t="s">
        <v>652</v>
      </c>
      <c r="B233" s="6">
        <v>59</v>
      </c>
      <c r="C233" s="5" t="s">
        <v>51</v>
      </c>
      <c r="D233" s="7">
        <v>45238</v>
      </c>
      <c r="E233" s="7"/>
      <c r="F233" s="6" t="s">
        <v>200</v>
      </c>
      <c r="G233" s="6">
        <v>11</v>
      </c>
      <c r="H233" s="5" t="s">
        <v>73</v>
      </c>
      <c r="I233" s="6">
        <v>3</v>
      </c>
      <c r="J233" s="5" t="s">
        <v>52</v>
      </c>
      <c r="K233" s="6">
        <v>33876</v>
      </c>
      <c r="L233" s="5" t="s">
        <v>80</v>
      </c>
      <c r="M233" s="5" t="s">
        <v>66</v>
      </c>
      <c r="N233" s="5" t="s">
        <v>28</v>
      </c>
      <c r="O233" s="7">
        <v>45115</v>
      </c>
      <c r="P233" s="7">
        <v>45146.833333333336</v>
      </c>
      <c r="Q233" s="5" t="s">
        <v>43</v>
      </c>
      <c r="R233" s="5" t="s">
        <v>32</v>
      </c>
      <c r="S233" s="5" t="s">
        <v>53</v>
      </c>
      <c r="T233" s="6">
        <v>11</v>
      </c>
      <c r="U233" s="6">
        <v>8</v>
      </c>
      <c r="V233" s="5" t="s">
        <v>54</v>
      </c>
      <c r="W233" s="8"/>
      <c r="Y233">
        <f t="shared" si="6"/>
        <v>137.5</v>
      </c>
    </row>
    <row r="234" spans="1:25" ht="15.75" customHeight="1">
      <c r="A234" s="5" t="s">
        <v>653</v>
      </c>
      <c r="B234" s="6">
        <v>36</v>
      </c>
      <c r="C234" s="5" t="s">
        <v>51</v>
      </c>
      <c r="D234" s="7">
        <v>44929</v>
      </c>
      <c r="E234" s="7"/>
      <c r="F234" s="7">
        <v>44988</v>
      </c>
      <c r="G234" s="6">
        <v>2</v>
      </c>
      <c r="H234" s="5" t="s">
        <v>38</v>
      </c>
      <c r="I234" s="6">
        <v>5</v>
      </c>
      <c r="J234" s="5" t="s">
        <v>39</v>
      </c>
      <c r="K234" s="6">
        <v>27908</v>
      </c>
      <c r="L234" s="5" t="s">
        <v>90</v>
      </c>
      <c r="M234" s="5" t="s">
        <v>66</v>
      </c>
      <c r="N234" s="5" t="s">
        <v>28</v>
      </c>
      <c r="O234" s="6" t="s">
        <v>196</v>
      </c>
      <c r="P234" s="6" t="s">
        <v>654</v>
      </c>
      <c r="Q234" s="5" t="s">
        <v>43</v>
      </c>
      <c r="R234" s="5" t="s">
        <v>32</v>
      </c>
      <c r="S234" s="5" t="s">
        <v>49</v>
      </c>
      <c r="T234" s="6">
        <v>4</v>
      </c>
      <c r="U234" s="6">
        <v>12</v>
      </c>
      <c r="V234" s="5" t="s">
        <v>54</v>
      </c>
      <c r="W234" s="8"/>
      <c r="Y234">
        <f t="shared" si="6"/>
        <v>33.333333333333329</v>
      </c>
    </row>
    <row r="235" spans="1:25" ht="15.75" customHeight="1">
      <c r="A235" s="5" t="s">
        <v>655</v>
      </c>
      <c r="B235" s="6">
        <v>19</v>
      </c>
      <c r="C235" s="5" t="s">
        <v>51</v>
      </c>
      <c r="D235" s="7">
        <v>45019</v>
      </c>
      <c r="E235" s="7"/>
      <c r="F235" s="7">
        <v>45233</v>
      </c>
      <c r="G235" s="6">
        <v>7</v>
      </c>
      <c r="H235" s="5" t="s">
        <v>24</v>
      </c>
      <c r="I235" s="6">
        <v>5</v>
      </c>
      <c r="J235" s="5" t="s">
        <v>97</v>
      </c>
      <c r="K235" s="6">
        <v>40912</v>
      </c>
      <c r="L235" s="5" t="s">
        <v>40</v>
      </c>
      <c r="M235" s="5" t="s">
        <v>66</v>
      </c>
      <c r="N235" s="5" t="s">
        <v>28</v>
      </c>
      <c r="O235" s="7">
        <v>45019</v>
      </c>
      <c r="P235" s="7">
        <v>45049.083333333336</v>
      </c>
      <c r="Q235" s="5" t="s">
        <v>69</v>
      </c>
      <c r="R235" s="5" t="s">
        <v>32</v>
      </c>
      <c r="S235" s="5" t="s">
        <v>33</v>
      </c>
      <c r="T235" s="6">
        <v>8</v>
      </c>
      <c r="U235" s="6">
        <v>8</v>
      </c>
      <c r="V235" s="5" t="s">
        <v>92</v>
      </c>
      <c r="W235" s="8"/>
      <c r="Y235">
        <f t="shared" si="6"/>
        <v>100</v>
      </c>
    </row>
    <row r="236" spans="1:25" ht="15.75" customHeight="1">
      <c r="A236" s="5" t="s">
        <v>656</v>
      </c>
      <c r="B236" s="6">
        <v>67</v>
      </c>
      <c r="C236" s="5" t="s">
        <v>47</v>
      </c>
      <c r="D236" s="6" t="s">
        <v>278</v>
      </c>
      <c r="E236" s="6"/>
      <c r="F236" s="6" t="s">
        <v>657</v>
      </c>
      <c r="G236" s="6">
        <v>6</v>
      </c>
      <c r="H236" s="5" t="s">
        <v>73</v>
      </c>
      <c r="I236" s="6">
        <v>2</v>
      </c>
      <c r="J236" s="5" t="s">
        <v>89</v>
      </c>
      <c r="K236" s="6">
        <v>24971</v>
      </c>
      <c r="L236" s="5" t="s">
        <v>26</v>
      </c>
      <c r="M236" s="5" t="s">
        <v>66</v>
      </c>
      <c r="N236" s="5" t="s">
        <v>28</v>
      </c>
      <c r="O236" s="6" t="s">
        <v>278</v>
      </c>
      <c r="P236" s="6" t="s">
        <v>658</v>
      </c>
      <c r="Q236" s="5" t="s">
        <v>43</v>
      </c>
      <c r="R236" s="5" t="s">
        <v>32</v>
      </c>
      <c r="S236" s="5" t="s">
        <v>33</v>
      </c>
      <c r="T236" s="6">
        <v>10</v>
      </c>
      <c r="U236" s="6">
        <v>12</v>
      </c>
      <c r="V236" s="5" t="s">
        <v>54</v>
      </c>
      <c r="W236" s="8"/>
      <c r="Y236">
        <f t="shared" si="6"/>
        <v>83.333333333333343</v>
      </c>
    </row>
    <row r="237" spans="1:25" ht="15.75" customHeight="1">
      <c r="A237" s="5" t="s">
        <v>659</v>
      </c>
      <c r="B237" s="6">
        <v>19</v>
      </c>
      <c r="C237" s="5" t="s">
        <v>47</v>
      </c>
      <c r="D237" s="6" t="s">
        <v>660</v>
      </c>
      <c r="E237" s="6"/>
      <c r="F237" s="6" t="s">
        <v>500</v>
      </c>
      <c r="G237" s="6">
        <v>14</v>
      </c>
      <c r="H237" s="5" t="s">
        <v>24</v>
      </c>
      <c r="I237" s="6">
        <v>1</v>
      </c>
      <c r="J237" s="5" t="s">
        <v>89</v>
      </c>
      <c r="K237" s="6">
        <v>37584</v>
      </c>
      <c r="L237" s="5" t="s">
        <v>80</v>
      </c>
      <c r="M237" s="5" t="s">
        <v>66</v>
      </c>
      <c r="N237" s="5" t="s">
        <v>28</v>
      </c>
      <c r="O237" s="6" t="s">
        <v>168</v>
      </c>
      <c r="P237" s="6" t="s">
        <v>661</v>
      </c>
      <c r="Q237" s="5" t="s">
        <v>86</v>
      </c>
      <c r="R237" s="5" t="s">
        <v>44</v>
      </c>
      <c r="S237" s="5" t="s">
        <v>33</v>
      </c>
      <c r="T237" s="6">
        <v>9</v>
      </c>
      <c r="U237" s="6">
        <v>10</v>
      </c>
      <c r="V237" s="5" t="s">
        <v>54</v>
      </c>
      <c r="W237" s="8"/>
      <c r="Y237">
        <f t="shared" si="6"/>
        <v>90</v>
      </c>
    </row>
    <row r="238" spans="1:25" ht="15.75" customHeight="1">
      <c r="A238" s="5" t="s">
        <v>662</v>
      </c>
      <c r="B238" s="6">
        <v>20</v>
      </c>
      <c r="C238" s="5" t="s">
        <v>62</v>
      </c>
      <c r="D238" s="6" t="s">
        <v>603</v>
      </c>
      <c r="E238" s="6"/>
      <c r="F238" s="7">
        <v>45019</v>
      </c>
      <c r="G238" s="6">
        <v>11</v>
      </c>
      <c r="H238" s="5" t="s">
        <v>38</v>
      </c>
      <c r="I238" s="6">
        <v>4</v>
      </c>
      <c r="J238" s="5" t="s">
        <v>25</v>
      </c>
      <c r="K238" s="6">
        <v>13959</v>
      </c>
      <c r="L238" s="5" t="s">
        <v>80</v>
      </c>
      <c r="M238" s="5" t="s">
        <v>66</v>
      </c>
      <c r="N238" s="5" t="s">
        <v>28</v>
      </c>
      <c r="O238" s="6" t="s">
        <v>338</v>
      </c>
      <c r="P238" s="6" t="s">
        <v>663</v>
      </c>
      <c r="Q238" s="5" t="s">
        <v>86</v>
      </c>
      <c r="R238" s="5" t="s">
        <v>44</v>
      </c>
      <c r="S238" s="5" t="s">
        <v>33</v>
      </c>
      <c r="T238" s="6">
        <v>7</v>
      </c>
      <c r="U238" s="6">
        <v>12</v>
      </c>
      <c r="V238" s="5" t="s">
        <v>34</v>
      </c>
      <c r="W238" s="8"/>
      <c r="Y238">
        <f t="shared" si="6"/>
        <v>58.333333333333336</v>
      </c>
    </row>
    <row r="239" spans="1:25" ht="15.75" customHeight="1">
      <c r="A239" s="5" t="s">
        <v>664</v>
      </c>
      <c r="B239" s="6">
        <v>71</v>
      </c>
      <c r="C239" s="5" t="s">
        <v>51</v>
      </c>
      <c r="D239" s="7">
        <v>45356</v>
      </c>
      <c r="E239" s="7"/>
      <c r="F239" s="6" t="s">
        <v>665</v>
      </c>
      <c r="G239" s="6">
        <v>13</v>
      </c>
      <c r="H239" s="5" t="s">
        <v>38</v>
      </c>
      <c r="I239" s="6">
        <v>1</v>
      </c>
      <c r="J239" s="5" t="s">
        <v>52</v>
      </c>
      <c r="K239" s="6">
        <v>33261</v>
      </c>
      <c r="L239" s="5" t="s">
        <v>90</v>
      </c>
      <c r="M239" s="5" t="s">
        <v>27</v>
      </c>
      <c r="N239" s="5" t="s">
        <v>47</v>
      </c>
      <c r="O239" s="6" t="s">
        <v>530</v>
      </c>
      <c r="P239" s="6" t="s">
        <v>666</v>
      </c>
      <c r="Q239" s="5" t="s">
        <v>86</v>
      </c>
      <c r="R239" s="5" t="s">
        <v>32</v>
      </c>
      <c r="S239" s="5" t="s">
        <v>33</v>
      </c>
      <c r="T239" s="6">
        <v>8</v>
      </c>
      <c r="U239" s="6">
        <v>10</v>
      </c>
      <c r="V239" s="5" t="s">
        <v>92</v>
      </c>
      <c r="W239" s="8"/>
      <c r="Y239">
        <f t="shared" si="6"/>
        <v>80</v>
      </c>
    </row>
    <row r="240" spans="1:25" ht="15.75" customHeight="1">
      <c r="A240" s="5" t="s">
        <v>667</v>
      </c>
      <c r="B240" s="6">
        <v>52</v>
      </c>
      <c r="C240" s="5" t="s">
        <v>36</v>
      </c>
      <c r="D240" s="6" t="s">
        <v>668</v>
      </c>
      <c r="E240" s="6"/>
      <c r="F240" s="7">
        <v>45418</v>
      </c>
      <c r="G240" s="6">
        <v>7</v>
      </c>
      <c r="H240" s="5" t="s">
        <v>83</v>
      </c>
      <c r="I240" s="6">
        <v>2</v>
      </c>
      <c r="J240" s="5" t="s">
        <v>52</v>
      </c>
      <c r="K240" s="6">
        <v>46065</v>
      </c>
      <c r="L240" s="5" t="s">
        <v>65</v>
      </c>
      <c r="M240" s="5" t="s">
        <v>66</v>
      </c>
      <c r="N240" s="5" t="s">
        <v>28</v>
      </c>
      <c r="O240" s="6" t="s">
        <v>669</v>
      </c>
      <c r="P240" s="6" t="s">
        <v>670</v>
      </c>
      <c r="Q240" s="5" t="s">
        <v>86</v>
      </c>
      <c r="R240" s="5" t="s">
        <v>44</v>
      </c>
      <c r="S240" s="5" t="s">
        <v>49</v>
      </c>
      <c r="T240" s="6">
        <v>11</v>
      </c>
      <c r="U240" s="6">
        <v>8</v>
      </c>
      <c r="V240" s="5" t="s">
        <v>34</v>
      </c>
      <c r="W240" s="8"/>
      <c r="Y240">
        <f t="shared" si="6"/>
        <v>137.5</v>
      </c>
    </row>
    <row r="241" spans="1:25" ht="15.75" customHeight="1">
      <c r="A241" s="5" t="s">
        <v>671</v>
      </c>
      <c r="B241" s="6">
        <v>33</v>
      </c>
      <c r="C241" s="5" t="s">
        <v>22</v>
      </c>
      <c r="D241" s="7">
        <v>45236</v>
      </c>
      <c r="E241" s="7"/>
      <c r="F241" s="6" t="s">
        <v>244</v>
      </c>
      <c r="G241" s="6">
        <v>14</v>
      </c>
      <c r="H241" s="5" t="s">
        <v>38</v>
      </c>
      <c r="I241" s="6">
        <v>2</v>
      </c>
      <c r="J241" s="5" t="s">
        <v>52</v>
      </c>
      <c r="K241" s="6">
        <v>44462</v>
      </c>
      <c r="L241" s="5" t="s">
        <v>26</v>
      </c>
      <c r="M241" s="5" t="s">
        <v>66</v>
      </c>
      <c r="N241" s="5" t="s">
        <v>47</v>
      </c>
      <c r="O241" s="7">
        <v>45083</v>
      </c>
      <c r="P241" s="7">
        <v>45083.708333333336</v>
      </c>
      <c r="Q241" s="5" t="s">
        <v>69</v>
      </c>
      <c r="R241" s="5" t="s">
        <v>32</v>
      </c>
      <c r="S241" s="5" t="s">
        <v>33</v>
      </c>
      <c r="T241" s="6">
        <v>6</v>
      </c>
      <c r="U241" s="6">
        <v>10</v>
      </c>
      <c r="V241" s="5" t="s">
        <v>54</v>
      </c>
      <c r="W241" s="8"/>
      <c r="Y241">
        <f t="shared" si="6"/>
        <v>60</v>
      </c>
    </row>
    <row r="242" spans="1:25" ht="15.75" customHeight="1">
      <c r="A242" s="5" t="s">
        <v>672</v>
      </c>
      <c r="B242" s="6">
        <v>40</v>
      </c>
      <c r="C242" s="5" t="s">
        <v>82</v>
      </c>
      <c r="D242" s="6" t="s">
        <v>660</v>
      </c>
      <c r="E242" s="6"/>
      <c r="F242" s="6" t="s">
        <v>193</v>
      </c>
      <c r="G242" s="6">
        <v>15</v>
      </c>
      <c r="H242" s="5" t="s">
        <v>38</v>
      </c>
      <c r="I242" s="6">
        <v>1</v>
      </c>
      <c r="J242" s="5" t="s">
        <v>97</v>
      </c>
      <c r="K242" s="6">
        <v>20835</v>
      </c>
      <c r="L242" s="5" t="s">
        <v>80</v>
      </c>
      <c r="M242" s="5" t="s">
        <v>27</v>
      </c>
      <c r="N242" s="5" t="s">
        <v>47</v>
      </c>
      <c r="O242" s="6" t="s">
        <v>435</v>
      </c>
      <c r="P242" s="6" t="s">
        <v>673</v>
      </c>
      <c r="Q242" s="5" t="s">
        <v>48</v>
      </c>
      <c r="R242" s="5" t="s">
        <v>32</v>
      </c>
      <c r="S242" s="5" t="s">
        <v>49</v>
      </c>
      <c r="T242" s="6">
        <v>5</v>
      </c>
      <c r="U242" s="6">
        <v>12</v>
      </c>
      <c r="V242" s="5" t="s">
        <v>34</v>
      </c>
      <c r="W242" s="8"/>
      <c r="Y242">
        <f t="shared" si="6"/>
        <v>41.666666666666671</v>
      </c>
    </row>
    <row r="243" spans="1:25" ht="15.75" customHeight="1">
      <c r="A243" s="5" t="s">
        <v>674</v>
      </c>
      <c r="B243" s="6">
        <v>39</v>
      </c>
      <c r="C243" s="5" t="s">
        <v>36</v>
      </c>
      <c r="D243" s="7">
        <v>45388</v>
      </c>
      <c r="E243" s="7"/>
      <c r="F243" s="6" t="s">
        <v>675</v>
      </c>
      <c r="G243" s="6">
        <v>12</v>
      </c>
      <c r="H243" s="5" t="s">
        <v>46</v>
      </c>
      <c r="I243" s="6">
        <v>4</v>
      </c>
      <c r="J243" s="5" t="s">
        <v>52</v>
      </c>
      <c r="K243" s="6">
        <v>24257</v>
      </c>
      <c r="L243" s="5" t="s">
        <v>90</v>
      </c>
      <c r="M243" s="5" t="s">
        <v>66</v>
      </c>
      <c r="N243" s="5" t="s">
        <v>28</v>
      </c>
      <c r="O243" s="7">
        <v>45328</v>
      </c>
      <c r="P243" s="7">
        <v>45357.375</v>
      </c>
      <c r="Q243" s="5" t="s">
        <v>86</v>
      </c>
      <c r="R243" s="5" t="s">
        <v>32</v>
      </c>
      <c r="S243" s="5" t="s">
        <v>33</v>
      </c>
      <c r="T243" s="6">
        <v>6</v>
      </c>
      <c r="U243" s="6">
        <v>10</v>
      </c>
      <c r="V243" s="5" t="s">
        <v>34</v>
      </c>
      <c r="W243" s="8"/>
      <c r="Y243">
        <f t="shared" si="6"/>
        <v>60</v>
      </c>
    </row>
    <row r="244" spans="1:25" ht="15.75" customHeight="1">
      <c r="A244" s="5" t="s">
        <v>676</v>
      </c>
      <c r="B244" s="6">
        <v>82</v>
      </c>
      <c r="C244" s="5" t="s">
        <v>47</v>
      </c>
      <c r="D244" s="6" t="s">
        <v>501</v>
      </c>
      <c r="E244" s="6"/>
      <c r="F244" s="6" t="s">
        <v>443</v>
      </c>
      <c r="G244" s="6">
        <v>1</v>
      </c>
      <c r="H244" s="5" t="s">
        <v>58</v>
      </c>
      <c r="I244" s="6">
        <v>1</v>
      </c>
      <c r="J244" s="5" t="s">
        <v>89</v>
      </c>
      <c r="K244" s="6">
        <v>8346</v>
      </c>
      <c r="L244" s="5" t="s">
        <v>40</v>
      </c>
      <c r="M244" s="5" t="s">
        <v>27</v>
      </c>
      <c r="N244" s="5" t="s">
        <v>47</v>
      </c>
      <c r="O244" s="6" t="s">
        <v>508</v>
      </c>
      <c r="P244" s="6" t="s">
        <v>178</v>
      </c>
      <c r="Q244" s="5" t="s">
        <v>43</v>
      </c>
      <c r="R244" s="5" t="s">
        <v>32</v>
      </c>
      <c r="S244" s="5" t="s">
        <v>49</v>
      </c>
      <c r="T244" s="6">
        <v>7</v>
      </c>
      <c r="U244" s="6">
        <v>8</v>
      </c>
      <c r="V244" s="5" t="s">
        <v>54</v>
      </c>
      <c r="W244" s="8"/>
      <c r="Y244">
        <f t="shared" si="6"/>
        <v>87.5</v>
      </c>
    </row>
    <row r="245" spans="1:25" ht="15.75" customHeight="1">
      <c r="A245" s="5" t="s">
        <v>677</v>
      </c>
      <c r="B245" s="6">
        <v>1</v>
      </c>
      <c r="C245" s="5" t="s">
        <v>47</v>
      </c>
      <c r="D245" s="7">
        <v>45206</v>
      </c>
      <c r="E245" s="7"/>
      <c r="F245" s="6" t="s">
        <v>189</v>
      </c>
      <c r="G245" s="6">
        <v>5</v>
      </c>
      <c r="H245" s="5" t="s">
        <v>83</v>
      </c>
      <c r="I245" s="6">
        <v>5</v>
      </c>
      <c r="J245" s="5" t="s">
        <v>97</v>
      </c>
      <c r="K245" s="6">
        <v>35807</v>
      </c>
      <c r="L245" s="5" t="s">
        <v>80</v>
      </c>
      <c r="M245" s="5" t="s">
        <v>66</v>
      </c>
      <c r="N245" s="5" t="s">
        <v>47</v>
      </c>
      <c r="O245" s="7">
        <v>45206</v>
      </c>
      <c r="P245" s="7">
        <v>45237.416666666664</v>
      </c>
      <c r="Q245" s="5" t="s">
        <v>86</v>
      </c>
      <c r="R245" s="5" t="s">
        <v>32</v>
      </c>
      <c r="S245" s="5" t="s">
        <v>49</v>
      </c>
      <c r="T245" s="6">
        <v>10</v>
      </c>
      <c r="U245" s="6">
        <v>10</v>
      </c>
      <c r="V245" s="5" t="s">
        <v>92</v>
      </c>
      <c r="W245" s="8"/>
      <c r="Y245">
        <f t="shared" si="6"/>
        <v>100</v>
      </c>
    </row>
    <row r="246" spans="1:25" ht="15.75" customHeight="1">
      <c r="A246" s="5" t="s">
        <v>678</v>
      </c>
      <c r="B246" s="6">
        <v>11</v>
      </c>
      <c r="C246" s="5" t="s">
        <v>36</v>
      </c>
      <c r="D246" s="7">
        <v>45263</v>
      </c>
      <c r="E246" s="7"/>
      <c r="F246" s="6" t="s">
        <v>178</v>
      </c>
      <c r="G246" s="6">
        <v>10</v>
      </c>
      <c r="H246" s="5" t="s">
        <v>83</v>
      </c>
      <c r="I246" s="6">
        <v>3</v>
      </c>
      <c r="J246" s="5" t="s">
        <v>39</v>
      </c>
      <c r="K246" s="6">
        <v>35418</v>
      </c>
      <c r="L246" s="5" t="s">
        <v>90</v>
      </c>
      <c r="M246" s="5" t="s">
        <v>27</v>
      </c>
      <c r="N246" s="5" t="s">
        <v>47</v>
      </c>
      <c r="O246" s="7">
        <v>45263</v>
      </c>
      <c r="P246" s="6" t="s">
        <v>679</v>
      </c>
      <c r="Q246" s="5" t="s">
        <v>69</v>
      </c>
      <c r="R246" s="5" t="s">
        <v>32</v>
      </c>
      <c r="S246" s="5" t="s">
        <v>49</v>
      </c>
      <c r="T246" s="6">
        <v>11</v>
      </c>
      <c r="U246" s="6">
        <v>10</v>
      </c>
      <c r="V246" s="5" t="s">
        <v>92</v>
      </c>
      <c r="W246" s="8"/>
      <c r="Y246">
        <f t="shared" si="6"/>
        <v>110.00000000000001</v>
      </c>
    </row>
    <row r="247" spans="1:25" ht="15.75" customHeight="1">
      <c r="A247" s="5" t="s">
        <v>680</v>
      </c>
      <c r="B247" s="6">
        <v>57</v>
      </c>
      <c r="C247" s="5" t="s">
        <v>47</v>
      </c>
      <c r="D247" s="7">
        <v>45233</v>
      </c>
      <c r="E247" s="7"/>
      <c r="F247" s="6" t="s">
        <v>681</v>
      </c>
      <c r="G247" s="6">
        <v>5</v>
      </c>
      <c r="H247" s="5" t="s">
        <v>83</v>
      </c>
      <c r="I247" s="6">
        <v>5</v>
      </c>
      <c r="J247" s="5" t="s">
        <v>52</v>
      </c>
      <c r="K247" s="6">
        <v>16340</v>
      </c>
      <c r="L247" s="5" t="s">
        <v>65</v>
      </c>
      <c r="M247" s="5" t="s">
        <v>66</v>
      </c>
      <c r="N247" s="5" t="s">
        <v>28</v>
      </c>
      <c r="O247" s="7">
        <v>45141</v>
      </c>
      <c r="P247" s="7">
        <v>45172.583333333336</v>
      </c>
      <c r="Q247" s="5" t="s">
        <v>43</v>
      </c>
      <c r="R247" s="5" t="s">
        <v>32</v>
      </c>
      <c r="S247" s="5" t="s">
        <v>53</v>
      </c>
      <c r="T247" s="6">
        <v>4</v>
      </c>
      <c r="U247" s="6">
        <v>12</v>
      </c>
      <c r="V247" s="5" t="s">
        <v>34</v>
      </c>
      <c r="W247" s="8"/>
      <c r="Y247">
        <f t="shared" si="6"/>
        <v>33.333333333333329</v>
      </c>
    </row>
    <row r="248" spans="1:25" ht="15.75" customHeight="1">
      <c r="A248" s="5" t="s">
        <v>682</v>
      </c>
      <c r="B248" s="6">
        <v>89</v>
      </c>
      <c r="C248" s="5" t="s">
        <v>51</v>
      </c>
      <c r="D248" s="6" t="s">
        <v>516</v>
      </c>
      <c r="E248" s="6"/>
      <c r="F248" s="7">
        <v>45025</v>
      </c>
      <c r="G248" s="6">
        <v>6</v>
      </c>
      <c r="H248" s="5" t="s">
        <v>46</v>
      </c>
      <c r="I248" s="6">
        <v>3</v>
      </c>
      <c r="J248" s="5" t="s">
        <v>52</v>
      </c>
      <c r="K248" s="6">
        <v>38012</v>
      </c>
      <c r="L248" s="5" t="s">
        <v>65</v>
      </c>
      <c r="M248" s="5" t="s">
        <v>66</v>
      </c>
      <c r="N248" s="5" t="s">
        <v>28</v>
      </c>
      <c r="O248" s="6" t="s">
        <v>201</v>
      </c>
      <c r="P248" s="6" t="s">
        <v>683</v>
      </c>
      <c r="Q248" s="5" t="s">
        <v>86</v>
      </c>
      <c r="R248" s="5" t="s">
        <v>32</v>
      </c>
      <c r="S248" s="5" t="s">
        <v>49</v>
      </c>
      <c r="T248" s="6">
        <v>8</v>
      </c>
      <c r="U248" s="6">
        <v>12</v>
      </c>
      <c r="V248" s="5" t="s">
        <v>54</v>
      </c>
      <c r="W248" s="8"/>
      <c r="Y248">
        <f t="shared" si="6"/>
        <v>66.666666666666657</v>
      </c>
    </row>
    <row r="249" spans="1:25" ht="15.75" customHeight="1">
      <c r="A249" s="5" t="s">
        <v>684</v>
      </c>
      <c r="B249" s="6">
        <v>50</v>
      </c>
      <c r="C249" s="5" t="s">
        <v>62</v>
      </c>
      <c r="D249" s="6" t="s">
        <v>538</v>
      </c>
      <c r="E249" s="6"/>
      <c r="F249" s="6" t="s">
        <v>685</v>
      </c>
      <c r="G249" s="6">
        <v>2</v>
      </c>
      <c r="H249" s="5" t="s">
        <v>24</v>
      </c>
      <c r="I249" s="6">
        <v>2</v>
      </c>
      <c r="J249" s="5" t="s">
        <v>39</v>
      </c>
      <c r="K249" s="6">
        <v>40393</v>
      </c>
      <c r="L249" s="5" t="s">
        <v>80</v>
      </c>
      <c r="M249" s="5" t="s">
        <v>27</v>
      </c>
      <c r="N249" s="5" t="s">
        <v>28</v>
      </c>
      <c r="O249" s="6" t="s">
        <v>686</v>
      </c>
      <c r="P249" s="6" t="s">
        <v>687</v>
      </c>
      <c r="Q249" s="5" t="s">
        <v>48</v>
      </c>
      <c r="R249" s="5" t="s">
        <v>32</v>
      </c>
      <c r="S249" s="5" t="s">
        <v>49</v>
      </c>
      <c r="T249" s="6">
        <v>10</v>
      </c>
      <c r="U249" s="6">
        <v>10</v>
      </c>
      <c r="V249" s="5" t="s">
        <v>34</v>
      </c>
      <c r="W249" s="8"/>
      <c r="Y249">
        <f t="shared" si="6"/>
        <v>100</v>
      </c>
    </row>
    <row r="250" spans="1:25" ht="15.75" customHeight="1">
      <c r="A250" s="5" t="s">
        <v>688</v>
      </c>
      <c r="B250" s="6">
        <v>23</v>
      </c>
      <c r="C250" s="5" t="s">
        <v>22</v>
      </c>
      <c r="D250" s="7">
        <v>44990</v>
      </c>
      <c r="E250" s="7"/>
      <c r="F250" s="6" t="s">
        <v>689</v>
      </c>
      <c r="G250" s="6">
        <v>10</v>
      </c>
      <c r="H250" s="5" t="s">
        <v>38</v>
      </c>
      <c r="I250" s="6">
        <v>4</v>
      </c>
      <c r="J250" s="5" t="s">
        <v>52</v>
      </c>
      <c r="K250" s="6">
        <v>41617</v>
      </c>
      <c r="L250" s="5" t="s">
        <v>80</v>
      </c>
      <c r="M250" s="5" t="s">
        <v>66</v>
      </c>
      <c r="N250" s="5" t="s">
        <v>47</v>
      </c>
      <c r="O250" s="6" t="s">
        <v>342</v>
      </c>
      <c r="P250" s="6" t="s">
        <v>690</v>
      </c>
      <c r="Q250" s="5" t="s">
        <v>43</v>
      </c>
      <c r="R250" s="5" t="s">
        <v>32</v>
      </c>
      <c r="S250" s="5" t="s">
        <v>33</v>
      </c>
      <c r="T250" s="6">
        <v>4</v>
      </c>
      <c r="U250" s="6">
        <v>8</v>
      </c>
      <c r="V250" s="5" t="s">
        <v>34</v>
      </c>
      <c r="W250" s="8"/>
      <c r="Y250">
        <f t="shared" si="6"/>
        <v>50</v>
      </c>
    </row>
    <row r="251" spans="1:25" ht="15.75" customHeight="1">
      <c r="A251" s="5" t="s">
        <v>691</v>
      </c>
      <c r="B251" s="6">
        <v>31</v>
      </c>
      <c r="C251" s="5" t="s">
        <v>62</v>
      </c>
      <c r="D251" s="7">
        <v>45208</v>
      </c>
      <c r="E251" s="7"/>
      <c r="F251" s="6" t="s">
        <v>249</v>
      </c>
      <c r="G251" s="6">
        <v>9</v>
      </c>
      <c r="H251" s="5" t="s">
        <v>58</v>
      </c>
      <c r="I251" s="6">
        <v>1</v>
      </c>
      <c r="J251" s="5" t="s">
        <v>39</v>
      </c>
      <c r="K251" s="6">
        <v>14597</v>
      </c>
      <c r="L251" s="5" t="s">
        <v>26</v>
      </c>
      <c r="M251" s="5" t="s">
        <v>66</v>
      </c>
      <c r="N251" s="5" t="s">
        <v>28</v>
      </c>
      <c r="O251" s="7">
        <v>45147</v>
      </c>
      <c r="P251" s="7">
        <v>45178.208333333336</v>
      </c>
      <c r="Q251" s="5" t="s">
        <v>43</v>
      </c>
      <c r="R251" s="5" t="s">
        <v>32</v>
      </c>
      <c r="S251" s="5" t="s">
        <v>49</v>
      </c>
      <c r="T251" s="6">
        <v>7</v>
      </c>
      <c r="U251" s="6">
        <v>10</v>
      </c>
      <c r="V251" s="5" t="s">
        <v>34</v>
      </c>
      <c r="W251" s="8"/>
      <c r="Y251">
        <f t="shared" si="6"/>
        <v>70</v>
      </c>
    </row>
    <row r="252" spans="1:25" ht="15.75" customHeight="1">
      <c r="A252" s="5" t="s">
        <v>692</v>
      </c>
      <c r="B252" s="6">
        <v>42</v>
      </c>
      <c r="C252" s="5" t="s">
        <v>22</v>
      </c>
      <c r="D252" s="7">
        <v>45201</v>
      </c>
      <c r="E252" s="7"/>
      <c r="F252" s="6" t="s">
        <v>167</v>
      </c>
      <c r="G252" s="6">
        <v>4</v>
      </c>
      <c r="H252" s="5" t="s">
        <v>73</v>
      </c>
      <c r="I252" s="6">
        <v>4</v>
      </c>
      <c r="J252" s="5" t="s">
        <v>97</v>
      </c>
      <c r="K252" s="6">
        <v>30557</v>
      </c>
      <c r="L252" s="5" t="s">
        <v>90</v>
      </c>
      <c r="M252" s="5" t="s">
        <v>27</v>
      </c>
      <c r="N252" s="5" t="s">
        <v>28</v>
      </c>
      <c r="O252" s="7">
        <v>45109</v>
      </c>
      <c r="P252" s="7">
        <v>45140</v>
      </c>
      <c r="Q252" s="5" t="s">
        <v>48</v>
      </c>
      <c r="R252" s="5" t="s">
        <v>32</v>
      </c>
      <c r="S252" s="5" t="s">
        <v>49</v>
      </c>
      <c r="T252" s="6">
        <v>8</v>
      </c>
      <c r="U252" s="6">
        <v>8</v>
      </c>
      <c r="V252" s="5" t="s">
        <v>54</v>
      </c>
      <c r="W252" s="8"/>
      <c r="Y252">
        <f t="shared" si="6"/>
        <v>100</v>
      </c>
    </row>
    <row r="253" spans="1:25" ht="15.75" customHeight="1">
      <c r="A253" s="5" t="s">
        <v>693</v>
      </c>
      <c r="B253" s="6">
        <v>7</v>
      </c>
      <c r="C253" s="5" t="s">
        <v>22</v>
      </c>
      <c r="D253" s="6" t="s">
        <v>443</v>
      </c>
      <c r="E253" s="6"/>
      <c r="F253" s="6" t="s">
        <v>694</v>
      </c>
      <c r="G253" s="6">
        <v>3</v>
      </c>
      <c r="H253" s="5" t="s">
        <v>24</v>
      </c>
      <c r="I253" s="6">
        <v>1</v>
      </c>
      <c r="J253" s="5" t="s">
        <v>89</v>
      </c>
      <c r="K253" s="6">
        <v>12737</v>
      </c>
      <c r="L253" s="5" t="s">
        <v>80</v>
      </c>
      <c r="M253" s="5" t="s">
        <v>66</v>
      </c>
      <c r="N253" s="5" t="s">
        <v>28</v>
      </c>
      <c r="O253" s="6" t="s">
        <v>208</v>
      </c>
      <c r="P253" s="6" t="s">
        <v>695</v>
      </c>
      <c r="Q253" s="5" t="s">
        <v>43</v>
      </c>
      <c r="R253" s="5" t="s">
        <v>32</v>
      </c>
      <c r="S253" s="5" t="s">
        <v>53</v>
      </c>
      <c r="T253" s="6">
        <v>9</v>
      </c>
      <c r="U253" s="6">
        <v>8</v>
      </c>
      <c r="V253" s="5" t="s">
        <v>54</v>
      </c>
      <c r="W253" s="8"/>
      <c r="Y253">
        <f t="shared" si="6"/>
        <v>112.5</v>
      </c>
    </row>
    <row r="254" spans="1:25" ht="15.75" customHeight="1">
      <c r="A254" s="5" t="s">
        <v>696</v>
      </c>
      <c r="B254" s="6">
        <v>16</v>
      </c>
      <c r="C254" s="5" t="s">
        <v>62</v>
      </c>
      <c r="D254" s="7">
        <v>45415</v>
      </c>
      <c r="E254" s="7"/>
      <c r="F254" s="6" t="s">
        <v>116</v>
      </c>
      <c r="G254" s="6">
        <v>11</v>
      </c>
      <c r="H254" s="5" t="s">
        <v>38</v>
      </c>
      <c r="I254" s="6">
        <v>5</v>
      </c>
      <c r="J254" s="5" t="s">
        <v>39</v>
      </c>
      <c r="K254" s="6">
        <v>49768</v>
      </c>
      <c r="L254" s="5" t="s">
        <v>26</v>
      </c>
      <c r="M254" s="5" t="s">
        <v>66</v>
      </c>
      <c r="N254" s="5" t="s">
        <v>28</v>
      </c>
      <c r="O254" s="7">
        <v>45415</v>
      </c>
      <c r="P254" s="7">
        <v>45446.25</v>
      </c>
      <c r="Q254" s="5" t="s">
        <v>86</v>
      </c>
      <c r="R254" s="5" t="s">
        <v>32</v>
      </c>
      <c r="S254" s="5" t="s">
        <v>33</v>
      </c>
      <c r="T254" s="6">
        <v>9</v>
      </c>
      <c r="U254" s="6">
        <v>8</v>
      </c>
      <c r="V254" s="5" t="s">
        <v>92</v>
      </c>
      <c r="W254" s="8"/>
      <c r="Y254">
        <f t="shared" si="6"/>
        <v>112.5</v>
      </c>
    </row>
    <row r="255" spans="1:25" ht="15.75" customHeight="1">
      <c r="A255" s="5" t="s">
        <v>697</v>
      </c>
      <c r="B255" s="6">
        <v>60</v>
      </c>
      <c r="C255" s="5" t="s">
        <v>36</v>
      </c>
      <c r="D255" s="6" t="s">
        <v>329</v>
      </c>
      <c r="E255" s="6"/>
      <c r="F255" s="6" t="s">
        <v>698</v>
      </c>
      <c r="G255" s="6">
        <v>8</v>
      </c>
      <c r="H255" s="5" t="s">
        <v>46</v>
      </c>
      <c r="I255" s="6">
        <v>5</v>
      </c>
      <c r="J255" s="5" t="s">
        <v>25</v>
      </c>
      <c r="K255" s="6">
        <v>46101</v>
      </c>
      <c r="L255" s="5" t="s">
        <v>26</v>
      </c>
      <c r="M255" s="5" t="s">
        <v>27</v>
      </c>
      <c r="N255" s="5" t="s">
        <v>47</v>
      </c>
      <c r="O255" s="6" t="s">
        <v>675</v>
      </c>
      <c r="P255" s="6" t="s">
        <v>699</v>
      </c>
      <c r="Q255" s="5" t="s">
        <v>43</v>
      </c>
      <c r="R255" s="5" t="s">
        <v>32</v>
      </c>
      <c r="S255" s="5" t="s">
        <v>53</v>
      </c>
      <c r="T255" s="6">
        <v>10</v>
      </c>
      <c r="U255" s="6">
        <v>10</v>
      </c>
      <c r="V255" s="5" t="s">
        <v>54</v>
      </c>
      <c r="W255" s="8"/>
      <c r="Y255">
        <f t="shared" si="6"/>
        <v>100</v>
      </c>
    </row>
    <row r="256" spans="1:25" ht="15.75" customHeight="1">
      <c r="A256" s="5" t="s">
        <v>700</v>
      </c>
      <c r="B256" s="6">
        <v>2</v>
      </c>
      <c r="C256" s="5" t="s">
        <v>22</v>
      </c>
      <c r="D256" s="6" t="s">
        <v>276</v>
      </c>
      <c r="E256" s="6"/>
      <c r="F256" s="6" t="s">
        <v>657</v>
      </c>
      <c r="G256" s="6">
        <v>4</v>
      </c>
      <c r="H256" s="5" t="s">
        <v>38</v>
      </c>
      <c r="I256" s="6">
        <v>1</v>
      </c>
      <c r="J256" s="5" t="s">
        <v>39</v>
      </c>
      <c r="K256" s="6">
        <v>22276</v>
      </c>
      <c r="L256" s="5" t="s">
        <v>80</v>
      </c>
      <c r="M256" s="5" t="s">
        <v>66</v>
      </c>
      <c r="N256" s="5" t="s">
        <v>28</v>
      </c>
      <c r="O256" s="6" t="s">
        <v>276</v>
      </c>
      <c r="P256" s="6" t="s">
        <v>701</v>
      </c>
      <c r="Q256" s="5" t="s">
        <v>86</v>
      </c>
      <c r="R256" s="5" t="s">
        <v>32</v>
      </c>
      <c r="S256" s="5" t="s">
        <v>53</v>
      </c>
      <c r="T256" s="6">
        <v>6</v>
      </c>
      <c r="U256" s="6">
        <v>8</v>
      </c>
      <c r="V256" s="5" t="s">
        <v>34</v>
      </c>
      <c r="W256" s="8"/>
      <c r="Y256">
        <f t="shared" si="6"/>
        <v>75</v>
      </c>
    </row>
    <row r="257" spans="1:25" ht="15.75" customHeight="1">
      <c r="A257" s="5" t="s">
        <v>702</v>
      </c>
      <c r="B257" s="6">
        <v>1</v>
      </c>
      <c r="C257" s="5" t="s">
        <v>62</v>
      </c>
      <c r="D257" s="6" t="s">
        <v>456</v>
      </c>
      <c r="E257" s="6"/>
      <c r="F257" s="7">
        <v>45179</v>
      </c>
      <c r="G257" s="6">
        <v>14</v>
      </c>
      <c r="H257" s="5" t="s">
        <v>38</v>
      </c>
      <c r="I257" s="6">
        <v>4</v>
      </c>
      <c r="J257" s="5" t="s">
        <v>52</v>
      </c>
      <c r="K257" s="6">
        <v>12310</v>
      </c>
      <c r="L257" s="5" t="s">
        <v>65</v>
      </c>
      <c r="M257" s="5" t="s">
        <v>27</v>
      </c>
      <c r="N257" s="5" t="s">
        <v>28</v>
      </c>
      <c r="O257" s="6" t="s">
        <v>703</v>
      </c>
      <c r="P257" s="6" t="s">
        <v>704</v>
      </c>
      <c r="Q257" s="5" t="s">
        <v>48</v>
      </c>
      <c r="R257" s="5" t="s">
        <v>32</v>
      </c>
      <c r="S257" s="5" t="s">
        <v>53</v>
      </c>
      <c r="T257" s="6">
        <v>10</v>
      </c>
      <c r="U257" s="6">
        <v>10</v>
      </c>
      <c r="V257" s="5" t="s">
        <v>34</v>
      </c>
      <c r="W257" s="8"/>
      <c r="Y257">
        <f t="shared" si="6"/>
        <v>100</v>
      </c>
    </row>
    <row r="258" spans="1:25" ht="15.75" customHeight="1">
      <c r="A258" s="5" t="s">
        <v>705</v>
      </c>
      <c r="B258" s="6">
        <v>48</v>
      </c>
      <c r="C258" s="5" t="s">
        <v>22</v>
      </c>
      <c r="D258" s="6" t="s">
        <v>112</v>
      </c>
      <c r="E258" s="6"/>
      <c r="F258" s="6" t="s">
        <v>404</v>
      </c>
      <c r="G258" s="6">
        <v>2</v>
      </c>
      <c r="H258" s="5" t="s">
        <v>46</v>
      </c>
      <c r="I258" s="6">
        <v>1</v>
      </c>
      <c r="J258" s="5" t="s">
        <v>97</v>
      </c>
      <c r="K258" s="6">
        <v>40167</v>
      </c>
      <c r="L258" s="5" t="s">
        <v>90</v>
      </c>
      <c r="M258" s="5" t="s">
        <v>27</v>
      </c>
      <c r="N258" s="5" t="s">
        <v>28</v>
      </c>
      <c r="O258" s="6" t="s">
        <v>466</v>
      </c>
      <c r="P258" s="6" t="s">
        <v>706</v>
      </c>
      <c r="Q258" s="5" t="s">
        <v>31</v>
      </c>
      <c r="R258" s="5" t="s">
        <v>44</v>
      </c>
      <c r="S258" s="5" t="s">
        <v>49</v>
      </c>
      <c r="T258" s="6">
        <v>6</v>
      </c>
      <c r="U258" s="6">
        <v>8</v>
      </c>
      <c r="V258" s="5" t="s">
        <v>92</v>
      </c>
      <c r="W258" s="8"/>
      <c r="Y258">
        <f t="shared" si="6"/>
        <v>75</v>
      </c>
    </row>
    <row r="259" spans="1:25" ht="15.75" customHeight="1">
      <c r="A259" s="5" t="s">
        <v>707</v>
      </c>
      <c r="B259" s="6">
        <v>12</v>
      </c>
      <c r="C259" s="5" t="s">
        <v>82</v>
      </c>
      <c r="D259" s="6" t="s">
        <v>278</v>
      </c>
      <c r="E259" s="6"/>
      <c r="F259" s="6" t="s">
        <v>657</v>
      </c>
      <c r="G259" s="6">
        <v>6</v>
      </c>
      <c r="H259" s="5" t="s">
        <v>83</v>
      </c>
      <c r="I259" s="6">
        <v>2</v>
      </c>
      <c r="J259" s="5" t="s">
        <v>97</v>
      </c>
      <c r="K259" s="6">
        <v>42408</v>
      </c>
      <c r="L259" s="5" t="s">
        <v>90</v>
      </c>
      <c r="M259" s="5" t="s">
        <v>66</v>
      </c>
      <c r="N259" s="5" t="s">
        <v>28</v>
      </c>
      <c r="O259" s="6" t="s">
        <v>708</v>
      </c>
      <c r="P259" s="6" t="s">
        <v>709</v>
      </c>
      <c r="Q259" s="5" t="s">
        <v>48</v>
      </c>
      <c r="R259" s="5" t="s">
        <v>32</v>
      </c>
      <c r="S259" s="5" t="s">
        <v>53</v>
      </c>
      <c r="T259" s="6">
        <v>11</v>
      </c>
      <c r="U259" s="6">
        <v>8</v>
      </c>
      <c r="V259" s="5" t="s">
        <v>54</v>
      </c>
      <c r="W259" s="8"/>
      <c r="Y259">
        <f t="shared" ref="Y259:Y322" si="7">(T259/U259*100)</f>
        <v>137.5</v>
      </c>
    </row>
    <row r="260" spans="1:25" ht="15.75" customHeight="1">
      <c r="A260" s="5" t="s">
        <v>710</v>
      </c>
      <c r="B260" s="6">
        <v>69</v>
      </c>
      <c r="C260" s="5" t="s">
        <v>36</v>
      </c>
      <c r="D260" s="7">
        <v>44966</v>
      </c>
      <c r="E260" s="7"/>
      <c r="F260" s="6" t="s">
        <v>364</v>
      </c>
      <c r="G260" s="6">
        <v>14</v>
      </c>
      <c r="H260" s="5" t="s">
        <v>83</v>
      </c>
      <c r="I260" s="6">
        <v>5</v>
      </c>
      <c r="J260" s="5" t="s">
        <v>39</v>
      </c>
      <c r="K260" s="6">
        <v>24344</v>
      </c>
      <c r="L260" s="5" t="s">
        <v>65</v>
      </c>
      <c r="M260" s="5" t="s">
        <v>66</v>
      </c>
      <c r="N260" s="5" t="s">
        <v>28</v>
      </c>
      <c r="O260" s="6" t="s">
        <v>612</v>
      </c>
      <c r="P260" s="6" t="s">
        <v>711</v>
      </c>
      <c r="Q260" s="5" t="s">
        <v>86</v>
      </c>
      <c r="R260" s="5" t="s">
        <v>44</v>
      </c>
      <c r="S260" s="5" t="s">
        <v>53</v>
      </c>
      <c r="T260" s="6">
        <v>7</v>
      </c>
      <c r="U260" s="6">
        <v>10</v>
      </c>
      <c r="V260" s="5" t="s">
        <v>34</v>
      </c>
      <c r="W260" s="8"/>
      <c r="Y260">
        <f t="shared" si="7"/>
        <v>70</v>
      </c>
    </row>
    <row r="261" spans="1:25" ht="15.75" customHeight="1">
      <c r="A261" s="5" t="s">
        <v>712</v>
      </c>
      <c r="B261" s="6">
        <v>37</v>
      </c>
      <c r="C261" s="5" t="s">
        <v>51</v>
      </c>
      <c r="D261" s="6" t="s">
        <v>163</v>
      </c>
      <c r="E261" s="6"/>
      <c r="F261" s="7">
        <v>45148</v>
      </c>
      <c r="G261" s="6">
        <v>9</v>
      </c>
      <c r="H261" s="5" t="s">
        <v>58</v>
      </c>
      <c r="I261" s="6">
        <v>2</v>
      </c>
      <c r="J261" s="5" t="s">
        <v>89</v>
      </c>
      <c r="K261" s="6">
        <v>15391</v>
      </c>
      <c r="L261" s="5" t="s">
        <v>80</v>
      </c>
      <c r="M261" s="5" t="s">
        <v>66</v>
      </c>
      <c r="N261" s="5" t="s">
        <v>28</v>
      </c>
      <c r="O261" s="6" t="s">
        <v>456</v>
      </c>
      <c r="P261" s="6" t="s">
        <v>713</v>
      </c>
      <c r="Q261" s="5" t="s">
        <v>69</v>
      </c>
      <c r="R261" s="5" t="s">
        <v>32</v>
      </c>
      <c r="S261" s="5" t="s">
        <v>33</v>
      </c>
      <c r="T261" s="6">
        <v>9</v>
      </c>
      <c r="U261" s="6">
        <v>12</v>
      </c>
      <c r="V261" s="5" t="s">
        <v>92</v>
      </c>
      <c r="W261" s="8"/>
      <c r="Y261">
        <f t="shared" si="7"/>
        <v>75</v>
      </c>
    </row>
    <row r="262" spans="1:25" ht="15.75" customHeight="1">
      <c r="A262" s="5" t="s">
        <v>714</v>
      </c>
      <c r="B262" s="6">
        <v>32</v>
      </c>
      <c r="C262" s="5" t="s">
        <v>22</v>
      </c>
      <c r="D262" s="7">
        <v>45567</v>
      </c>
      <c r="E262" s="7"/>
      <c r="F262" s="6" t="s">
        <v>686</v>
      </c>
      <c r="G262" s="6">
        <v>6</v>
      </c>
      <c r="H262" s="5" t="s">
        <v>58</v>
      </c>
      <c r="I262" s="6">
        <v>5</v>
      </c>
      <c r="J262" s="5" t="s">
        <v>25</v>
      </c>
      <c r="K262" s="6">
        <v>15892</v>
      </c>
      <c r="L262" s="5" t="s">
        <v>90</v>
      </c>
      <c r="M262" s="5" t="s">
        <v>66</v>
      </c>
      <c r="N262" s="5" t="s">
        <v>28</v>
      </c>
      <c r="O262" s="7">
        <v>45506</v>
      </c>
      <c r="P262" s="7">
        <v>45537.291666666664</v>
      </c>
      <c r="Q262" s="5" t="s">
        <v>48</v>
      </c>
      <c r="R262" s="5" t="s">
        <v>32</v>
      </c>
      <c r="S262" s="5" t="s">
        <v>33</v>
      </c>
      <c r="T262" s="6">
        <v>11</v>
      </c>
      <c r="U262" s="6">
        <v>12</v>
      </c>
      <c r="V262" s="5" t="s">
        <v>92</v>
      </c>
      <c r="W262" s="8"/>
      <c r="Y262">
        <f t="shared" si="7"/>
        <v>91.666666666666657</v>
      </c>
    </row>
    <row r="263" spans="1:25" ht="15.75" customHeight="1">
      <c r="A263" s="5" t="s">
        <v>715</v>
      </c>
      <c r="B263" s="6">
        <v>9</v>
      </c>
      <c r="C263" s="5" t="s">
        <v>82</v>
      </c>
      <c r="D263" s="6" t="s">
        <v>527</v>
      </c>
      <c r="E263" s="6"/>
      <c r="F263" s="6" t="s">
        <v>716</v>
      </c>
      <c r="G263" s="6">
        <v>2</v>
      </c>
      <c r="H263" s="5" t="s">
        <v>83</v>
      </c>
      <c r="I263" s="6">
        <v>5</v>
      </c>
      <c r="J263" s="5" t="s">
        <v>97</v>
      </c>
      <c r="K263" s="6">
        <v>16197</v>
      </c>
      <c r="L263" s="5" t="s">
        <v>80</v>
      </c>
      <c r="M263" s="5" t="s">
        <v>27</v>
      </c>
      <c r="N263" s="5" t="s">
        <v>28</v>
      </c>
      <c r="O263" s="6" t="s">
        <v>527</v>
      </c>
      <c r="P263" s="6" t="s">
        <v>717</v>
      </c>
      <c r="Q263" s="5" t="s">
        <v>69</v>
      </c>
      <c r="R263" s="5" t="s">
        <v>32</v>
      </c>
      <c r="S263" s="5" t="s">
        <v>33</v>
      </c>
      <c r="T263" s="6">
        <v>8</v>
      </c>
      <c r="U263" s="6">
        <v>10</v>
      </c>
      <c r="V263" s="5" t="s">
        <v>34</v>
      </c>
      <c r="W263" s="8"/>
      <c r="Y263">
        <f t="shared" si="7"/>
        <v>80</v>
      </c>
    </row>
    <row r="264" spans="1:25" ht="15.75" customHeight="1">
      <c r="A264" s="5" t="s">
        <v>718</v>
      </c>
      <c r="B264" s="6">
        <v>19</v>
      </c>
      <c r="C264" s="5" t="s">
        <v>51</v>
      </c>
      <c r="D264" s="7">
        <v>45027</v>
      </c>
      <c r="E264" s="7"/>
      <c r="F264" s="6" t="s">
        <v>708</v>
      </c>
      <c r="G264" s="6">
        <v>13</v>
      </c>
      <c r="H264" s="5" t="s">
        <v>24</v>
      </c>
      <c r="I264" s="6">
        <v>3</v>
      </c>
      <c r="J264" s="5" t="s">
        <v>52</v>
      </c>
      <c r="K264" s="6">
        <v>18050</v>
      </c>
      <c r="L264" s="5" t="s">
        <v>80</v>
      </c>
      <c r="M264" s="5" t="s">
        <v>66</v>
      </c>
      <c r="N264" s="5" t="s">
        <v>28</v>
      </c>
      <c r="O264" s="7">
        <v>44937</v>
      </c>
      <c r="P264" s="7">
        <v>44937.791666666664</v>
      </c>
      <c r="Q264" s="5" t="s">
        <v>69</v>
      </c>
      <c r="R264" s="5" t="s">
        <v>32</v>
      </c>
      <c r="S264" s="5" t="s">
        <v>33</v>
      </c>
      <c r="T264" s="6">
        <v>9</v>
      </c>
      <c r="U264" s="6">
        <v>10</v>
      </c>
      <c r="V264" s="5" t="s">
        <v>34</v>
      </c>
      <c r="W264" s="8"/>
      <c r="Y264">
        <f t="shared" si="7"/>
        <v>90</v>
      </c>
    </row>
    <row r="265" spans="1:25" ht="15.75" customHeight="1">
      <c r="A265" s="5" t="s">
        <v>719</v>
      </c>
      <c r="B265" s="6">
        <v>48</v>
      </c>
      <c r="C265" s="5" t="s">
        <v>51</v>
      </c>
      <c r="D265" s="6" t="s">
        <v>638</v>
      </c>
      <c r="E265" s="6"/>
      <c r="F265" s="6" t="s">
        <v>256</v>
      </c>
      <c r="G265" s="6">
        <v>5</v>
      </c>
      <c r="H265" s="5" t="s">
        <v>73</v>
      </c>
      <c r="I265" s="6">
        <v>2</v>
      </c>
      <c r="J265" s="5" t="s">
        <v>52</v>
      </c>
      <c r="K265" s="6">
        <v>41142</v>
      </c>
      <c r="L265" s="5" t="s">
        <v>26</v>
      </c>
      <c r="M265" s="5" t="s">
        <v>66</v>
      </c>
      <c r="N265" s="5" t="s">
        <v>47</v>
      </c>
      <c r="O265" s="7">
        <v>45539</v>
      </c>
      <c r="P265" s="7">
        <v>45569.125</v>
      </c>
      <c r="Q265" s="5" t="s">
        <v>86</v>
      </c>
      <c r="R265" s="5" t="s">
        <v>32</v>
      </c>
      <c r="S265" s="5" t="s">
        <v>53</v>
      </c>
      <c r="T265" s="6">
        <v>6</v>
      </c>
      <c r="U265" s="6">
        <v>12</v>
      </c>
      <c r="V265" s="5" t="s">
        <v>54</v>
      </c>
      <c r="W265" s="8"/>
      <c r="Y265">
        <f t="shared" si="7"/>
        <v>50</v>
      </c>
    </row>
    <row r="266" spans="1:25" ht="15.75" customHeight="1">
      <c r="A266" s="5" t="s">
        <v>720</v>
      </c>
      <c r="B266" s="6">
        <v>80</v>
      </c>
      <c r="C266" s="5" t="s">
        <v>22</v>
      </c>
      <c r="D266" s="6" t="s">
        <v>276</v>
      </c>
      <c r="E266" s="6"/>
      <c r="F266" s="6" t="s">
        <v>277</v>
      </c>
      <c r="G266" s="6">
        <v>10</v>
      </c>
      <c r="H266" s="5" t="s">
        <v>38</v>
      </c>
      <c r="I266" s="6">
        <v>2</v>
      </c>
      <c r="J266" s="5" t="s">
        <v>89</v>
      </c>
      <c r="K266" s="6">
        <v>46615</v>
      </c>
      <c r="L266" s="5" t="s">
        <v>65</v>
      </c>
      <c r="M266" s="5" t="s">
        <v>27</v>
      </c>
      <c r="N266" s="5" t="s">
        <v>28</v>
      </c>
      <c r="O266" s="6" t="s">
        <v>708</v>
      </c>
      <c r="P266" s="6" t="s">
        <v>721</v>
      </c>
      <c r="Q266" s="5" t="s">
        <v>86</v>
      </c>
      <c r="R266" s="5" t="s">
        <v>32</v>
      </c>
      <c r="S266" s="5" t="s">
        <v>33</v>
      </c>
      <c r="T266" s="6">
        <v>10</v>
      </c>
      <c r="U266" s="6">
        <v>12</v>
      </c>
      <c r="V266" s="5" t="s">
        <v>92</v>
      </c>
      <c r="W266" s="8"/>
      <c r="Y266">
        <f t="shared" si="7"/>
        <v>83.333333333333343</v>
      </c>
    </row>
    <row r="267" spans="1:25" ht="15.75" customHeight="1">
      <c r="A267" s="5" t="s">
        <v>722</v>
      </c>
      <c r="B267" s="6">
        <v>3</v>
      </c>
      <c r="C267" s="5" t="s">
        <v>62</v>
      </c>
      <c r="D267" s="6" t="s">
        <v>681</v>
      </c>
      <c r="E267" s="6"/>
      <c r="F267" s="6" t="s">
        <v>508</v>
      </c>
      <c r="G267" s="6">
        <v>4</v>
      </c>
      <c r="H267" s="5" t="s">
        <v>73</v>
      </c>
      <c r="I267" s="6">
        <v>3</v>
      </c>
      <c r="J267" s="5" t="s">
        <v>97</v>
      </c>
      <c r="K267" s="6">
        <v>48728</v>
      </c>
      <c r="L267" s="5" t="s">
        <v>80</v>
      </c>
      <c r="M267" s="5" t="s">
        <v>27</v>
      </c>
      <c r="N267" s="5" t="s">
        <v>28</v>
      </c>
      <c r="O267" s="7">
        <v>45263</v>
      </c>
      <c r="P267" s="7">
        <v>45263.333333333336</v>
      </c>
      <c r="Q267" s="5" t="s">
        <v>31</v>
      </c>
      <c r="R267" s="5" t="s">
        <v>32</v>
      </c>
      <c r="S267" s="5" t="s">
        <v>49</v>
      </c>
      <c r="T267" s="6">
        <v>7</v>
      </c>
      <c r="U267" s="6">
        <v>12</v>
      </c>
      <c r="V267" s="5" t="s">
        <v>34</v>
      </c>
      <c r="W267" s="8"/>
      <c r="Y267">
        <f t="shared" si="7"/>
        <v>58.333333333333336</v>
      </c>
    </row>
    <row r="268" spans="1:25" ht="15.75" customHeight="1">
      <c r="A268" s="5" t="s">
        <v>723</v>
      </c>
      <c r="B268" s="6">
        <v>20</v>
      </c>
      <c r="C268" s="5" t="s">
        <v>22</v>
      </c>
      <c r="D268" s="7">
        <v>45200</v>
      </c>
      <c r="E268" s="7"/>
      <c r="F268" s="6" t="s">
        <v>724</v>
      </c>
      <c r="G268" s="6">
        <v>13</v>
      </c>
      <c r="H268" s="5" t="s">
        <v>38</v>
      </c>
      <c r="I268" s="6">
        <v>4</v>
      </c>
      <c r="J268" s="5" t="s">
        <v>39</v>
      </c>
      <c r="K268" s="6">
        <v>18535</v>
      </c>
      <c r="L268" s="5" t="s">
        <v>40</v>
      </c>
      <c r="M268" s="5" t="s">
        <v>66</v>
      </c>
      <c r="N268" s="5" t="s">
        <v>28</v>
      </c>
      <c r="O268" s="7">
        <v>45139</v>
      </c>
      <c r="P268" s="7">
        <v>45170.958333333336</v>
      </c>
      <c r="Q268" s="5" t="s">
        <v>43</v>
      </c>
      <c r="R268" s="5" t="s">
        <v>32</v>
      </c>
      <c r="S268" s="5" t="s">
        <v>53</v>
      </c>
      <c r="T268" s="6">
        <v>9</v>
      </c>
      <c r="U268" s="6">
        <v>10</v>
      </c>
      <c r="V268" s="5" t="s">
        <v>92</v>
      </c>
      <c r="W268" s="8"/>
      <c r="Y268">
        <f t="shared" si="7"/>
        <v>90</v>
      </c>
    </row>
    <row r="269" spans="1:25" ht="15.75" customHeight="1">
      <c r="A269" s="5" t="s">
        <v>725</v>
      </c>
      <c r="B269" s="6">
        <v>24</v>
      </c>
      <c r="C269" s="5" t="s">
        <v>82</v>
      </c>
      <c r="D269" s="6" t="s">
        <v>221</v>
      </c>
      <c r="E269" s="6"/>
      <c r="F269" s="6" t="s">
        <v>171</v>
      </c>
      <c r="G269" s="6">
        <v>7</v>
      </c>
      <c r="H269" s="5" t="s">
        <v>83</v>
      </c>
      <c r="I269" s="6">
        <v>2</v>
      </c>
      <c r="J269" s="5" t="s">
        <v>52</v>
      </c>
      <c r="K269" s="6">
        <v>46002</v>
      </c>
      <c r="L269" s="5" t="s">
        <v>65</v>
      </c>
      <c r="M269" s="5" t="s">
        <v>66</v>
      </c>
      <c r="N269" s="5" t="s">
        <v>47</v>
      </c>
      <c r="O269" s="7">
        <v>45569</v>
      </c>
      <c r="P269" s="7">
        <v>45569.416666666664</v>
      </c>
      <c r="Q269" s="5" t="s">
        <v>48</v>
      </c>
      <c r="R269" s="5" t="s">
        <v>32</v>
      </c>
      <c r="S269" s="5" t="s">
        <v>33</v>
      </c>
      <c r="T269" s="6">
        <v>11</v>
      </c>
      <c r="U269" s="6">
        <v>8</v>
      </c>
      <c r="V269" s="5" t="s">
        <v>54</v>
      </c>
      <c r="W269" s="8"/>
      <c r="Y269">
        <f t="shared" si="7"/>
        <v>137.5</v>
      </c>
    </row>
    <row r="270" spans="1:25" ht="15.75" customHeight="1">
      <c r="A270" s="5" t="s">
        <v>726</v>
      </c>
      <c r="B270" s="6">
        <v>54</v>
      </c>
      <c r="C270" s="5" t="s">
        <v>51</v>
      </c>
      <c r="D270" s="6" t="s">
        <v>147</v>
      </c>
      <c r="E270" s="6"/>
      <c r="F270" s="6" t="s">
        <v>368</v>
      </c>
      <c r="G270" s="6">
        <v>14</v>
      </c>
      <c r="H270" s="5" t="s">
        <v>58</v>
      </c>
      <c r="I270" s="6">
        <v>1</v>
      </c>
      <c r="J270" s="5" t="s">
        <v>89</v>
      </c>
      <c r="K270" s="6">
        <v>48271</v>
      </c>
      <c r="L270" s="5" t="s">
        <v>90</v>
      </c>
      <c r="M270" s="5" t="s">
        <v>27</v>
      </c>
      <c r="N270" s="5" t="s">
        <v>28</v>
      </c>
      <c r="O270" s="7">
        <v>45142</v>
      </c>
      <c r="P270" s="7">
        <v>45142.958333333336</v>
      </c>
      <c r="Q270" s="5" t="s">
        <v>86</v>
      </c>
      <c r="R270" s="5" t="s">
        <v>32</v>
      </c>
      <c r="S270" s="5" t="s">
        <v>53</v>
      </c>
      <c r="T270" s="6">
        <v>7</v>
      </c>
      <c r="U270" s="6">
        <v>10</v>
      </c>
      <c r="V270" s="5" t="s">
        <v>34</v>
      </c>
      <c r="W270" s="8"/>
      <c r="Y270">
        <f t="shared" si="7"/>
        <v>70</v>
      </c>
    </row>
    <row r="271" spans="1:25" ht="15.75" customHeight="1">
      <c r="A271" s="5" t="s">
        <v>727</v>
      </c>
      <c r="B271" s="6">
        <v>33</v>
      </c>
      <c r="C271" s="5" t="s">
        <v>22</v>
      </c>
      <c r="D271" s="6" t="s">
        <v>728</v>
      </c>
      <c r="E271" s="6"/>
      <c r="F271" s="6" t="s">
        <v>242</v>
      </c>
      <c r="G271" s="6">
        <v>9</v>
      </c>
      <c r="H271" s="5" t="s">
        <v>24</v>
      </c>
      <c r="I271" s="6">
        <v>3</v>
      </c>
      <c r="J271" s="5" t="s">
        <v>97</v>
      </c>
      <c r="K271" s="6">
        <v>10122</v>
      </c>
      <c r="L271" s="5" t="s">
        <v>26</v>
      </c>
      <c r="M271" s="5" t="s">
        <v>27</v>
      </c>
      <c r="N271" s="5" t="s">
        <v>28</v>
      </c>
      <c r="O271" s="6" t="s">
        <v>192</v>
      </c>
      <c r="P271" s="6" t="s">
        <v>729</v>
      </c>
      <c r="Q271" s="5" t="s">
        <v>48</v>
      </c>
      <c r="R271" s="5" t="s">
        <v>32</v>
      </c>
      <c r="S271" s="5" t="s">
        <v>33</v>
      </c>
      <c r="T271" s="6">
        <v>11</v>
      </c>
      <c r="U271" s="6">
        <v>12</v>
      </c>
      <c r="V271" s="5" t="s">
        <v>54</v>
      </c>
      <c r="W271" s="8"/>
      <c r="Y271">
        <f t="shared" si="7"/>
        <v>91.666666666666657</v>
      </c>
    </row>
    <row r="272" spans="1:25" ht="15.75" customHeight="1">
      <c r="A272" s="5" t="s">
        <v>730</v>
      </c>
      <c r="B272" s="6">
        <v>24</v>
      </c>
      <c r="C272" s="5" t="s">
        <v>62</v>
      </c>
      <c r="D272" s="7">
        <v>45115</v>
      </c>
      <c r="E272" s="7"/>
      <c r="F272" s="6" t="s">
        <v>271</v>
      </c>
      <c r="G272" s="6">
        <v>13</v>
      </c>
      <c r="H272" s="5" t="s">
        <v>58</v>
      </c>
      <c r="I272" s="6">
        <v>2</v>
      </c>
      <c r="J272" s="5" t="s">
        <v>97</v>
      </c>
      <c r="K272" s="6">
        <v>14852</v>
      </c>
      <c r="L272" s="5" t="s">
        <v>90</v>
      </c>
      <c r="M272" s="5" t="s">
        <v>66</v>
      </c>
      <c r="N272" s="5" t="s">
        <v>28</v>
      </c>
      <c r="O272" s="7">
        <v>45115</v>
      </c>
      <c r="P272" s="7">
        <v>45115.916666666664</v>
      </c>
      <c r="Q272" s="5" t="s">
        <v>69</v>
      </c>
      <c r="R272" s="5" t="s">
        <v>32</v>
      </c>
      <c r="S272" s="5" t="s">
        <v>53</v>
      </c>
      <c r="T272" s="6">
        <v>9</v>
      </c>
      <c r="U272" s="6">
        <v>8</v>
      </c>
      <c r="V272" s="5" t="s">
        <v>92</v>
      </c>
      <c r="W272" s="8"/>
      <c r="Y272">
        <f t="shared" si="7"/>
        <v>112.5</v>
      </c>
    </row>
    <row r="273" spans="1:25" ht="15.75" customHeight="1">
      <c r="A273" s="5" t="s">
        <v>731</v>
      </c>
      <c r="B273" s="6">
        <v>75</v>
      </c>
      <c r="C273" s="5" t="s">
        <v>22</v>
      </c>
      <c r="D273" s="7">
        <v>45328</v>
      </c>
      <c r="E273" s="7"/>
      <c r="F273" s="6" t="s">
        <v>675</v>
      </c>
      <c r="G273" s="6">
        <v>14</v>
      </c>
      <c r="H273" s="5" t="s">
        <v>73</v>
      </c>
      <c r="I273" s="6">
        <v>4</v>
      </c>
      <c r="J273" s="5" t="s">
        <v>97</v>
      </c>
      <c r="K273" s="6">
        <v>10387</v>
      </c>
      <c r="L273" s="5" t="s">
        <v>90</v>
      </c>
      <c r="M273" s="5" t="s">
        <v>66</v>
      </c>
      <c r="N273" s="5" t="s">
        <v>28</v>
      </c>
      <c r="O273" s="7">
        <v>45297</v>
      </c>
      <c r="P273" s="7">
        <v>45328.25</v>
      </c>
      <c r="Q273" s="5" t="s">
        <v>43</v>
      </c>
      <c r="R273" s="5" t="s">
        <v>32</v>
      </c>
      <c r="S273" s="5" t="s">
        <v>33</v>
      </c>
      <c r="T273" s="6">
        <v>10</v>
      </c>
      <c r="U273" s="6">
        <v>10</v>
      </c>
      <c r="V273" s="5" t="s">
        <v>54</v>
      </c>
      <c r="W273" s="8"/>
      <c r="Y273">
        <f t="shared" si="7"/>
        <v>100</v>
      </c>
    </row>
    <row r="274" spans="1:25" ht="15.75" customHeight="1">
      <c r="A274" s="5" t="s">
        <v>732</v>
      </c>
      <c r="B274" s="6">
        <v>72</v>
      </c>
      <c r="C274" s="5" t="s">
        <v>36</v>
      </c>
      <c r="D274" s="6" t="s">
        <v>163</v>
      </c>
      <c r="E274" s="6"/>
      <c r="F274" s="7">
        <v>45179</v>
      </c>
      <c r="G274" s="6">
        <v>10</v>
      </c>
      <c r="H274" s="5" t="s">
        <v>58</v>
      </c>
      <c r="I274" s="6">
        <v>2</v>
      </c>
      <c r="J274" s="5" t="s">
        <v>97</v>
      </c>
      <c r="K274" s="6">
        <v>36759</v>
      </c>
      <c r="L274" s="5" t="s">
        <v>65</v>
      </c>
      <c r="M274" s="5" t="s">
        <v>66</v>
      </c>
      <c r="N274" s="5" t="s">
        <v>28</v>
      </c>
      <c r="O274" s="6" t="s">
        <v>163</v>
      </c>
      <c r="P274" s="6" t="s">
        <v>733</v>
      </c>
      <c r="Q274" s="5" t="s">
        <v>31</v>
      </c>
      <c r="R274" s="5" t="s">
        <v>32</v>
      </c>
      <c r="S274" s="5" t="s">
        <v>49</v>
      </c>
      <c r="T274" s="6">
        <v>4</v>
      </c>
      <c r="U274" s="6">
        <v>12</v>
      </c>
      <c r="V274" s="5" t="s">
        <v>54</v>
      </c>
      <c r="W274" s="8"/>
      <c r="Y274">
        <f t="shared" si="7"/>
        <v>33.333333333333329</v>
      </c>
    </row>
    <row r="275" spans="1:25" ht="15.75" customHeight="1">
      <c r="A275" s="5" t="s">
        <v>734</v>
      </c>
      <c r="B275" s="6">
        <v>36</v>
      </c>
      <c r="C275" s="5" t="s">
        <v>62</v>
      </c>
      <c r="D275" s="6" t="s">
        <v>525</v>
      </c>
      <c r="E275" s="6"/>
      <c r="F275" s="6" t="s">
        <v>526</v>
      </c>
      <c r="G275" s="6">
        <v>10</v>
      </c>
      <c r="H275" s="5" t="s">
        <v>83</v>
      </c>
      <c r="I275" s="6">
        <v>5</v>
      </c>
      <c r="J275" s="5" t="s">
        <v>97</v>
      </c>
      <c r="K275" s="6">
        <v>45399</v>
      </c>
      <c r="L275" s="5" t="s">
        <v>90</v>
      </c>
      <c r="M275" s="5" t="s">
        <v>66</v>
      </c>
      <c r="N275" s="5" t="s">
        <v>47</v>
      </c>
      <c r="O275" s="6" t="s">
        <v>689</v>
      </c>
      <c r="P275" s="6" t="s">
        <v>735</v>
      </c>
      <c r="Q275" s="5" t="s">
        <v>48</v>
      </c>
      <c r="R275" s="5" t="s">
        <v>32</v>
      </c>
      <c r="S275" s="5" t="s">
        <v>33</v>
      </c>
      <c r="T275" s="6">
        <v>10</v>
      </c>
      <c r="U275" s="6">
        <v>10</v>
      </c>
      <c r="V275" s="5" t="s">
        <v>92</v>
      </c>
      <c r="W275" s="8"/>
      <c r="Y275">
        <f t="shared" si="7"/>
        <v>100</v>
      </c>
    </row>
    <row r="276" spans="1:25" ht="15.75" customHeight="1">
      <c r="A276" s="5" t="s">
        <v>736</v>
      </c>
      <c r="B276" s="6">
        <v>38</v>
      </c>
      <c r="C276" s="5" t="s">
        <v>82</v>
      </c>
      <c r="D276" s="6" t="s">
        <v>159</v>
      </c>
      <c r="E276" s="6"/>
      <c r="F276" s="7">
        <v>45383</v>
      </c>
      <c r="G276" s="6">
        <v>11</v>
      </c>
      <c r="H276" s="5" t="s">
        <v>24</v>
      </c>
      <c r="I276" s="6">
        <v>1</v>
      </c>
      <c r="J276" s="5" t="s">
        <v>52</v>
      </c>
      <c r="K276" s="6">
        <v>44994</v>
      </c>
      <c r="L276" s="5" t="s">
        <v>80</v>
      </c>
      <c r="M276" s="5" t="s">
        <v>66</v>
      </c>
      <c r="N276" s="5" t="s">
        <v>28</v>
      </c>
      <c r="O276" s="6" t="s">
        <v>144</v>
      </c>
      <c r="P276" s="6" t="s">
        <v>737</v>
      </c>
      <c r="Q276" s="5" t="s">
        <v>43</v>
      </c>
      <c r="R276" s="5" t="s">
        <v>32</v>
      </c>
      <c r="S276" s="5" t="s">
        <v>53</v>
      </c>
      <c r="T276" s="6">
        <v>9</v>
      </c>
      <c r="U276" s="6">
        <v>8</v>
      </c>
      <c r="V276" s="5" t="s">
        <v>54</v>
      </c>
      <c r="W276" s="8"/>
      <c r="Y276">
        <f t="shared" si="7"/>
        <v>112.5</v>
      </c>
    </row>
    <row r="277" spans="1:25" ht="15.75" customHeight="1">
      <c r="A277" s="5" t="s">
        <v>738</v>
      </c>
      <c r="B277" s="6">
        <v>84</v>
      </c>
      <c r="C277" s="5" t="s">
        <v>51</v>
      </c>
      <c r="D277" s="7">
        <v>45263</v>
      </c>
      <c r="E277" s="7"/>
      <c r="F277" s="6" t="s">
        <v>208</v>
      </c>
      <c r="G277" s="6">
        <v>11</v>
      </c>
      <c r="H277" s="5" t="s">
        <v>73</v>
      </c>
      <c r="I277" s="6">
        <v>3</v>
      </c>
      <c r="J277" s="5" t="s">
        <v>89</v>
      </c>
      <c r="K277" s="6">
        <v>42876</v>
      </c>
      <c r="L277" s="5" t="s">
        <v>90</v>
      </c>
      <c r="M277" s="5" t="s">
        <v>27</v>
      </c>
      <c r="N277" s="5" t="s">
        <v>47</v>
      </c>
      <c r="O277" s="7">
        <v>45202</v>
      </c>
      <c r="P277" s="7">
        <v>45202.958333333336</v>
      </c>
      <c r="Q277" s="5" t="s">
        <v>31</v>
      </c>
      <c r="R277" s="5" t="s">
        <v>32</v>
      </c>
      <c r="S277" s="5" t="s">
        <v>53</v>
      </c>
      <c r="T277" s="6">
        <v>6</v>
      </c>
      <c r="U277" s="6">
        <v>12</v>
      </c>
      <c r="V277" s="5" t="s">
        <v>92</v>
      </c>
      <c r="W277" s="8"/>
      <c r="Y277">
        <f t="shared" si="7"/>
        <v>50</v>
      </c>
    </row>
    <row r="278" spans="1:25" ht="15.75" customHeight="1">
      <c r="A278" s="5" t="s">
        <v>739</v>
      </c>
      <c r="B278" s="6">
        <v>89</v>
      </c>
      <c r="C278" s="5" t="s">
        <v>22</v>
      </c>
      <c r="D278" s="7">
        <v>45147</v>
      </c>
      <c r="E278" s="7"/>
      <c r="F278" s="6" t="s">
        <v>438</v>
      </c>
      <c r="G278" s="6">
        <v>9</v>
      </c>
      <c r="H278" s="5" t="s">
        <v>24</v>
      </c>
      <c r="I278" s="6">
        <v>5</v>
      </c>
      <c r="J278" s="5" t="s">
        <v>97</v>
      </c>
      <c r="K278" s="6">
        <v>39878</v>
      </c>
      <c r="L278" s="5" t="s">
        <v>26</v>
      </c>
      <c r="M278" s="5" t="s">
        <v>27</v>
      </c>
      <c r="N278" s="5" t="s">
        <v>47</v>
      </c>
      <c r="O278" s="7">
        <v>45025</v>
      </c>
      <c r="P278" s="7">
        <v>45055.291666666664</v>
      </c>
      <c r="Q278" s="5" t="s">
        <v>48</v>
      </c>
      <c r="R278" s="5" t="s">
        <v>32</v>
      </c>
      <c r="S278" s="5" t="s">
        <v>49</v>
      </c>
      <c r="T278" s="6">
        <v>10</v>
      </c>
      <c r="U278" s="6">
        <v>10</v>
      </c>
      <c r="V278" s="5" t="s">
        <v>34</v>
      </c>
      <c r="W278" s="8"/>
      <c r="Y278">
        <f t="shared" si="7"/>
        <v>100</v>
      </c>
    </row>
    <row r="279" spans="1:25" ht="15.75" customHeight="1">
      <c r="A279" s="5" t="s">
        <v>740</v>
      </c>
      <c r="B279" s="6">
        <v>25</v>
      </c>
      <c r="C279" s="5" t="s">
        <v>62</v>
      </c>
      <c r="D279" s="6" t="s">
        <v>741</v>
      </c>
      <c r="E279" s="6"/>
      <c r="F279" s="6" t="s">
        <v>230</v>
      </c>
      <c r="G279" s="6">
        <v>1</v>
      </c>
      <c r="H279" s="5" t="s">
        <v>38</v>
      </c>
      <c r="I279" s="6">
        <v>4</v>
      </c>
      <c r="J279" s="5" t="s">
        <v>25</v>
      </c>
      <c r="K279" s="6">
        <v>38725</v>
      </c>
      <c r="L279" s="5" t="s">
        <v>26</v>
      </c>
      <c r="M279" s="5" t="s">
        <v>27</v>
      </c>
      <c r="N279" s="5" t="s">
        <v>28</v>
      </c>
      <c r="O279" s="7">
        <v>45627</v>
      </c>
      <c r="P279" s="7">
        <v>45627.291666666664</v>
      </c>
      <c r="Q279" s="5" t="s">
        <v>43</v>
      </c>
      <c r="R279" s="5" t="s">
        <v>32</v>
      </c>
      <c r="S279" s="5" t="s">
        <v>53</v>
      </c>
      <c r="T279" s="6">
        <v>8</v>
      </c>
      <c r="U279" s="6">
        <v>8</v>
      </c>
      <c r="V279" s="5" t="s">
        <v>92</v>
      </c>
      <c r="W279" s="8"/>
      <c r="Y279">
        <f t="shared" si="7"/>
        <v>100</v>
      </c>
    </row>
    <row r="280" spans="1:25" ht="15.75" customHeight="1">
      <c r="A280" s="5" t="s">
        <v>742</v>
      </c>
      <c r="B280" s="6">
        <v>18</v>
      </c>
      <c r="C280" s="5" t="s">
        <v>36</v>
      </c>
      <c r="D280" s="6" t="s">
        <v>205</v>
      </c>
      <c r="E280" s="6"/>
      <c r="F280" s="6" t="s">
        <v>400</v>
      </c>
      <c r="G280" s="6">
        <v>10</v>
      </c>
      <c r="H280" s="5" t="s">
        <v>58</v>
      </c>
      <c r="I280" s="6">
        <v>5</v>
      </c>
      <c r="J280" s="5" t="s">
        <v>25</v>
      </c>
      <c r="K280" s="6">
        <v>12146</v>
      </c>
      <c r="L280" s="5" t="s">
        <v>40</v>
      </c>
      <c r="M280" s="5" t="s">
        <v>66</v>
      </c>
      <c r="N280" s="5" t="s">
        <v>28</v>
      </c>
      <c r="O280" s="6" t="s">
        <v>520</v>
      </c>
      <c r="P280" s="6" t="s">
        <v>743</v>
      </c>
      <c r="Q280" s="5" t="s">
        <v>86</v>
      </c>
      <c r="R280" s="5" t="s">
        <v>32</v>
      </c>
      <c r="S280" s="5" t="s">
        <v>49</v>
      </c>
      <c r="T280" s="6">
        <v>6</v>
      </c>
      <c r="U280" s="6">
        <v>8</v>
      </c>
      <c r="V280" s="5" t="s">
        <v>92</v>
      </c>
      <c r="W280" s="8"/>
      <c r="Y280">
        <f t="shared" si="7"/>
        <v>75</v>
      </c>
    </row>
    <row r="281" spans="1:25" ht="15.75" customHeight="1">
      <c r="A281" s="5" t="s">
        <v>744</v>
      </c>
      <c r="B281" s="6">
        <v>82</v>
      </c>
      <c r="C281" s="5" t="s">
        <v>62</v>
      </c>
      <c r="D281" s="7">
        <v>45236</v>
      </c>
      <c r="E281" s="7"/>
      <c r="F281" s="6" t="s">
        <v>745</v>
      </c>
      <c r="G281" s="6">
        <v>15</v>
      </c>
      <c r="H281" s="5" t="s">
        <v>24</v>
      </c>
      <c r="I281" s="6">
        <v>5</v>
      </c>
      <c r="J281" s="5" t="s">
        <v>89</v>
      </c>
      <c r="K281" s="6">
        <v>5560</v>
      </c>
      <c r="L281" s="5" t="s">
        <v>26</v>
      </c>
      <c r="M281" s="5" t="s">
        <v>27</v>
      </c>
      <c r="N281" s="5" t="s">
        <v>28</v>
      </c>
      <c r="O281" s="7">
        <v>45205</v>
      </c>
      <c r="P281" s="7">
        <v>45236.958333333336</v>
      </c>
      <c r="Q281" s="5" t="s">
        <v>48</v>
      </c>
      <c r="R281" s="5" t="s">
        <v>32</v>
      </c>
      <c r="S281" s="5" t="s">
        <v>53</v>
      </c>
      <c r="T281" s="6">
        <v>6</v>
      </c>
      <c r="U281" s="6">
        <v>10</v>
      </c>
      <c r="V281" s="5" t="s">
        <v>34</v>
      </c>
      <c r="W281" s="8"/>
      <c r="Y281">
        <f t="shared" si="7"/>
        <v>60</v>
      </c>
    </row>
    <row r="282" spans="1:25" ht="15.75" customHeight="1">
      <c r="A282" s="5" t="s">
        <v>746</v>
      </c>
      <c r="B282" s="6">
        <v>66</v>
      </c>
      <c r="C282" s="5" t="s">
        <v>47</v>
      </c>
      <c r="D282" s="6" t="s">
        <v>477</v>
      </c>
      <c r="E282" s="6"/>
      <c r="F282" s="7">
        <v>45386</v>
      </c>
      <c r="G282" s="6">
        <v>11</v>
      </c>
      <c r="H282" s="5" t="s">
        <v>46</v>
      </c>
      <c r="I282" s="6">
        <v>4</v>
      </c>
      <c r="J282" s="5" t="s">
        <v>39</v>
      </c>
      <c r="K282" s="6">
        <v>6312</v>
      </c>
      <c r="L282" s="5" t="s">
        <v>90</v>
      </c>
      <c r="M282" s="5" t="s">
        <v>27</v>
      </c>
      <c r="N282" s="5" t="s">
        <v>28</v>
      </c>
      <c r="O282" s="6" t="s">
        <v>133</v>
      </c>
      <c r="P282" s="6" t="s">
        <v>747</v>
      </c>
      <c r="Q282" s="5" t="s">
        <v>43</v>
      </c>
      <c r="R282" s="5" t="s">
        <v>32</v>
      </c>
      <c r="S282" s="5" t="s">
        <v>53</v>
      </c>
      <c r="T282" s="6">
        <v>6</v>
      </c>
      <c r="U282" s="6">
        <v>8</v>
      </c>
      <c r="V282" s="5" t="s">
        <v>92</v>
      </c>
      <c r="W282" s="8"/>
      <c r="Y282">
        <f t="shared" si="7"/>
        <v>75</v>
      </c>
    </row>
    <row r="283" spans="1:25" ht="15.75" customHeight="1">
      <c r="A283" s="5" t="s">
        <v>748</v>
      </c>
      <c r="B283" s="6">
        <v>54</v>
      </c>
      <c r="C283" s="5" t="s">
        <v>36</v>
      </c>
      <c r="D283" s="7">
        <v>45088</v>
      </c>
      <c r="E283" s="7"/>
      <c r="F283" s="6" t="s">
        <v>276</v>
      </c>
      <c r="G283" s="6">
        <v>14</v>
      </c>
      <c r="H283" s="5" t="s">
        <v>58</v>
      </c>
      <c r="I283" s="6">
        <v>5</v>
      </c>
      <c r="J283" s="5" t="s">
        <v>39</v>
      </c>
      <c r="K283" s="6">
        <v>23205</v>
      </c>
      <c r="L283" s="5" t="s">
        <v>26</v>
      </c>
      <c r="M283" s="5" t="s">
        <v>66</v>
      </c>
      <c r="N283" s="5" t="s">
        <v>28</v>
      </c>
      <c r="O283" s="7">
        <v>44968</v>
      </c>
      <c r="P283" s="7">
        <v>44996.208333333336</v>
      </c>
      <c r="Q283" s="5" t="s">
        <v>31</v>
      </c>
      <c r="R283" s="5" t="s">
        <v>32</v>
      </c>
      <c r="S283" s="5" t="s">
        <v>49</v>
      </c>
      <c r="T283" s="6">
        <v>7</v>
      </c>
      <c r="U283" s="6">
        <v>12</v>
      </c>
      <c r="V283" s="5" t="s">
        <v>34</v>
      </c>
      <c r="W283" s="8"/>
      <c r="Y283">
        <f t="shared" si="7"/>
        <v>58.333333333333336</v>
      </c>
    </row>
    <row r="284" spans="1:25" ht="15.75" customHeight="1">
      <c r="A284" s="5" t="s">
        <v>749</v>
      </c>
      <c r="B284" s="6">
        <v>35</v>
      </c>
      <c r="C284" s="5" t="s">
        <v>82</v>
      </c>
      <c r="D284" s="7">
        <v>45170</v>
      </c>
      <c r="E284" s="7"/>
      <c r="F284" s="6" t="s">
        <v>750</v>
      </c>
      <c r="G284" s="6">
        <v>12</v>
      </c>
      <c r="H284" s="5" t="s">
        <v>38</v>
      </c>
      <c r="I284" s="6">
        <v>3</v>
      </c>
      <c r="J284" s="5" t="s">
        <v>39</v>
      </c>
      <c r="K284" s="6">
        <v>16595</v>
      </c>
      <c r="L284" s="5" t="s">
        <v>65</v>
      </c>
      <c r="M284" s="5" t="s">
        <v>66</v>
      </c>
      <c r="N284" s="5" t="s">
        <v>28</v>
      </c>
      <c r="O284" s="7">
        <v>45078</v>
      </c>
      <c r="P284" s="7">
        <v>45078.875</v>
      </c>
      <c r="Q284" s="5" t="s">
        <v>43</v>
      </c>
      <c r="R284" s="5" t="s">
        <v>32</v>
      </c>
      <c r="S284" s="5" t="s">
        <v>53</v>
      </c>
      <c r="T284" s="6">
        <v>5</v>
      </c>
      <c r="U284" s="6">
        <v>8</v>
      </c>
      <c r="V284" s="5" t="s">
        <v>34</v>
      </c>
      <c r="W284" s="8"/>
      <c r="Y284">
        <f t="shared" si="7"/>
        <v>62.5</v>
      </c>
    </row>
    <row r="285" spans="1:25" ht="15.75" customHeight="1">
      <c r="A285" s="5" t="s">
        <v>751</v>
      </c>
      <c r="B285" s="6">
        <v>80</v>
      </c>
      <c r="C285" s="5" t="s">
        <v>51</v>
      </c>
      <c r="D285" s="7">
        <v>44996</v>
      </c>
      <c r="E285" s="7"/>
      <c r="F285" s="7">
        <v>45149</v>
      </c>
      <c r="G285" s="6">
        <v>5</v>
      </c>
      <c r="H285" s="5" t="s">
        <v>24</v>
      </c>
      <c r="I285" s="6">
        <v>2</v>
      </c>
      <c r="J285" s="5" t="s">
        <v>25</v>
      </c>
      <c r="K285" s="6">
        <v>27030</v>
      </c>
      <c r="L285" s="5" t="s">
        <v>26</v>
      </c>
      <c r="M285" s="5" t="s">
        <v>66</v>
      </c>
      <c r="N285" s="5" t="s">
        <v>47</v>
      </c>
      <c r="O285" s="6" t="s">
        <v>650</v>
      </c>
      <c r="P285" s="6" t="s">
        <v>752</v>
      </c>
      <c r="Q285" s="5" t="s">
        <v>86</v>
      </c>
      <c r="R285" s="5" t="s">
        <v>32</v>
      </c>
      <c r="S285" s="5" t="s">
        <v>53</v>
      </c>
      <c r="T285" s="6">
        <v>5</v>
      </c>
      <c r="U285" s="6">
        <v>10</v>
      </c>
      <c r="V285" s="5" t="s">
        <v>92</v>
      </c>
      <c r="W285" s="8"/>
      <c r="Y285">
        <f t="shared" si="7"/>
        <v>50</v>
      </c>
    </row>
    <row r="286" spans="1:25" ht="15.75" customHeight="1">
      <c r="A286" s="5" t="s">
        <v>753</v>
      </c>
      <c r="B286" s="6">
        <v>61</v>
      </c>
      <c r="C286" s="5" t="s">
        <v>82</v>
      </c>
      <c r="D286" s="6" t="s">
        <v>146</v>
      </c>
      <c r="E286" s="6"/>
      <c r="F286" s="6" t="s">
        <v>571</v>
      </c>
      <c r="G286" s="6">
        <v>1</v>
      </c>
      <c r="H286" s="5" t="s">
        <v>73</v>
      </c>
      <c r="I286" s="6">
        <v>5</v>
      </c>
      <c r="J286" s="5" t="s">
        <v>39</v>
      </c>
      <c r="K286" s="6">
        <v>26329</v>
      </c>
      <c r="L286" s="5" t="s">
        <v>80</v>
      </c>
      <c r="M286" s="5" t="s">
        <v>27</v>
      </c>
      <c r="N286" s="5" t="s">
        <v>28</v>
      </c>
      <c r="O286" s="6" t="s">
        <v>146</v>
      </c>
      <c r="P286" s="6" t="s">
        <v>754</v>
      </c>
      <c r="Q286" s="5" t="s">
        <v>48</v>
      </c>
      <c r="R286" s="5" t="s">
        <v>32</v>
      </c>
      <c r="S286" s="5" t="s">
        <v>49</v>
      </c>
      <c r="T286" s="6">
        <v>4</v>
      </c>
      <c r="U286" s="6">
        <v>12</v>
      </c>
      <c r="V286" s="5" t="s">
        <v>54</v>
      </c>
      <c r="W286" s="8"/>
      <c r="Y286">
        <f t="shared" si="7"/>
        <v>33.333333333333329</v>
      </c>
    </row>
    <row r="287" spans="1:25" ht="15.75" customHeight="1">
      <c r="A287" s="5" t="s">
        <v>755</v>
      </c>
      <c r="B287" s="6">
        <v>41</v>
      </c>
      <c r="C287" s="5" t="s">
        <v>22</v>
      </c>
      <c r="D287" s="6" t="s">
        <v>67</v>
      </c>
      <c r="E287" s="6"/>
      <c r="F287" s="6" t="s">
        <v>756</v>
      </c>
      <c r="G287" s="6">
        <v>3</v>
      </c>
      <c r="H287" s="5" t="s">
        <v>38</v>
      </c>
      <c r="I287" s="6">
        <v>3</v>
      </c>
      <c r="J287" s="5" t="s">
        <v>52</v>
      </c>
      <c r="K287" s="6">
        <v>43142</v>
      </c>
      <c r="L287" s="5" t="s">
        <v>65</v>
      </c>
      <c r="M287" s="5" t="s">
        <v>66</v>
      </c>
      <c r="N287" s="5" t="s">
        <v>28</v>
      </c>
      <c r="O287" s="6" t="s">
        <v>67</v>
      </c>
      <c r="P287" s="6" t="s">
        <v>757</v>
      </c>
      <c r="Q287" s="5" t="s">
        <v>48</v>
      </c>
      <c r="R287" s="5" t="s">
        <v>32</v>
      </c>
      <c r="S287" s="5" t="s">
        <v>33</v>
      </c>
      <c r="T287" s="6">
        <v>11</v>
      </c>
      <c r="U287" s="6">
        <v>8</v>
      </c>
      <c r="V287" s="5" t="s">
        <v>54</v>
      </c>
      <c r="W287" s="8"/>
      <c r="Y287">
        <f t="shared" si="7"/>
        <v>137.5</v>
      </c>
    </row>
    <row r="288" spans="1:25" ht="15.75" customHeight="1">
      <c r="A288" s="5" t="s">
        <v>758</v>
      </c>
      <c r="B288" s="6">
        <v>33</v>
      </c>
      <c r="C288" s="5" t="s">
        <v>62</v>
      </c>
      <c r="D288" s="6" t="s">
        <v>162</v>
      </c>
      <c r="E288" s="6"/>
      <c r="F288" s="7">
        <v>44995</v>
      </c>
      <c r="G288" s="6">
        <v>5</v>
      </c>
      <c r="H288" s="5" t="s">
        <v>46</v>
      </c>
      <c r="I288" s="6">
        <v>2</v>
      </c>
      <c r="J288" s="5" t="s">
        <v>97</v>
      </c>
      <c r="K288" s="6">
        <v>7651</v>
      </c>
      <c r="L288" s="5" t="s">
        <v>40</v>
      </c>
      <c r="M288" s="5" t="s">
        <v>27</v>
      </c>
      <c r="N288" s="5" t="s">
        <v>28</v>
      </c>
      <c r="O288" s="6" t="s">
        <v>162</v>
      </c>
      <c r="P288" s="6" t="s">
        <v>759</v>
      </c>
      <c r="Q288" s="5" t="s">
        <v>48</v>
      </c>
      <c r="R288" s="5" t="s">
        <v>32</v>
      </c>
      <c r="S288" s="5" t="s">
        <v>49</v>
      </c>
      <c r="T288" s="6">
        <v>11</v>
      </c>
      <c r="U288" s="6">
        <v>8</v>
      </c>
      <c r="V288" s="5" t="s">
        <v>34</v>
      </c>
      <c r="W288" s="8"/>
      <c r="Y288">
        <f t="shared" si="7"/>
        <v>137.5</v>
      </c>
    </row>
    <row r="289" spans="1:25" ht="15.75" customHeight="1">
      <c r="A289" s="5" t="s">
        <v>760</v>
      </c>
      <c r="B289" s="6">
        <v>68</v>
      </c>
      <c r="C289" s="5" t="s">
        <v>47</v>
      </c>
      <c r="D289" s="6" t="s">
        <v>761</v>
      </c>
      <c r="E289" s="6"/>
      <c r="F289" s="7">
        <v>45235</v>
      </c>
      <c r="G289" s="6">
        <v>12</v>
      </c>
      <c r="H289" s="5" t="s">
        <v>24</v>
      </c>
      <c r="I289" s="6">
        <v>2</v>
      </c>
      <c r="J289" s="5" t="s">
        <v>25</v>
      </c>
      <c r="K289" s="6">
        <v>15006</v>
      </c>
      <c r="L289" s="5" t="s">
        <v>80</v>
      </c>
      <c r="M289" s="5" t="s">
        <v>66</v>
      </c>
      <c r="N289" s="5" t="s">
        <v>47</v>
      </c>
      <c r="O289" s="6" t="s">
        <v>342</v>
      </c>
      <c r="P289" s="6" t="s">
        <v>762</v>
      </c>
      <c r="Q289" s="5" t="s">
        <v>86</v>
      </c>
      <c r="R289" s="5" t="s">
        <v>32</v>
      </c>
      <c r="S289" s="5" t="s">
        <v>53</v>
      </c>
      <c r="T289" s="6">
        <v>6</v>
      </c>
      <c r="U289" s="6">
        <v>12</v>
      </c>
      <c r="V289" s="5" t="s">
        <v>54</v>
      </c>
      <c r="W289" s="8"/>
      <c r="Y289">
        <f t="shared" si="7"/>
        <v>50</v>
      </c>
    </row>
    <row r="290" spans="1:25" ht="15.75" customHeight="1">
      <c r="A290" s="5" t="s">
        <v>763</v>
      </c>
      <c r="B290" s="6">
        <v>33</v>
      </c>
      <c r="C290" s="5" t="s">
        <v>36</v>
      </c>
      <c r="D290" s="6" t="s">
        <v>72</v>
      </c>
      <c r="E290" s="6"/>
      <c r="F290" s="7">
        <v>44990</v>
      </c>
      <c r="G290" s="6">
        <v>13</v>
      </c>
      <c r="H290" s="5" t="s">
        <v>83</v>
      </c>
      <c r="I290" s="6">
        <v>5</v>
      </c>
      <c r="J290" s="5" t="s">
        <v>89</v>
      </c>
      <c r="K290" s="6">
        <v>47701</v>
      </c>
      <c r="L290" s="5" t="s">
        <v>90</v>
      </c>
      <c r="M290" s="5" t="s">
        <v>27</v>
      </c>
      <c r="N290" s="5" t="s">
        <v>28</v>
      </c>
      <c r="O290" s="6" t="s">
        <v>71</v>
      </c>
      <c r="P290" s="6" t="s">
        <v>764</v>
      </c>
      <c r="Q290" s="5" t="s">
        <v>31</v>
      </c>
      <c r="R290" s="5" t="s">
        <v>32</v>
      </c>
      <c r="S290" s="5" t="s">
        <v>33</v>
      </c>
      <c r="T290" s="6">
        <v>5</v>
      </c>
      <c r="U290" s="6">
        <v>12</v>
      </c>
      <c r="V290" s="5" t="s">
        <v>54</v>
      </c>
      <c r="W290" s="8"/>
      <c r="Y290">
        <f t="shared" si="7"/>
        <v>41.666666666666671</v>
      </c>
    </row>
    <row r="291" spans="1:25" ht="15.75" customHeight="1">
      <c r="A291" s="5" t="s">
        <v>765</v>
      </c>
      <c r="B291" s="6">
        <v>14</v>
      </c>
      <c r="C291" s="5" t="s">
        <v>36</v>
      </c>
      <c r="D291" s="7">
        <v>45175</v>
      </c>
      <c r="E291" s="7"/>
      <c r="F291" s="6" t="s">
        <v>227</v>
      </c>
      <c r="G291" s="6">
        <v>5</v>
      </c>
      <c r="H291" s="5" t="s">
        <v>58</v>
      </c>
      <c r="I291" s="6">
        <v>3</v>
      </c>
      <c r="J291" s="5" t="s">
        <v>89</v>
      </c>
      <c r="K291" s="6">
        <v>40645</v>
      </c>
      <c r="L291" s="5" t="s">
        <v>90</v>
      </c>
      <c r="M291" s="5" t="s">
        <v>66</v>
      </c>
      <c r="N291" s="5" t="s">
        <v>47</v>
      </c>
      <c r="O291" s="7">
        <v>45113</v>
      </c>
      <c r="P291" s="7">
        <v>45113.916666666664</v>
      </c>
      <c r="Q291" s="5" t="s">
        <v>48</v>
      </c>
      <c r="R291" s="5" t="s">
        <v>32</v>
      </c>
      <c r="S291" s="5" t="s">
        <v>33</v>
      </c>
      <c r="T291" s="6">
        <v>4</v>
      </c>
      <c r="U291" s="6">
        <v>8</v>
      </c>
      <c r="V291" s="5" t="s">
        <v>92</v>
      </c>
      <c r="W291" s="8"/>
      <c r="Y291">
        <f t="shared" si="7"/>
        <v>50</v>
      </c>
    </row>
    <row r="292" spans="1:25" ht="15.75" customHeight="1">
      <c r="A292" s="5" t="s">
        <v>766</v>
      </c>
      <c r="B292" s="6">
        <v>21</v>
      </c>
      <c r="C292" s="5" t="s">
        <v>62</v>
      </c>
      <c r="D292" s="7">
        <v>45087</v>
      </c>
      <c r="E292" s="7"/>
      <c r="F292" s="6" t="s">
        <v>126</v>
      </c>
      <c r="G292" s="6">
        <v>15</v>
      </c>
      <c r="H292" s="5" t="s">
        <v>73</v>
      </c>
      <c r="I292" s="6">
        <v>5</v>
      </c>
      <c r="J292" s="5" t="s">
        <v>97</v>
      </c>
      <c r="K292" s="6">
        <v>26966</v>
      </c>
      <c r="L292" s="5" t="s">
        <v>90</v>
      </c>
      <c r="M292" s="5" t="s">
        <v>27</v>
      </c>
      <c r="N292" s="5" t="s">
        <v>47</v>
      </c>
      <c r="O292" s="7">
        <v>44995</v>
      </c>
      <c r="P292" s="7">
        <v>45026.75</v>
      </c>
      <c r="Q292" s="5" t="s">
        <v>31</v>
      </c>
      <c r="R292" s="5" t="s">
        <v>32</v>
      </c>
      <c r="S292" s="5" t="s">
        <v>33</v>
      </c>
      <c r="T292" s="6">
        <v>7</v>
      </c>
      <c r="U292" s="6">
        <v>12</v>
      </c>
      <c r="V292" s="5" t="s">
        <v>34</v>
      </c>
      <c r="W292" s="8"/>
      <c r="Y292">
        <f t="shared" si="7"/>
        <v>58.333333333333336</v>
      </c>
    </row>
    <row r="293" spans="1:25" ht="15.75" customHeight="1">
      <c r="A293" s="5" t="s">
        <v>767</v>
      </c>
      <c r="B293" s="6">
        <v>48</v>
      </c>
      <c r="C293" s="5" t="s">
        <v>47</v>
      </c>
      <c r="D293" s="6" t="s">
        <v>768</v>
      </c>
      <c r="E293" s="6"/>
      <c r="F293" s="6" t="s">
        <v>769</v>
      </c>
      <c r="G293" s="6">
        <v>6</v>
      </c>
      <c r="H293" s="5" t="s">
        <v>83</v>
      </c>
      <c r="I293" s="6">
        <v>4</v>
      </c>
      <c r="J293" s="5" t="s">
        <v>25</v>
      </c>
      <c r="K293" s="6">
        <v>32846</v>
      </c>
      <c r="L293" s="5" t="s">
        <v>80</v>
      </c>
      <c r="M293" s="5" t="s">
        <v>66</v>
      </c>
      <c r="N293" s="5" t="s">
        <v>28</v>
      </c>
      <c r="O293" s="7">
        <v>45270</v>
      </c>
      <c r="P293" s="7">
        <v>45270.291666666664</v>
      </c>
      <c r="Q293" s="5" t="s">
        <v>43</v>
      </c>
      <c r="R293" s="5" t="s">
        <v>44</v>
      </c>
      <c r="S293" s="5" t="s">
        <v>49</v>
      </c>
      <c r="T293" s="6">
        <v>6</v>
      </c>
      <c r="U293" s="6">
        <v>10</v>
      </c>
      <c r="V293" s="5" t="s">
        <v>34</v>
      </c>
      <c r="W293" s="8"/>
      <c r="Y293">
        <f t="shared" si="7"/>
        <v>60</v>
      </c>
    </row>
    <row r="294" spans="1:25" ht="15.75" customHeight="1">
      <c r="A294" s="5" t="s">
        <v>770</v>
      </c>
      <c r="B294" s="6">
        <v>20</v>
      </c>
      <c r="C294" s="5" t="s">
        <v>62</v>
      </c>
      <c r="D294" s="7">
        <v>45024</v>
      </c>
      <c r="E294" s="7"/>
      <c r="F294" s="7">
        <v>45207</v>
      </c>
      <c r="G294" s="6">
        <v>6</v>
      </c>
      <c r="H294" s="5" t="s">
        <v>24</v>
      </c>
      <c r="I294" s="6">
        <v>2</v>
      </c>
      <c r="J294" s="5" t="s">
        <v>39</v>
      </c>
      <c r="K294" s="6">
        <v>26774</v>
      </c>
      <c r="L294" s="5" t="s">
        <v>80</v>
      </c>
      <c r="M294" s="5" t="s">
        <v>27</v>
      </c>
      <c r="N294" s="5" t="s">
        <v>28</v>
      </c>
      <c r="O294" s="7">
        <v>44934</v>
      </c>
      <c r="P294" s="7">
        <v>44965.833333333336</v>
      </c>
      <c r="Q294" s="5" t="s">
        <v>31</v>
      </c>
      <c r="R294" s="5" t="s">
        <v>32</v>
      </c>
      <c r="S294" s="5" t="s">
        <v>33</v>
      </c>
      <c r="T294" s="6">
        <v>8</v>
      </c>
      <c r="U294" s="6">
        <v>8</v>
      </c>
      <c r="V294" s="5" t="s">
        <v>92</v>
      </c>
      <c r="W294" s="8"/>
      <c r="Y294">
        <f t="shared" si="7"/>
        <v>100</v>
      </c>
    </row>
    <row r="295" spans="1:25" ht="15.75" customHeight="1">
      <c r="A295" s="5" t="s">
        <v>771</v>
      </c>
      <c r="B295" s="6">
        <v>8</v>
      </c>
      <c r="C295" s="5" t="s">
        <v>22</v>
      </c>
      <c r="D295" s="6" t="s">
        <v>772</v>
      </c>
      <c r="E295" s="6"/>
      <c r="F295" s="6" t="s">
        <v>158</v>
      </c>
      <c r="G295" s="6">
        <v>1</v>
      </c>
      <c r="H295" s="5" t="s">
        <v>24</v>
      </c>
      <c r="I295" s="6">
        <v>5</v>
      </c>
      <c r="J295" s="5" t="s">
        <v>39</v>
      </c>
      <c r="K295" s="6">
        <v>9083</v>
      </c>
      <c r="L295" s="5" t="s">
        <v>80</v>
      </c>
      <c r="M295" s="5" t="s">
        <v>66</v>
      </c>
      <c r="N295" s="5" t="s">
        <v>28</v>
      </c>
      <c r="O295" s="6" t="s">
        <v>773</v>
      </c>
      <c r="P295" s="6" t="s">
        <v>774</v>
      </c>
      <c r="Q295" s="5" t="s">
        <v>31</v>
      </c>
      <c r="R295" s="5" t="s">
        <v>32</v>
      </c>
      <c r="S295" s="5" t="s">
        <v>33</v>
      </c>
      <c r="T295" s="6">
        <v>7</v>
      </c>
      <c r="U295" s="6">
        <v>10</v>
      </c>
      <c r="V295" s="5" t="s">
        <v>54</v>
      </c>
      <c r="W295" s="8"/>
      <c r="Y295">
        <f t="shared" si="7"/>
        <v>70</v>
      </c>
    </row>
    <row r="296" spans="1:25" ht="15.75" customHeight="1">
      <c r="A296" s="5" t="s">
        <v>775</v>
      </c>
      <c r="B296" s="6">
        <v>7</v>
      </c>
      <c r="C296" s="5" t="s">
        <v>82</v>
      </c>
      <c r="D296" s="6" t="s">
        <v>577</v>
      </c>
      <c r="E296" s="6"/>
      <c r="F296" s="6" t="s">
        <v>404</v>
      </c>
      <c r="G296" s="6">
        <v>3</v>
      </c>
      <c r="H296" s="5" t="s">
        <v>38</v>
      </c>
      <c r="I296" s="6">
        <v>2</v>
      </c>
      <c r="J296" s="5" t="s">
        <v>52</v>
      </c>
      <c r="K296" s="6">
        <v>38513</v>
      </c>
      <c r="L296" s="5" t="s">
        <v>65</v>
      </c>
      <c r="M296" s="5" t="s">
        <v>66</v>
      </c>
      <c r="N296" s="5" t="s">
        <v>28</v>
      </c>
      <c r="O296" s="6" t="s">
        <v>776</v>
      </c>
      <c r="P296" s="6" t="s">
        <v>777</v>
      </c>
      <c r="Q296" s="5" t="s">
        <v>48</v>
      </c>
      <c r="R296" s="5" t="s">
        <v>32</v>
      </c>
      <c r="S296" s="5" t="s">
        <v>33</v>
      </c>
      <c r="T296" s="6">
        <v>4</v>
      </c>
      <c r="U296" s="6">
        <v>8</v>
      </c>
      <c r="V296" s="5" t="s">
        <v>34</v>
      </c>
      <c r="W296" s="8"/>
      <c r="Y296">
        <f t="shared" si="7"/>
        <v>50</v>
      </c>
    </row>
    <row r="297" spans="1:25" ht="15.75" customHeight="1">
      <c r="A297" s="5" t="s">
        <v>778</v>
      </c>
      <c r="B297" s="6">
        <v>67</v>
      </c>
      <c r="C297" s="5" t="s">
        <v>36</v>
      </c>
      <c r="D297" s="6" t="s">
        <v>162</v>
      </c>
      <c r="E297" s="6"/>
      <c r="F297" s="7">
        <v>45270</v>
      </c>
      <c r="G297" s="6">
        <v>14</v>
      </c>
      <c r="H297" s="5" t="s">
        <v>24</v>
      </c>
      <c r="I297" s="6">
        <v>3</v>
      </c>
      <c r="J297" s="5" t="s">
        <v>52</v>
      </c>
      <c r="K297" s="6">
        <v>13749</v>
      </c>
      <c r="L297" s="5" t="s">
        <v>65</v>
      </c>
      <c r="M297" s="5" t="s">
        <v>66</v>
      </c>
      <c r="N297" s="5" t="s">
        <v>28</v>
      </c>
      <c r="O297" s="6" t="s">
        <v>314</v>
      </c>
      <c r="P297" s="6" t="s">
        <v>779</v>
      </c>
      <c r="Q297" s="5" t="s">
        <v>69</v>
      </c>
      <c r="R297" s="5" t="s">
        <v>32</v>
      </c>
      <c r="S297" s="5" t="s">
        <v>53</v>
      </c>
      <c r="T297" s="6">
        <v>7</v>
      </c>
      <c r="U297" s="6">
        <v>10</v>
      </c>
      <c r="V297" s="5" t="s">
        <v>54</v>
      </c>
      <c r="W297" s="8"/>
      <c r="Y297">
        <f t="shared" si="7"/>
        <v>70</v>
      </c>
    </row>
    <row r="298" spans="1:25" ht="15.75" customHeight="1">
      <c r="A298" s="5" t="s">
        <v>780</v>
      </c>
      <c r="B298" s="6">
        <v>17</v>
      </c>
      <c r="C298" s="5" t="s">
        <v>22</v>
      </c>
      <c r="D298" s="7">
        <v>45297</v>
      </c>
      <c r="E298" s="7"/>
      <c r="F298" s="7">
        <v>45388</v>
      </c>
      <c r="G298" s="6">
        <v>3</v>
      </c>
      <c r="H298" s="5" t="s">
        <v>73</v>
      </c>
      <c r="I298" s="6">
        <v>1</v>
      </c>
      <c r="J298" s="5" t="s">
        <v>39</v>
      </c>
      <c r="K298" s="6">
        <v>35783</v>
      </c>
      <c r="L298" s="5" t="s">
        <v>90</v>
      </c>
      <c r="M298" s="5" t="s">
        <v>66</v>
      </c>
      <c r="N298" s="5" t="s">
        <v>28</v>
      </c>
      <c r="O298" s="6" t="s">
        <v>781</v>
      </c>
      <c r="P298" s="7">
        <v>45297.416666666664</v>
      </c>
      <c r="Q298" s="5" t="s">
        <v>69</v>
      </c>
      <c r="R298" s="5" t="s">
        <v>32</v>
      </c>
      <c r="S298" s="5" t="s">
        <v>49</v>
      </c>
      <c r="T298" s="6">
        <v>8</v>
      </c>
      <c r="U298" s="6">
        <v>10</v>
      </c>
      <c r="V298" s="5" t="s">
        <v>34</v>
      </c>
      <c r="W298" s="8"/>
      <c r="Y298">
        <f t="shared" si="7"/>
        <v>80</v>
      </c>
    </row>
    <row r="299" spans="1:25" ht="15.75" customHeight="1">
      <c r="A299" s="5" t="s">
        <v>782</v>
      </c>
      <c r="B299" s="6">
        <v>33</v>
      </c>
      <c r="C299" s="5" t="s">
        <v>82</v>
      </c>
      <c r="D299" s="6" t="s">
        <v>420</v>
      </c>
      <c r="E299" s="6"/>
      <c r="F299" s="6" t="s">
        <v>390</v>
      </c>
      <c r="G299" s="6">
        <v>10</v>
      </c>
      <c r="H299" s="5" t="s">
        <v>83</v>
      </c>
      <c r="I299" s="6">
        <v>5</v>
      </c>
      <c r="J299" s="5" t="s">
        <v>89</v>
      </c>
      <c r="K299" s="6">
        <v>22325</v>
      </c>
      <c r="L299" s="5" t="s">
        <v>26</v>
      </c>
      <c r="M299" s="5" t="s">
        <v>66</v>
      </c>
      <c r="N299" s="5" t="s">
        <v>28</v>
      </c>
      <c r="O299" s="6" t="s">
        <v>644</v>
      </c>
      <c r="P299" s="6" t="s">
        <v>783</v>
      </c>
      <c r="Q299" s="5" t="s">
        <v>86</v>
      </c>
      <c r="R299" s="5" t="s">
        <v>32</v>
      </c>
      <c r="S299" s="5" t="s">
        <v>49</v>
      </c>
      <c r="T299" s="6">
        <v>11</v>
      </c>
      <c r="U299" s="6">
        <v>12</v>
      </c>
      <c r="V299" s="5" t="s">
        <v>34</v>
      </c>
      <c r="W299" s="8"/>
      <c r="Y299">
        <f t="shared" si="7"/>
        <v>91.666666666666657</v>
      </c>
    </row>
    <row r="300" spans="1:25" ht="15.75" customHeight="1">
      <c r="A300" s="5" t="s">
        <v>784</v>
      </c>
      <c r="B300" s="6">
        <v>48</v>
      </c>
      <c r="C300" s="5" t="s">
        <v>22</v>
      </c>
      <c r="D300" s="6" t="s">
        <v>363</v>
      </c>
      <c r="E300" s="6"/>
      <c r="F300" s="6" t="s">
        <v>164</v>
      </c>
      <c r="G300" s="6">
        <v>11</v>
      </c>
      <c r="H300" s="5" t="s">
        <v>73</v>
      </c>
      <c r="I300" s="6">
        <v>5</v>
      </c>
      <c r="J300" s="5" t="s">
        <v>89</v>
      </c>
      <c r="K300" s="6">
        <v>23680</v>
      </c>
      <c r="L300" s="5" t="s">
        <v>90</v>
      </c>
      <c r="M300" s="5" t="s">
        <v>66</v>
      </c>
      <c r="N300" s="5" t="s">
        <v>47</v>
      </c>
      <c r="O300" s="7">
        <v>45239</v>
      </c>
      <c r="P300" s="7">
        <v>45269.5</v>
      </c>
      <c r="Q300" s="5" t="s">
        <v>86</v>
      </c>
      <c r="R300" s="5" t="s">
        <v>32</v>
      </c>
      <c r="S300" s="5" t="s">
        <v>53</v>
      </c>
      <c r="T300" s="6">
        <v>7</v>
      </c>
      <c r="U300" s="6">
        <v>8</v>
      </c>
      <c r="V300" s="5" t="s">
        <v>34</v>
      </c>
      <c r="W300" s="8"/>
      <c r="Y300">
        <f t="shared" si="7"/>
        <v>87.5</v>
      </c>
    </row>
    <row r="301" spans="1:25" ht="15.75" customHeight="1">
      <c r="A301" s="5" t="s">
        <v>785</v>
      </c>
      <c r="B301" s="6">
        <v>76</v>
      </c>
      <c r="C301" s="5" t="s">
        <v>47</v>
      </c>
      <c r="D301" s="6" t="s">
        <v>786</v>
      </c>
      <c r="E301" s="6"/>
      <c r="F301" s="7">
        <v>44929</v>
      </c>
      <c r="G301" s="6">
        <v>7</v>
      </c>
      <c r="H301" s="5" t="s">
        <v>46</v>
      </c>
      <c r="I301" s="6">
        <v>2</v>
      </c>
      <c r="J301" s="5" t="s">
        <v>52</v>
      </c>
      <c r="K301" s="6">
        <v>22323</v>
      </c>
      <c r="L301" s="5" t="s">
        <v>40</v>
      </c>
      <c r="M301" s="5" t="s">
        <v>27</v>
      </c>
      <c r="N301" s="5" t="s">
        <v>28</v>
      </c>
      <c r="O301" s="6" t="s">
        <v>787</v>
      </c>
      <c r="P301" s="6" t="s">
        <v>788</v>
      </c>
      <c r="Q301" s="5" t="s">
        <v>69</v>
      </c>
      <c r="R301" s="5" t="s">
        <v>32</v>
      </c>
      <c r="S301" s="5" t="s">
        <v>33</v>
      </c>
      <c r="T301" s="6">
        <v>4</v>
      </c>
      <c r="U301" s="6">
        <v>12</v>
      </c>
      <c r="V301" s="5" t="s">
        <v>34</v>
      </c>
      <c r="W301" s="8"/>
      <c r="Y301">
        <f t="shared" si="7"/>
        <v>33.333333333333329</v>
      </c>
    </row>
    <row r="302" spans="1:25" ht="15.75" customHeight="1">
      <c r="A302" s="5" t="s">
        <v>789</v>
      </c>
      <c r="B302" s="6">
        <v>59</v>
      </c>
      <c r="C302" s="5" t="s">
        <v>36</v>
      </c>
      <c r="D302" s="7">
        <v>45050</v>
      </c>
      <c r="E302" s="7"/>
      <c r="F302" s="7">
        <v>45111</v>
      </c>
      <c r="G302" s="6">
        <v>2</v>
      </c>
      <c r="H302" s="5" t="s">
        <v>46</v>
      </c>
      <c r="I302" s="6">
        <v>3</v>
      </c>
      <c r="J302" s="5" t="s">
        <v>97</v>
      </c>
      <c r="K302" s="6">
        <v>27684</v>
      </c>
      <c r="L302" s="5" t="s">
        <v>65</v>
      </c>
      <c r="M302" s="5" t="s">
        <v>66</v>
      </c>
      <c r="N302" s="5" t="s">
        <v>28</v>
      </c>
      <c r="O302" s="7">
        <v>45020</v>
      </c>
      <c r="P302" s="7">
        <v>45020.916666666664</v>
      </c>
      <c r="Q302" s="5" t="s">
        <v>43</v>
      </c>
      <c r="R302" s="5" t="s">
        <v>32</v>
      </c>
      <c r="S302" s="5" t="s">
        <v>53</v>
      </c>
      <c r="T302" s="6">
        <v>11</v>
      </c>
      <c r="U302" s="6">
        <v>12</v>
      </c>
      <c r="V302" s="5" t="s">
        <v>54</v>
      </c>
      <c r="W302" s="8"/>
      <c r="Y302">
        <f t="shared" si="7"/>
        <v>91.666666666666657</v>
      </c>
    </row>
    <row r="303" spans="1:25" ht="15.75" customHeight="1">
      <c r="A303" s="5" t="s">
        <v>790</v>
      </c>
      <c r="B303" s="6">
        <v>86</v>
      </c>
      <c r="C303" s="5" t="s">
        <v>62</v>
      </c>
      <c r="D303" s="7">
        <v>45538</v>
      </c>
      <c r="E303" s="7"/>
      <c r="F303" s="7">
        <v>45629</v>
      </c>
      <c r="G303" s="6">
        <v>3</v>
      </c>
      <c r="H303" s="5" t="s">
        <v>58</v>
      </c>
      <c r="I303" s="6">
        <v>4</v>
      </c>
      <c r="J303" s="5" t="s">
        <v>39</v>
      </c>
      <c r="K303" s="6">
        <v>39493</v>
      </c>
      <c r="L303" s="5" t="s">
        <v>80</v>
      </c>
      <c r="M303" s="5" t="s">
        <v>27</v>
      </c>
      <c r="N303" s="5" t="s">
        <v>28</v>
      </c>
      <c r="O303" s="7">
        <v>45446</v>
      </c>
      <c r="P303" s="7">
        <v>45476.5</v>
      </c>
      <c r="Q303" s="5" t="s">
        <v>48</v>
      </c>
      <c r="R303" s="5" t="s">
        <v>32</v>
      </c>
      <c r="S303" s="5" t="s">
        <v>53</v>
      </c>
      <c r="T303" s="6">
        <v>11</v>
      </c>
      <c r="U303" s="6">
        <v>8</v>
      </c>
      <c r="V303" s="5" t="s">
        <v>54</v>
      </c>
      <c r="W303" s="8"/>
      <c r="Y303">
        <f t="shared" si="7"/>
        <v>137.5</v>
      </c>
    </row>
    <row r="304" spans="1:25" ht="15.75" customHeight="1">
      <c r="A304" s="5" t="s">
        <v>791</v>
      </c>
      <c r="B304" s="6">
        <v>22</v>
      </c>
      <c r="C304" s="5" t="s">
        <v>62</v>
      </c>
      <c r="D304" s="7">
        <v>45240</v>
      </c>
      <c r="E304" s="7"/>
      <c r="F304" s="6" t="s">
        <v>792</v>
      </c>
      <c r="G304" s="6">
        <v>12</v>
      </c>
      <c r="H304" s="5" t="s">
        <v>58</v>
      </c>
      <c r="I304" s="6">
        <v>3</v>
      </c>
      <c r="J304" s="5" t="s">
        <v>52</v>
      </c>
      <c r="K304" s="6">
        <v>17213</v>
      </c>
      <c r="L304" s="5" t="s">
        <v>65</v>
      </c>
      <c r="M304" s="5" t="s">
        <v>66</v>
      </c>
      <c r="N304" s="5" t="s">
        <v>28</v>
      </c>
      <c r="O304" s="7">
        <v>45117</v>
      </c>
      <c r="P304" s="7">
        <v>45148.166666666664</v>
      </c>
      <c r="Q304" s="5" t="s">
        <v>48</v>
      </c>
      <c r="R304" s="5" t="s">
        <v>32</v>
      </c>
      <c r="S304" s="5" t="s">
        <v>33</v>
      </c>
      <c r="T304" s="6">
        <v>11</v>
      </c>
      <c r="U304" s="6">
        <v>10</v>
      </c>
      <c r="V304" s="5" t="s">
        <v>54</v>
      </c>
      <c r="W304" s="8"/>
      <c r="Y304">
        <f t="shared" si="7"/>
        <v>110.00000000000001</v>
      </c>
    </row>
    <row r="305" spans="1:25" ht="15.75" customHeight="1">
      <c r="A305" s="5" t="s">
        <v>793</v>
      </c>
      <c r="B305" s="6">
        <v>30</v>
      </c>
      <c r="C305" s="5" t="s">
        <v>82</v>
      </c>
      <c r="D305" s="6" t="s">
        <v>274</v>
      </c>
      <c r="E305" s="6"/>
      <c r="F305" s="6" t="s">
        <v>168</v>
      </c>
      <c r="G305" s="6">
        <v>11</v>
      </c>
      <c r="H305" s="5" t="s">
        <v>46</v>
      </c>
      <c r="I305" s="6">
        <v>5</v>
      </c>
      <c r="J305" s="5" t="s">
        <v>52</v>
      </c>
      <c r="K305" s="6">
        <v>36831</v>
      </c>
      <c r="L305" s="5" t="s">
        <v>80</v>
      </c>
      <c r="M305" s="5" t="s">
        <v>66</v>
      </c>
      <c r="N305" s="5" t="s">
        <v>28</v>
      </c>
      <c r="O305" s="7">
        <v>45201</v>
      </c>
      <c r="P305" s="7">
        <v>45232.25</v>
      </c>
      <c r="Q305" s="5" t="s">
        <v>43</v>
      </c>
      <c r="R305" s="5" t="s">
        <v>32</v>
      </c>
      <c r="S305" s="5" t="s">
        <v>33</v>
      </c>
      <c r="T305" s="6">
        <v>8</v>
      </c>
      <c r="U305" s="6">
        <v>8</v>
      </c>
      <c r="V305" s="5" t="s">
        <v>54</v>
      </c>
      <c r="W305" s="8"/>
      <c r="Y305">
        <f t="shared" si="7"/>
        <v>100</v>
      </c>
    </row>
    <row r="306" spans="1:25" ht="15.75" customHeight="1">
      <c r="A306" s="5" t="s">
        <v>794</v>
      </c>
      <c r="B306" s="6">
        <v>38</v>
      </c>
      <c r="C306" s="5" t="s">
        <v>51</v>
      </c>
      <c r="D306" s="7">
        <v>45017</v>
      </c>
      <c r="E306" s="7"/>
      <c r="F306" s="7">
        <v>45047</v>
      </c>
      <c r="G306" s="6">
        <v>1</v>
      </c>
      <c r="H306" s="5" t="s">
        <v>24</v>
      </c>
      <c r="I306" s="6">
        <v>4</v>
      </c>
      <c r="J306" s="5" t="s">
        <v>39</v>
      </c>
      <c r="K306" s="6">
        <v>47296</v>
      </c>
      <c r="L306" s="5" t="s">
        <v>40</v>
      </c>
      <c r="M306" s="5" t="s">
        <v>27</v>
      </c>
      <c r="N306" s="5" t="s">
        <v>28</v>
      </c>
      <c r="O306" s="7">
        <v>44958</v>
      </c>
      <c r="P306" s="7">
        <v>44958.625</v>
      </c>
      <c r="Q306" s="5" t="s">
        <v>43</v>
      </c>
      <c r="R306" s="5" t="s">
        <v>32</v>
      </c>
      <c r="S306" s="5" t="s">
        <v>49</v>
      </c>
      <c r="T306" s="6">
        <v>8</v>
      </c>
      <c r="U306" s="6">
        <v>8</v>
      </c>
      <c r="V306" s="5" t="s">
        <v>92</v>
      </c>
      <c r="W306" s="8"/>
      <c r="Y306">
        <f t="shared" si="7"/>
        <v>100</v>
      </c>
    </row>
    <row r="307" spans="1:25" ht="15.75" customHeight="1">
      <c r="A307" s="5" t="s">
        <v>795</v>
      </c>
      <c r="B307" s="6">
        <v>51</v>
      </c>
      <c r="C307" s="5" t="s">
        <v>47</v>
      </c>
      <c r="D307" s="7">
        <v>45150</v>
      </c>
      <c r="E307" s="7"/>
      <c r="F307" s="7">
        <v>45211</v>
      </c>
      <c r="G307" s="6">
        <v>2</v>
      </c>
      <c r="H307" s="5" t="s">
        <v>73</v>
      </c>
      <c r="I307" s="6">
        <v>3</v>
      </c>
      <c r="J307" s="5" t="s">
        <v>39</v>
      </c>
      <c r="K307" s="6">
        <v>32713</v>
      </c>
      <c r="L307" s="5" t="s">
        <v>40</v>
      </c>
      <c r="M307" s="5" t="s">
        <v>66</v>
      </c>
      <c r="N307" s="5" t="s">
        <v>28</v>
      </c>
      <c r="O307" s="7">
        <v>45028</v>
      </c>
      <c r="P307" s="7">
        <v>45058.083333333336</v>
      </c>
      <c r="Q307" s="5" t="s">
        <v>69</v>
      </c>
      <c r="R307" s="5" t="s">
        <v>32</v>
      </c>
      <c r="S307" s="5" t="s">
        <v>33</v>
      </c>
      <c r="T307" s="6">
        <v>11</v>
      </c>
      <c r="U307" s="6">
        <v>8</v>
      </c>
      <c r="V307" s="5" t="s">
        <v>34</v>
      </c>
      <c r="W307" s="8"/>
      <c r="Y307">
        <f t="shared" si="7"/>
        <v>137.5</v>
      </c>
    </row>
    <row r="308" spans="1:25" ht="15.75" customHeight="1">
      <c r="A308" s="5" t="s">
        <v>796</v>
      </c>
      <c r="B308" s="6">
        <v>54</v>
      </c>
      <c r="C308" s="5" t="s">
        <v>82</v>
      </c>
      <c r="D308" s="6" t="s">
        <v>448</v>
      </c>
      <c r="E308" s="6"/>
      <c r="F308" s="6" t="s">
        <v>526</v>
      </c>
      <c r="G308" s="6">
        <v>12</v>
      </c>
      <c r="H308" s="5" t="s">
        <v>46</v>
      </c>
      <c r="I308" s="6">
        <v>1</v>
      </c>
      <c r="J308" s="5" t="s">
        <v>89</v>
      </c>
      <c r="K308" s="6">
        <v>46621</v>
      </c>
      <c r="L308" s="5" t="s">
        <v>65</v>
      </c>
      <c r="M308" s="5" t="s">
        <v>27</v>
      </c>
      <c r="N308" s="5" t="s">
        <v>47</v>
      </c>
      <c r="O308" s="7">
        <v>45265</v>
      </c>
      <c r="P308" s="6" t="s">
        <v>797</v>
      </c>
      <c r="Q308" s="5" t="s">
        <v>86</v>
      </c>
      <c r="R308" s="5" t="s">
        <v>32</v>
      </c>
      <c r="S308" s="5" t="s">
        <v>53</v>
      </c>
      <c r="T308" s="6">
        <v>7</v>
      </c>
      <c r="U308" s="6">
        <v>12</v>
      </c>
      <c r="V308" s="5" t="s">
        <v>34</v>
      </c>
      <c r="W308" s="8"/>
      <c r="Y308">
        <f t="shared" si="7"/>
        <v>58.333333333333336</v>
      </c>
    </row>
    <row r="309" spans="1:25" ht="15.75" customHeight="1">
      <c r="A309" s="5" t="s">
        <v>798</v>
      </c>
      <c r="B309" s="6">
        <v>8</v>
      </c>
      <c r="C309" s="5" t="s">
        <v>51</v>
      </c>
      <c r="D309" s="6" t="s">
        <v>164</v>
      </c>
      <c r="E309" s="6"/>
      <c r="F309" s="7">
        <v>45056</v>
      </c>
      <c r="G309" s="6">
        <v>9</v>
      </c>
      <c r="H309" s="5" t="s">
        <v>58</v>
      </c>
      <c r="I309" s="6">
        <v>2</v>
      </c>
      <c r="J309" s="5" t="s">
        <v>97</v>
      </c>
      <c r="K309" s="6">
        <v>12187</v>
      </c>
      <c r="L309" s="5" t="s">
        <v>80</v>
      </c>
      <c r="M309" s="5" t="s">
        <v>66</v>
      </c>
      <c r="N309" s="5" t="s">
        <v>28</v>
      </c>
      <c r="O309" s="6" t="s">
        <v>799</v>
      </c>
      <c r="P309" s="6" t="s">
        <v>800</v>
      </c>
      <c r="Q309" s="5" t="s">
        <v>43</v>
      </c>
      <c r="R309" s="5" t="s">
        <v>32</v>
      </c>
      <c r="S309" s="5" t="s">
        <v>53</v>
      </c>
      <c r="T309" s="6">
        <v>8</v>
      </c>
      <c r="U309" s="6">
        <v>8</v>
      </c>
      <c r="V309" s="5" t="s">
        <v>34</v>
      </c>
      <c r="W309" s="8"/>
      <c r="Y309">
        <f t="shared" si="7"/>
        <v>100</v>
      </c>
    </row>
    <row r="310" spans="1:25" ht="15.75" customHeight="1">
      <c r="A310" s="5" t="s">
        <v>801</v>
      </c>
      <c r="B310" s="6">
        <v>27</v>
      </c>
      <c r="C310" s="5" t="s">
        <v>22</v>
      </c>
      <c r="D310" s="6" t="s">
        <v>253</v>
      </c>
      <c r="E310" s="6"/>
      <c r="F310" s="6" t="s">
        <v>345</v>
      </c>
      <c r="G310" s="6">
        <v>4</v>
      </c>
      <c r="H310" s="5" t="s">
        <v>46</v>
      </c>
      <c r="I310" s="6">
        <v>3</v>
      </c>
      <c r="J310" s="5" t="s">
        <v>97</v>
      </c>
      <c r="K310" s="6">
        <v>37800</v>
      </c>
      <c r="L310" s="5" t="s">
        <v>40</v>
      </c>
      <c r="M310" s="5" t="s">
        <v>66</v>
      </c>
      <c r="N310" s="5" t="s">
        <v>28</v>
      </c>
      <c r="O310" s="7">
        <v>45236</v>
      </c>
      <c r="P310" s="7">
        <v>45236.5</v>
      </c>
      <c r="Q310" s="5" t="s">
        <v>86</v>
      </c>
      <c r="R310" s="5" t="s">
        <v>32</v>
      </c>
      <c r="S310" s="5" t="s">
        <v>33</v>
      </c>
      <c r="T310" s="6">
        <v>10</v>
      </c>
      <c r="U310" s="6">
        <v>8</v>
      </c>
      <c r="V310" s="5" t="s">
        <v>92</v>
      </c>
      <c r="W310" s="8"/>
      <c r="Y310">
        <f t="shared" si="7"/>
        <v>125</v>
      </c>
    </row>
    <row r="311" spans="1:25" ht="15.75" customHeight="1">
      <c r="A311" s="5" t="s">
        <v>802</v>
      </c>
      <c r="B311" s="6">
        <v>27</v>
      </c>
      <c r="C311" s="5" t="s">
        <v>47</v>
      </c>
      <c r="D311" s="6" t="s">
        <v>547</v>
      </c>
      <c r="E311" s="6"/>
      <c r="F311" s="7">
        <v>45386</v>
      </c>
      <c r="G311" s="6">
        <v>7</v>
      </c>
      <c r="H311" s="5" t="s">
        <v>24</v>
      </c>
      <c r="I311" s="6">
        <v>3</v>
      </c>
      <c r="J311" s="5" t="s">
        <v>39</v>
      </c>
      <c r="K311" s="6">
        <v>37583</v>
      </c>
      <c r="L311" s="5" t="s">
        <v>90</v>
      </c>
      <c r="M311" s="5" t="s">
        <v>27</v>
      </c>
      <c r="N311" s="5" t="s">
        <v>28</v>
      </c>
      <c r="O311" s="6" t="s">
        <v>477</v>
      </c>
      <c r="P311" s="6" t="s">
        <v>803</v>
      </c>
      <c r="Q311" s="5" t="s">
        <v>31</v>
      </c>
      <c r="R311" s="5" t="s">
        <v>32</v>
      </c>
      <c r="S311" s="5" t="s">
        <v>49</v>
      </c>
      <c r="T311" s="6">
        <v>7</v>
      </c>
      <c r="U311" s="6">
        <v>8</v>
      </c>
      <c r="V311" s="5" t="s">
        <v>54</v>
      </c>
      <c r="W311" s="8"/>
      <c r="Y311">
        <f t="shared" si="7"/>
        <v>87.5</v>
      </c>
    </row>
    <row r="312" spans="1:25" ht="15.75" customHeight="1">
      <c r="A312" s="5" t="s">
        <v>804</v>
      </c>
      <c r="B312" s="6">
        <v>21</v>
      </c>
      <c r="C312" s="5" t="s">
        <v>22</v>
      </c>
      <c r="D312" s="6" t="s">
        <v>805</v>
      </c>
      <c r="E312" s="6"/>
      <c r="F312" s="6" t="s">
        <v>133</v>
      </c>
      <c r="G312" s="6">
        <v>7</v>
      </c>
      <c r="H312" s="5" t="s">
        <v>46</v>
      </c>
      <c r="I312" s="6">
        <v>1</v>
      </c>
      <c r="J312" s="5" t="s">
        <v>25</v>
      </c>
      <c r="K312" s="6">
        <v>19408</v>
      </c>
      <c r="L312" s="5" t="s">
        <v>90</v>
      </c>
      <c r="M312" s="5" t="s">
        <v>27</v>
      </c>
      <c r="N312" s="5" t="s">
        <v>47</v>
      </c>
      <c r="O312" s="7">
        <v>45568</v>
      </c>
      <c r="P312" s="7">
        <v>45599.791666666664</v>
      </c>
      <c r="Q312" s="5" t="s">
        <v>48</v>
      </c>
      <c r="R312" s="5" t="s">
        <v>32</v>
      </c>
      <c r="S312" s="5" t="s">
        <v>53</v>
      </c>
      <c r="T312" s="6">
        <v>6</v>
      </c>
      <c r="U312" s="6">
        <v>10</v>
      </c>
      <c r="V312" s="5" t="s">
        <v>34</v>
      </c>
      <c r="W312" s="8"/>
      <c r="Y312">
        <f t="shared" si="7"/>
        <v>60</v>
      </c>
    </row>
    <row r="313" spans="1:25" ht="15.75" customHeight="1">
      <c r="A313" s="5" t="s">
        <v>806</v>
      </c>
      <c r="B313" s="6">
        <v>30</v>
      </c>
      <c r="C313" s="5" t="s">
        <v>36</v>
      </c>
      <c r="D313" s="7">
        <v>45200</v>
      </c>
      <c r="E313" s="7"/>
      <c r="F313" s="6" t="s">
        <v>366</v>
      </c>
      <c r="G313" s="6">
        <v>8</v>
      </c>
      <c r="H313" s="5" t="s">
        <v>73</v>
      </c>
      <c r="I313" s="6">
        <v>5</v>
      </c>
      <c r="J313" s="5" t="s">
        <v>52</v>
      </c>
      <c r="K313" s="6">
        <v>27369</v>
      </c>
      <c r="L313" s="5" t="s">
        <v>80</v>
      </c>
      <c r="M313" s="5" t="s">
        <v>66</v>
      </c>
      <c r="N313" s="5" t="s">
        <v>28</v>
      </c>
      <c r="O313" s="7">
        <v>45047</v>
      </c>
      <c r="P313" s="7">
        <v>45078.166666666664</v>
      </c>
      <c r="Q313" s="5" t="s">
        <v>69</v>
      </c>
      <c r="R313" s="5" t="s">
        <v>32</v>
      </c>
      <c r="S313" s="5" t="s">
        <v>33</v>
      </c>
      <c r="T313" s="6">
        <v>8</v>
      </c>
      <c r="U313" s="6">
        <v>10</v>
      </c>
      <c r="V313" s="5" t="s">
        <v>54</v>
      </c>
      <c r="W313" s="8"/>
      <c r="Y313">
        <f t="shared" si="7"/>
        <v>80</v>
      </c>
    </row>
    <row r="314" spans="1:25" ht="15.75" customHeight="1">
      <c r="A314" s="5" t="s">
        <v>807</v>
      </c>
      <c r="B314" s="6">
        <v>28</v>
      </c>
      <c r="C314" s="5" t="s">
        <v>47</v>
      </c>
      <c r="D314" s="6" t="s">
        <v>23</v>
      </c>
      <c r="E314" s="6"/>
      <c r="F314" s="7">
        <v>44931</v>
      </c>
      <c r="G314" s="6">
        <v>6</v>
      </c>
      <c r="H314" s="5" t="s">
        <v>83</v>
      </c>
      <c r="I314" s="6">
        <v>2</v>
      </c>
      <c r="J314" s="5" t="s">
        <v>52</v>
      </c>
      <c r="K314" s="6">
        <v>8414</v>
      </c>
      <c r="L314" s="5" t="s">
        <v>65</v>
      </c>
      <c r="M314" s="5" t="s">
        <v>66</v>
      </c>
      <c r="N314" s="5" t="s">
        <v>28</v>
      </c>
      <c r="O314" s="6" t="s">
        <v>94</v>
      </c>
      <c r="P314" s="6" t="s">
        <v>808</v>
      </c>
      <c r="Q314" s="5" t="s">
        <v>48</v>
      </c>
      <c r="R314" s="5" t="s">
        <v>32</v>
      </c>
      <c r="S314" s="5" t="s">
        <v>49</v>
      </c>
      <c r="T314" s="6">
        <v>7</v>
      </c>
      <c r="U314" s="6">
        <v>10</v>
      </c>
      <c r="V314" s="5" t="s">
        <v>54</v>
      </c>
      <c r="W314" s="8"/>
      <c r="Y314">
        <f t="shared" si="7"/>
        <v>70</v>
      </c>
    </row>
    <row r="315" spans="1:25" ht="15.75" customHeight="1">
      <c r="A315" s="5" t="s">
        <v>809</v>
      </c>
      <c r="B315" s="6">
        <v>64</v>
      </c>
      <c r="C315" s="5" t="s">
        <v>51</v>
      </c>
      <c r="D315" s="6" t="s">
        <v>595</v>
      </c>
      <c r="E315" s="6"/>
      <c r="F315" s="6" t="s">
        <v>178</v>
      </c>
      <c r="G315" s="6">
        <v>3</v>
      </c>
      <c r="H315" s="5" t="s">
        <v>24</v>
      </c>
      <c r="I315" s="6">
        <v>3</v>
      </c>
      <c r="J315" s="5" t="s">
        <v>39</v>
      </c>
      <c r="K315" s="6">
        <v>24510</v>
      </c>
      <c r="L315" s="5" t="s">
        <v>40</v>
      </c>
      <c r="M315" s="5" t="s">
        <v>27</v>
      </c>
      <c r="N315" s="5" t="s">
        <v>28</v>
      </c>
      <c r="O315" s="6" t="s">
        <v>728</v>
      </c>
      <c r="P315" s="6" t="s">
        <v>810</v>
      </c>
      <c r="Q315" s="5" t="s">
        <v>69</v>
      </c>
      <c r="R315" s="5" t="s">
        <v>32</v>
      </c>
      <c r="S315" s="5" t="s">
        <v>49</v>
      </c>
      <c r="T315" s="6">
        <v>6</v>
      </c>
      <c r="U315" s="6">
        <v>10</v>
      </c>
      <c r="V315" s="5" t="s">
        <v>92</v>
      </c>
      <c r="W315" s="8"/>
      <c r="Y315">
        <f t="shared" si="7"/>
        <v>60</v>
      </c>
    </row>
    <row r="316" spans="1:25" ht="15.75" customHeight="1">
      <c r="A316" s="5" t="s">
        <v>811</v>
      </c>
      <c r="B316" s="6">
        <v>69</v>
      </c>
      <c r="C316" s="5" t="s">
        <v>36</v>
      </c>
      <c r="D316" s="7">
        <v>44963</v>
      </c>
      <c r="E316" s="7"/>
      <c r="F316" s="7">
        <v>45144</v>
      </c>
      <c r="G316" s="6">
        <v>6</v>
      </c>
      <c r="H316" s="5" t="s">
        <v>58</v>
      </c>
      <c r="I316" s="6">
        <v>4</v>
      </c>
      <c r="J316" s="5" t="s">
        <v>25</v>
      </c>
      <c r="K316" s="6">
        <v>17120</v>
      </c>
      <c r="L316" s="5" t="s">
        <v>65</v>
      </c>
      <c r="M316" s="5" t="s">
        <v>66</v>
      </c>
      <c r="N316" s="5" t="s">
        <v>28</v>
      </c>
      <c r="O316" s="6" t="s">
        <v>812</v>
      </c>
      <c r="P316" s="7">
        <v>44932</v>
      </c>
      <c r="Q316" s="5" t="s">
        <v>31</v>
      </c>
      <c r="R316" s="5" t="s">
        <v>32</v>
      </c>
      <c r="S316" s="5" t="s">
        <v>53</v>
      </c>
      <c r="T316" s="6">
        <v>8</v>
      </c>
      <c r="U316" s="6">
        <v>12</v>
      </c>
      <c r="V316" s="5" t="s">
        <v>92</v>
      </c>
      <c r="W316" s="8"/>
      <c r="Y316">
        <f t="shared" si="7"/>
        <v>66.666666666666657</v>
      </c>
    </row>
    <row r="317" spans="1:25" ht="15.75" customHeight="1">
      <c r="A317" s="5" t="s">
        <v>813</v>
      </c>
      <c r="B317" s="6">
        <v>61</v>
      </c>
      <c r="C317" s="5" t="s">
        <v>62</v>
      </c>
      <c r="D317" s="7">
        <v>45079</v>
      </c>
      <c r="E317" s="7"/>
      <c r="F317" s="7">
        <v>45232</v>
      </c>
      <c r="G317" s="6">
        <v>5</v>
      </c>
      <c r="H317" s="5" t="s">
        <v>73</v>
      </c>
      <c r="I317" s="6">
        <v>3</v>
      </c>
      <c r="J317" s="5" t="s">
        <v>89</v>
      </c>
      <c r="K317" s="6">
        <v>39311</v>
      </c>
      <c r="L317" s="5" t="s">
        <v>90</v>
      </c>
      <c r="M317" s="5" t="s">
        <v>27</v>
      </c>
      <c r="N317" s="5" t="s">
        <v>28</v>
      </c>
      <c r="O317" s="7">
        <v>45079</v>
      </c>
      <c r="P317" s="7">
        <v>45109.666666666664</v>
      </c>
      <c r="Q317" s="5" t="s">
        <v>48</v>
      </c>
      <c r="R317" s="5" t="s">
        <v>32</v>
      </c>
      <c r="S317" s="5" t="s">
        <v>53</v>
      </c>
      <c r="T317" s="6">
        <v>6</v>
      </c>
      <c r="U317" s="6">
        <v>12</v>
      </c>
      <c r="V317" s="5" t="s">
        <v>54</v>
      </c>
      <c r="W317" s="8"/>
      <c r="Y317">
        <f t="shared" si="7"/>
        <v>50</v>
      </c>
    </row>
    <row r="318" spans="1:25" ht="15.75" customHeight="1">
      <c r="A318" s="5" t="s">
        <v>814</v>
      </c>
      <c r="B318" s="6">
        <v>48</v>
      </c>
      <c r="C318" s="5" t="s">
        <v>51</v>
      </c>
      <c r="D318" s="6" t="s">
        <v>741</v>
      </c>
      <c r="E318" s="6"/>
      <c r="F318" s="6" t="s">
        <v>216</v>
      </c>
      <c r="G318" s="6">
        <v>12</v>
      </c>
      <c r="H318" s="5" t="s">
        <v>46</v>
      </c>
      <c r="I318" s="6">
        <v>2</v>
      </c>
      <c r="J318" s="5" t="s">
        <v>39</v>
      </c>
      <c r="K318" s="6">
        <v>38039</v>
      </c>
      <c r="L318" s="5" t="s">
        <v>40</v>
      </c>
      <c r="M318" s="5" t="s">
        <v>66</v>
      </c>
      <c r="N318" s="5" t="s">
        <v>28</v>
      </c>
      <c r="O318" s="7">
        <v>45627</v>
      </c>
      <c r="P318" s="7">
        <v>45627.541666666664</v>
      </c>
      <c r="Q318" s="5" t="s">
        <v>31</v>
      </c>
      <c r="R318" s="5" t="s">
        <v>32</v>
      </c>
      <c r="S318" s="5" t="s">
        <v>49</v>
      </c>
      <c r="T318" s="6">
        <v>9</v>
      </c>
      <c r="U318" s="6">
        <v>8</v>
      </c>
      <c r="V318" s="5" t="s">
        <v>34</v>
      </c>
      <c r="W318" s="8"/>
      <c r="Y318">
        <f t="shared" si="7"/>
        <v>112.5</v>
      </c>
    </row>
    <row r="319" spans="1:25" ht="15.75" customHeight="1">
      <c r="A319" s="5" t="s">
        <v>815</v>
      </c>
      <c r="B319" s="6">
        <v>19</v>
      </c>
      <c r="C319" s="5" t="s">
        <v>82</v>
      </c>
      <c r="D319" s="7">
        <v>44932</v>
      </c>
      <c r="E319" s="7"/>
      <c r="F319" s="7">
        <v>45113</v>
      </c>
      <c r="G319" s="6">
        <v>6</v>
      </c>
      <c r="H319" s="5" t="s">
        <v>46</v>
      </c>
      <c r="I319" s="6">
        <v>3</v>
      </c>
      <c r="J319" s="5" t="s">
        <v>39</v>
      </c>
      <c r="K319" s="6">
        <v>10295</v>
      </c>
      <c r="L319" s="5" t="s">
        <v>65</v>
      </c>
      <c r="M319" s="5" t="s">
        <v>66</v>
      </c>
      <c r="N319" s="5" t="s">
        <v>28</v>
      </c>
      <c r="O319" s="6" t="s">
        <v>812</v>
      </c>
      <c r="P319" s="6" t="s">
        <v>816</v>
      </c>
      <c r="Q319" s="5" t="s">
        <v>69</v>
      </c>
      <c r="R319" s="5" t="s">
        <v>32</v>
      </c>
      <c r="S319" s="5" t="s">
        <v>49</v>
      </c>
      <c r="T319" s="6">
        <v>8</v>
      </c>
      <c r="U319" s="6">
        <v>12</v>
      </c>
      <c r="V319" s="5" t="s">
        <v>34</v>
      </c>
      <c r="W319" s="8"/>
      <c r="Y319">
        <f t="shared" si="7"/>
        <v>66.666666666666657</v>
      </c>
    </row>
    <row r="320" spans="1:25" ht="15.75" customHeight="1">
      <c r="A320" s="5" t="s">
        <v>817</v>
      </c>
      <c r="B320" s="6">
        <v>4</v>
      </c>
      <c r="C320" s="5" t="s">
        <v>62</v>
      </c>
      <c r="D320" s="6" t="s">
        <v>116</v>
      </c>
      <c r="E320" s="6"/>
      <c r="F320" s="6" t="s">
        <v>598</v>
      </c>
      <c r="G320" s="6">
        <v>13</v>
      </c>
      <c r="H320" s="5" t="s">
        <v>83</v>
      </c>
      <c r="I320" s="6">
        <v>1</v>
      </c>
      <c r="J320" s="5" t="s">
        <v>52</v>
      </c>
      <c r="K320" s="6">
        <v>25460</v>
      </c>
      <c r="L320" s="5" t="s">
        <v>26</v>
      </c>
      <c r="M320" s="5" t="s">
        <v>27</v>
      </c>
      <c r="N320" s="5" t="s">
        <v>28</v>
      </c>
      <c r="O320" s="7">
        <v>45599</v>
      </c>
      <c r="P320" s="7">
        <v>45629.583333333336</v>
      </c>
      <c r="Q320" s="5" t="s">
        <v>43</v>
      </c>
      <c r="R320" s="5" t="s">
        <v>32</v>
      </c>
      <c r="S320" s="5" t="s">
        <v>49</v>
      </c>
      <c r="T320" s="6">
        <v>9</v>
      </c>
      <c r="U320" s="6">
        <v>10</v>
      </c>
      <c r="V320" s="5" t="s">
        <v>92</v>
      </c>
      <c r="W320" s="8"/>
      <c r="Y320">
        <f t="shared" si="7"/>
        <v>90</v>
      </c>
    </row>
    <row r="321" spans="1:25" ht="15.75" customHeight="1">
      <c r="A321" s="5" t="s">
        <v>818</v>
      </c>
      <c r="B321" s="6">
        <v>35</v>
      </c>
      <c r="C321" s="5" t="s">
        <v>62</v>
      </c>
      <c r="D321" s="7">
        <v>45235</v>
      </c>
      <c r="E321" s="7"/>
      <c r="F321" s="6" t="s">
        <v>756</v>
      </c>
      <c r="G321" s="6">
        <v>10</v>
      </c>
      <c r="H321" s="5" t="s">
        <v>58</v>
      </c>
      <c r="I321" s="6">
        <v>3</v>
      </c>
      <c r="J321" s="5" t="s">
        <v>39</v>
      </c>
      <c r="K321" s="6">
        <v>19963</v>
      </c>
      <c r="L321" s="5" t="s">
        <v>80</v>
      </c>
      <c r="M321" s="5" t="s">
        <v>66</v>
      </c>
      <c r="N321" s="5" t="s">
        <v>47</v>
      </c>
      <c r="O321" s="7">
        <v>45235</v>
      </c>
      <c r="P321" s="7">
        <v>45265.166666666664</v>
      </c>
      <c r="Q321" s="5" t="s">
        <v>48</v>
      </c>
      <c r="R321" s="5" t="s">
        <v>44</v>
      </c>
      <c r="S321" s="5" t="s">
        <v>33</v>
      </c>
      <c r="T321" s="6">
        <v>4</v>
      </c>
      <c r="U321" s="6">
        <v>8</v>
      </c>
      <c r="V321" s="5" t="s">
        <v>92</v>
      </c>
      <c r="W321" s="8"/>
      <c r="Y321">
        <f t="shared" si="7"/>
        <v>50</v>
      </c>
    </row>
    <row r="322" spans="1:25" ht="15.75" customHeight="1">
      <c r="A322" s="5" t="s">
        <v>819</v>
      </c>
      <c r="B322" s="6">
        <v>64</v>
      </c>
      <c r="C322" s="5" t="s">
        <v>82</v>
      </c>
      <c r="D322" s="7">
        <v>45262</v>
      </c>
      <c r="E322" s="7"/>
      <c r="F322" s="6" t="s">
        <v>786</v>
      </c>
      <c r="G322" s="6">
        <v>10</v>
      </c>
      <c r="H322" s="5" t="s">
        <v>58</v>
      </c>
      <c r="I322" s="6">
        <v>3</v>
      </c>
      <c r="J322" s="5" t="s">
        <v>39</v>
      </c>
      <c r="K322" s="6">
        <v>16580</v>
      </c>
      <c r="L322" s="5" t="s">
        <v>80</v>
      </c>
      <c r="M322" s="5" t="s">
        <v>66</v>
      </c>
      <c r="N322" s="5" t="s">
        <v>28</v>
      </c>
      <c r="O322" s="7">
        <v>45171</v>
      </c>
      <c r="P322" s="7">
        <v>45201.041666666664</v>
      </c>
      <c r="Q322" s="5" t="s">
        <v>31</v>
      </c>
      <c r="R322" s="5" t="s">
        <v>32</v>
      </c>
      <c r="S322" s="5" t="s">
        <v>53</v>
      </c>
      <c r="T322" s="6">
        <v>4</v>
      </c>
      <c r="U322" s="6">
        <v>8</v>
      </c>
      <c r="V322" s="5" t="s">
        <v>92</v>
      </c>
      <c r="W322" s="8"/>
      <c r="Y322">
        <f t="shared" si="7"/>
        <v>50</v>
      </c>
    </row>
    <row r="323" spans="1:25" ht="15.75" customHeight="1">
      <c r="A323" s="5" t="s">
        <v>820</v>
      </c>
      <c r="B323" s="6">
        <v>49</v>
      </c>
      <c r="C323" s="5" t="s">
        <v>47</v>
      </c>
      <c r="D323" s="7">
        <v>45271</v>
      </c>
      <c r="E323" s="7"/>
      <c r="F323" s="6" t="s">
        <v>399</v>
      </c>
      <c r="G323" s="6">
        <v>2</v>
      </c>
      <c r="H323" s="5" t="s">
        <v>38</v>
      </c>
      <c r="I323" s="6">
        <v>4</v>
      </c>
      <c r="J323" s="5" t="s">
        <v>39</v>
      </c>
      <c r="K323" s="6">
        <v>27286</v>
      </c>
      <c r="L323" s="5" t="s">
        <v>26</v>
      </c>
      <c r="M323" s="5" t="s">
        <v>27</v>
      </c>
      <c r="N323" s="5" t="s">
        <v>28</v>
      </c>
      <c r="O323" s="7">
        <v>45149</v>
      </c>
      <c r="P323" s="7">
        <v>45149.041666666664</v>
      </c>
      <c r="Q323" s="5" t="s">
        <v>48</v>
      </c>
      <c r="R323" s="5" t="s">
        <v>44</v>
      </c>
      <c r="S323" s="5" t="s">
        <v>49</v>
      </c>
      <c r="T323" s="6">
        <v>7</v>
      </c>
      <c r="U323" s="6">
        <v>10</v>
      </c>
      <c r="V323" s="5" t="s">
        <v>92</v>
      </c>
      <c r="W323" s="8"/>
      <c r="Y323">
        <f t="shared" ref="Y323:Y386" si="8">(T323/U323*100)</f>
        <v>70</v>
      </c>
    </row>
    <row r="324" spans="1:25" ht="15.75" customHeight="1">
      <c r="A324" s="5" t="s">
        <v>821</v>
      </c>
      <c r="B324" s="6">
        <v>17</v>
      </c>
      <c r="C324" s="5" t="s">
        <v>62</v>
      </c>
      <c r="D324" s="7">
        <v>45536</v>
      </c>
      <c r="E324" s="7"/>
      <c r="F324" s="6" t="s">
        <v>260</v>
      </c>
      <c r="G324" s="6">
        <v>15</v>
      </c>
      <c r="H324" s="5" t="s">
        <v>58</v>
      </c>
      <c r="I324" s="6">
        <v>1</v>
      </c>
      <c r="J324" s="5" t="s">
        <v>52</v>
      </c>
      <c r="K324" s="6">
        <v>32328</v>
      </c>
      <c r="L324" s="5" t="s">
        <v>90</v>
      </c>
      <c r="M324" s="5" t="s">
        <v>66</v>
      </c>
      <c r="N324" s="5" t="s">
        <v>28</v>
      </c>
      <c r="O324" s="7">
        <v>45474</v>
      </c>
      <c r="P324" s="7">
        <v>45505.916666666664</v>
      </c>
      <c r="Q324" s="5" t="s">
        <v>48</v>
      </c>
      <c r="R324" s="5" t="s">
        <v>32</v>
      </c>
      <c r="S324" s="5" t="s">
        <v>53</v>
      </c>
      <c r="T324" s="6">
        <v>5</v>
      </c>
      <c r="U324" s="6">
        <v>10</v>
      </c>
      <c r="V324" s="5" t="s">
        <v>92</v>
      </c>
      <c r="W324" s="8"/>
      <c r="Y324">
        <f t="shared" si="8"/>
        <v>50</v>
      </c>
    </row>
    <row r="325" spans="1:25" ht="15.75" customHeight="1">
      <c r="A325" s="5" t="s">
        <v>822</v>
      </c>
      <c r="B325" s="6">
        <v>44</v>
      </c>
      <c r="C325" s="5" t="s">
        <v>51</v>
      </c>
      <c r="D325" s="7">
        <v>45201</v>
      </c>
      <c r="E325" s="7"/>
      <c r="F325" s="7">
        <v>45232</v>
      </c>
      <c r="G325" s="6">
        <v>1</v>
      </c>
      <c r="H325" s="5" t="s">
        <v>83</v>
      </c>
      <c r="I325" s="6">
        <v>1</v>
      </c>
      <c r="J325" s="5" t="s">
        <v>89</v>
      </c>
      <c r="K325" s="6">
        <v>24093</v>
      </c>
      <c r="L325" s="5" t="s">
        <v>40</v>
      </c>
      <c r="M325" s="5" t="s">
        <v>66</v>
      </c>
      <c r="N325" s="5" t="s">
        <v>47</v>
      </c>
      <c r="O325" s="7">
        <v>45048</v>
      </c>
      <c r="P325" s="7">
        <v>45048.583333333336</v>
      </c>
      <c r="Q325" s="5" t="s">
        <v>48</v>
      </c>
      <c r="R325" s="5" t="s">
        <v>32</v>
      </c>
      <c r="S325" s="5" t="s">
        <v>53</v>
      </c>
      <c r="T325" s="6">
        <v>9</v>
      </c>
      <c r="U325" s="6">
        <v>10</v>
      </c>
      <c r="V325" s="5" t="s">
        <v>92</v>
      </c>
      <c r="W325" s="8"/>
      <c r="Y325">
        <f t="shared" si="8"/>
        <v>90</v>
      </c>
    </row>
    <row r="326" spans="1:25" ht="15.75" customHeight="1">
      <c r="A326" s="5" t="s">
        <v>823</v>
      </c>
      <c r="B326" s="6">
        <v>30</v>
      </c>
      <c r="C326" s="5" t="s">
        <v>36</v>
      </c>
      <c r="D326" s="7">
        <v>45323</v>
      </c>
      <c r="E326" s="7"/>
      <c r="F326" s="7">
        <v>45413</v>
      </c>
      <c r="G326" s="6">
        <v>3</v>
      </c>
      <c r="H326" s="5" t="s">
        <v>38</v>
      </c>
      <c r="I326" s="6">
        <v>3</v>
      </c>
      <c r="J326" s="5" t="s">
        <v>89</v>
      </c>
      <c r="K326" s="6">
        <v>26605</v>
      </c>
      <c r="L326" s="5" t="s">
        <v>80</v>
      </c>
      <c r="M326" s="5" t="s">
        <v>66</v>
      </c>
      <c r="N326" s="5" t="s">
        <v>28</v>
      </c>
      <c r="O326" s="6" t="s">
        <v>824</v>
      </c>
      <c r="P326" s="6" t="s">
        <v>825</v>
      </c>
      <c r="Q326" s="5" t="s">
        <v>86</v>
      </c>
      <c r="R326" s="5" t="s">
        <v>44</v>
      </c>
      <c r="S326" s="5" t="s">
        <v>53</v>
      </c>
      <c r="T326" s="6">
        <v>9</v>
      </c>
      <c r="U326" s="6">
        <v>12</v>
      </c>
      <c r="V326" s="5" t="s">
        <v>92</v>
      </c>
      <c r="W326" s="8"/>
      <c r="Y326">
        <f t="shared" si="8"/>
        <v>75</v>
      </c>
    </row>
    <row r="327" spans="1:25" ht="15.75" customHeight="1">
      <c r="A327" s="5" t="s">
        <v>826</v>
      </c>
      <c r="B327" s="6">
        <v>46</v>
      </c>
      <c r="C327" s="5" t="s">
        <v>62</v>
      </c>
      <c r="D327" s="7">
        <v>45024</v>
      </c>
      <c r="E327" s="7"/>
      <c r="F327" s="7">
        <v>45115</v>
      </c>
      <c r="G327" s="6">
        <v>3</v>
      </c>
      <c r="H327" s="5" t="s">
        <v>38</v>
      </c>
      <c r="I327" s="6">
        <v>4</v>
      </c>
      <c r="J327" s="5" t="s">
        <v>39</v>
      </c>
      <c r="K327" s="6">
        <v>49813</v>
      </c>
      <c r="L327" s="5" t="s">
        <v>26</v>
      </c>
      <c r="M327" s="5" t="s">
        <v>66</v>
      </c>
      <c r="N327" s="5" t="s">
        <v>47</v>
      </c>
      <c r="O327" s="6" t="s">
        <v>827</v>
      </c>
      <c r="P327" s="6" t="s">
        <v>828</v>
      </c>
      <c r="Q327" s="5" t="s">
        <v>31</v>
      </c>
      <c r="R327" s="5" t="s">
        <v>32</v>
      </c>
      <c r="S327" s="5" t="s">
        <v>49</v>
      </c>
      <c r="T327" s="6">
        <v>4</v>
      </c>
      <c r="U327" s="6">
        <v>8</v>
      </c>
      <c r="V327" s="5" t="s">
        <v>34</v>
      </c>
      <c r="W327" s="8"/>
      <c r="Y327">
        <f t="shared" si="8"/>
        <v>50</v>
      </c>
    </row>
    <row r="328" spans="1:25" ht="15.75" customHeight="1">
      <c r="A328" s="5" t="s">
        <v>829</v>
      </c>
      <c r="B328" s="6">
        <v>6</v>
      </c>
      <c r="C328" s="5" t="s">
        <v>51</v>
      </c>
      <c r="D328" s="6" t="s">
        <v>591</v>
      </c>
      <c r="E328" s="6"/>
      <c r="F328" s="6" t="s">
        <v>164</v>
      </c>
      <c r="G328" s="6">
        <v>13</v>
      </c>
      <c r="H328" s="5" t="s">
        <v>46</v>
      </c>
      <c r="I328" s="6">
        <v>3</v>
      </c>
      <c r="J328" s="5" t="s">
        <v>52</v>
      </c>
      <c r="K328" s="6">
        <v>47705</v>
      </c>
      <c r="L328" s="5" t="s">
        <v>26</v>
      </c>
      <c r="M328" s="5" t="s">
        <v>66</v>
      </c>
      <c r="N328" s="5" t="s">
        <v>47</v>
      </c>
      <c r="O328" s="6" t="s">
        <v>591</v>
      </c>
      <c r="P328" s="6" t="s">
        <v>830</v>
      </c>
      <c r="Q328" s="5" t="s">
        <v>31</v>
      </c>
      <c r="R328" s="5" t="s">
        <v>32</v>
      </c>
      <c r="S328" s="5" t="s">
        <v>33</v>
      </c>
      <c r="T328" s="6">
        <v>9</v>
      </c>
      <c r="U328" s="6">
        <v>10</v>
      </c>
      <c r="V328" s="5" t="s">
        <v>92</v>
      </c>
      <c r="W328" s="8"/>
      <c r="Y328">
        <f t="shared" si="8"/>
        <v>90</v>
      </c>
    </row>
    <row r="329" spans="1:25" ht="15.75" customHeight="1">
      <c r="A329" s="5" t="s">
        <v>831</v>
      </c>
      <c r="B329" s="6">
        <v>37</v>
      </c>
      <c r="C329" s="5" t="s">
        <v>22</v>
      </c>
      <c r="D329" s="6" t="s">
        <v>601</v>
      </c>
      <c r="E329" s="6"/>
      <c r="F329" s="6" t="s">
        <v>570</v>
      </c>
      <c r="G329" s="6">
        <v>10</v>
      </c>
      <c r="H329" s="5" t="s">
        <v>46</v>
      </c>
      <c r="I329" s="6">
        <v>3</v>
      </c>
      <c r="J329" s="5" t="s">
        <v>89</v>
      </c>
      <c r="K329" s="6">
        <v>11722</v>
      </c>
      <c r="L329" s="5" t="s">
        <v>90</v>
      </c>
      <c r="M329" s="5" t="s">
        <v>66</v>
      </c>
      <c r="N329" s="5" t="s">
        <v>28</v>
      </c>
      <c r="O329" s="7">
        <v>45264</v>
      </c>
      <c r="P329" s="7">
        <v>45264.208333333336</v>
      </c>
      <c r="Q329" s="5" t="s">
        <v>48</v>
      </c>
      <c r="R329" s="5" t="s">
        <v>32</v>
      </c>
      <c r="S329" s="5" t="s">
        <v>49</v>
      </c>
      <c r="T329" s="6">
        <v>5</v>
      </c>
      <c r="U329" s="6">
        <v>8</v>
      </c>
      <c r="V329" s="5" t="s">
        <v>92</v>
      </c>
      <c r="W329" s="8"/>
      <c r="Y329">
        <f t="shared" si="8"/>
        <v>62.5</v>
      </c>
    </row>
    <row r="330" spans="1:25" ht="15.75" customHeight="1">
      <c r="A330" s="5" t="s">
        <v>832</v>
      </c>
      <c r="B330" s="6">
        <v>24</v>
      </c>
      <c r="C330" s="5" t="s">
        <v>51</v>
      </c>
      <c r="D330" s="6" t="s">
        <v>235</v>
      </c>
      <c r="E330" s="6"/>
      <c r="F330" s="6" t="s">
        <v>234</v>
      </c>
      <c r="G330" s="6">
        <v>1</v>
      </c>
      <c r="H330" s="5" t="s">
        <v>58</v>
      </c>
      <c r="I330" s="6">
        <v>2</v>
      </c>
      <c r="J330" s="5" t="s">
        <v>89</v>
      </c>
      <c r="K330" s="6">
        <v>45969</v>
      </c>
      <c r="L330" s="5" t="s">
        <v>90</v>
      </c>
      <c r="M330" s="5" t="s">
        <v>66</v>
      </c>
      <c r="N330" s="5" t="s">
        <v>28</v>
      </c>
      <c r="O330" s="6" t="s">
        <v>833</v>
      </c>
      <c r="P330" s="6" t="s">
        <v>834</v>
      </c>
      <c r="Q330" s="5" t="s">
        <v>43</v>
      </c>
      <c r="R330" s="5" t="s">
        <v>32</v>
      </c>
      <c r="S330" s="5" t="s">
        <v>53</v>
      </c>
      <c r="T330" s="6">
        <v>11</v>
      </c>
      <c r="U330" s="6">
        <v>8</v>
      </c>
      <c r="V330" s="5" t="s">
        <v>34</v>
      </c>
      <c r="W330" s="8"/>
      <c r="Y330">
        <f t="shared" si="8"/>
        <v>137.5</v>
      </c>
    </row>
    <row r="331" spans="1:25" ht="15.75" customHeight="1">
      <c r="A331" s="5" t="s">
        <v>835</v>
      </c>
      <c r="B331" s="6">
        <v>46</v>
      </c>
      <c r="C331" s="5" t="s">
        <v>36</v>
      </c>
      <c r="D331" s="6" t="s">
        <v>537</v>
      </c>
      <c r="E331" s="6"/>
      <c r="F331" s="7">
        <v>45354</v>
      </c>
      <c r="G331" s="6">
        <v>11</v>
      </c>
      <c r="H331" s="5" t="s">
        <v>38</v>
      </c>
      <c r="I331" s="6">
        <v>2</v>
      </c>
      <c r="J331" s="5" t="s">
        <v>89</v>
      </c>
      <c r="K331" s="6">
        <v>41912</v>
      </c>
      <c r="L331" s="5" t="s">
        <v>65</v>
      </c>
      <c r="M331" s="5" t="s">
        <v>66</v>
      </c>
      <c r="N331" s="5" t="s">
        <v>28</v>
      </c>
      <c r="O331" s="6" t="s">
        <v>282</v>
      </c>
      <c r="P331" s="6" t="s">
        <v>836</v>
      </c>
      <c r="Q331" s="5" t="s">
        <v>48</v>
      </c>
      <c r="R331" s="5" t="s">
        <v>32</v>
      </c>
      <c r="S331" s="5" t="s">
        <v>49</v>
      </c>
      <c r="T331" s="6">
        <v>6</v>
      </c>
      <c r="U331" s="6">
        <v>12</v>
      </c>
      <c r="V331" s="5" t="s">
        <v>34</v>
      </c>
      <c r="W331" s="8"/>
      <c r="Y331">
        <f t="shared" si="8"/>
        <v>50</v>
      </c>
    </row>
    <row r="332" spans="1:25" ht="15.75" customHeight="1">
      <c r="A332" s="5" t="s">
        <v>837</v>
      </c>
      <c r="B332" s="6">
        <v>53</v>
      </c>
      <c r="C332" s="5" t="s">
        <v>51</v>
      </c>
      <c r="D332" s="7">
        <v>45144</v>
      </c>
      <c r="E332" s="7"/>
      <c r="F332" s="7">
        <v>45205</v>
      </c>
      <c r="G332" s="6">
        <v>2</v>
      </c>
      <c r="H332" s="5" t="s">
        <v>46</v>
      </c>
      <c r="I332" s="6">
        <v>4</v>
      </c>
      <c r="J332" s="5" t="s">
        <v>52</v>
      </c>
      <c r="K332" s="6">
        <v>43374</v>
      </c>
      <c r="L332" s="5" t="s">
        <v>80</v>
      </c>
      <c r="M332" s="5" t="s">
        <v>27</v>
      </c>
      <c r="N332" s="5" t="s">
        <v>28</v>
      </c>
      <c r="O332" s="7">
        <v>44991</v>
      </c>
      <c r="P332" s="7">
        <v>45022.458333333336</v>
      </c>
      <c r="Q332" s="5" t="s">
        <v>86</v>
      </c>
      <c r="R332" s="5" t="s">
        <v>32</v>
      </c>
      <c r="S332" s="5" t="s">
        <v>49</v>
      </c>
      <c r="T332" s="6">
        <v>6</v>
      </c>
      <c r="U332" s="6">
        <v>8</v>
      </c>
      <c r="V332" s="5" t="s">
        <v>54</v>
      </c>
      <c r="W332" s="8"/>
      <c r="Y332">
        <f t="shared" si="8"/>
        <v>75</v>
      </c>
    </row>
    <row r="333" spans="1:25" ht="15.75" customHeight="1">
      <c r="A333" s="5" t="s">
        <v>838</v>
      </c>
      <c r="B333" s="6">
        <v>60</v>
      </c>
      <c r="C333" s="5" t="s">
        <v>82</v>
      </c>
      <c r="D333" s="6" t="s">
        <v>612</v>
      </c>
      <c r="E333" s="6"/>
      <c r="F333" s="7">
        <v>45055</v>
      </c>
      <c r="G333" s="6">
        <v>5</v>
      </c>
      <c r="H333" s="5" t="s">
        <v>83</v>
      </c>
      <c r="I333" s="6">
        <v>5</v>
      </c>
      <c r="J333" s="5" t="s">
        <v>52</v>
      </c>
      <c r="K333" s="6">
        <v>11766</v>
      </c>
      <c r="L333" s="5" t="s">
        <v>65</v>
      </c>
      <c r="M333" s="5" t="s">
        <v>66</v>
      </c>
      <c r="N333" s="5" t="s">
        <v>47</v>
      </c>
      <c r="O333" s="6" t="s">
        <v>99</v>
      </c>
      <c r="P333" s="6" t="s">
        <v>839</v>
      </c>
      <c r="Q333" s="5" t="s">
        <v>69</v>
      </c>
      <c r="R333" s="5" t="s">
        <v>32</v>
      </c>
      <c r="S333" s="5" t="s">
        <v>53</v>
      </c>
      <c r="T333" s="6">
        <v>5</v>
      </c>
      <c r="U333" s="6">
        <v>10</v>
      </c>
      <c r="V333" s="5" t="s">
        <v>92</v>
      </c>
      <c r="W333" s="8"/>
      <c r="Y333">
        <f t="shared" si="8"/>
        <v>50</v>
      </c>
    </row>
    <row r="334" spans="1:25" ht="15.75" customHeight="1">
      <c r="A334" s="5" t="s">
        <v>840</v>
      </c>
      <c r="B334" s="6">
        <v>63</v>
      </c>
      <c r="C334" s="5" t="s">
        <v>36</v>
      </c>
      <c r="D334" s="6" t="s">
        <v>225</v>
      </c>
      <c r="E334" s="6"/>
      <c r="F334" s="6" t="s">
        <v>141</v>
      </c>
      <c r="G334" s="6">
        <v>8</v>
      </c>
      <c r="H334" s="5" t="s">
        <v>46</v>
      </c>
      <c r="I334" s="6">
        <v>2</v>
      </c>
      <c r="J334" s="5" t="s">
        <v>39</v>
      </c>
      <c r="K334" s="6">
        <v>20928</v>
      </c>
      <c r="L334" s="5" t="s">
        <v>26</v>
      </c>
      <c r="M334" s="5" t="s">
        <v>66</v>
      </c>
      <c r="N334" s="5" t="s">
        <v>28</v>
      </c>
      <c r="O334" s="7">
        <v>45266</v>
      </c>
      <c r="P334" s="6" t="s">
        <v>130</v>
      </c>
      <c r="Q334" s="5" t="s">
        <v>86</v>
      </c>
      <c r="R334" s="5" t="s">
        <v>32</v>
      </c>
      <c r="S334" s="5" t="s">
        <v>53</v>
      </c>
      <c r="T334" s="6">
        <v>9</v>
      </c>
      <c r="U334" s="6">
        <v>10</v>
      </c>
      <c r="V334" s="5" t="s">
        <v>92</v>
      </c>
      <c r="W334" s="8"/>
      <c r="Y334">
        <f t="shared" si="8"/>
        <v>90</v>
      </c>
    </row>
    <row r="335" spans="1:25" ht="15.75" customHeight="1">
      <c r="A335" s="5" t="s">
        <v>841</v>
      </c>
      <c r="B335" s="6">
        <v>85</v>
      </c>
      <c r="C335" s="5" t="s">
        <v>47</v>
      </c>
      <c r="D335" s="7">
        <v>44933</v>
      </c>
      <c r="E335" s="7"/>
      <c r="F335" s="7">
        <v>45267</v>
      </c>
      <c r="G335" s="6">
        <v>11</v>
      </c>
      <c r="H335" s="5" t="s">
        <v>24</v>
      </c>
      <c r="I335" s="6">
        <v>5</v>
      </c>
      <c r="J335" s="5" t="s">
        <v>97</v>
      </c>
      <c r="K335" s="6">
        <v>26274</v>
      </c>
      <c r="L335" s="5" t="s">
        <v>40</v>
      </c>
      <c r="M335" s="5" t="s">
        <v>27</v>
      </c>
      <c r="N335" s="5" t="s">
        <v>28</v>
      </c>
      <c r="O335" s="6" t="s">
        <v>842</v>
      </c>
      <c r="P335" s="6" t="s">
        <v>843</v>
      </c>
      <c r="Q335" s="5" t="s">
        <v>43</v>
      </c>
      <c r="R335" s="5" t="s">
        <v>32</v>
      </c>
      <c r="S335" s="5" t="s">
        <v>49</v>
      </c>
      <c r="T335" s="6">
        <v>9</v>
      </c>
      <c r="U335" s="6">
        <v>8</v>
      </c>
      <c r="V335" s="5" t="s">
        <v>92</v>
      </c>
      <c r="W335" s="8"/>
      <c r="Y335">
        <f t="shared" si="8"/>
        <v>112.5</v>
      </c>
    </row>
    <row r="336" spans="1:25" ht="15.75" customHeight="1">
      <c r="A336" s="5" t="s">
        <v>844</v>
      </c>
      <c r="B336" s="6">
        <v>32</v>
      </c>
      <c r="C336" s="5" t="s">
        <v>22</v>
      </c>
      <c r="D336" s="6" t="s">
        <v>845</v>
      </c>
      <c r="E336" s="6"/>
      <c r="F336" s="7">
        <v>45415</v>
      </c>
      <c r="G336" s="6">
        <v>7</v>
      </c>
      <c r="H336" s="5" t="s">
        <v>24</v>
      </c>
      <c r="I336" s="6">
        <v>1</v>
      </c>
      <c r="J336" s="5" t="s">
        <v>89</v>
      </c>
      <c r="K336" s="6">
        <v>39416</v>
      </c>
      <c r="L336" s="5" t="s">
        <v>40</v>
      </c>
      <c r="M336" s="5" t="s">
        <v>66</v>
      </c>
      <c r="N336" s="5" t="s">
        <v>47</v>
      </c>
      <c r="O336" s="6" t="s">
        <v>846</v>
      </c>
      <c r="P336" s="6" t="s">
        <v>847</v>
      </c>
      <c r="Q336" s="5" t="s">
        <v>48</v>
      </c>
      <c r="R336" s="5" t="s">
        <v>32</v>
      </c>
      <c r="S336" s="5" t="s">
        <v>49</v>
      </c>
      <c r="T336" s="6">
        <v>9</v>
      </c>
      <c r="U336" s="6">
        <v>8</v>
      </c>
      <c r="V336" s="5" t="s">
        <v>92</v>
      </c>
      <c r="W336" s="8"/>
      <c r="Y336">
        <f t="shared" si="8"/>
        <v>112.5</v>
      </c>
    </row>
    <row r="337" spans="1:25" ht="15.75" customHeight="1">
      <c r="A337" s="5" t="s">
        <v>848</v>
      </c>
      <c r="B337" s="6">
        <v>87</v>
      </c>
      <c r="C337" s="5" t="s">
        <v>82</v>
      </c>
      <c r="D337" s="6" t="s">
        <v>37</v>
      </c>
      <c r="E337" s="6"/>
      <c r="F337" s="7">
        <v>44987</v>
      </c>
      <c r="G337" s="6">
        <v>8</v>
      </c>
      <c r="H337" s="5" t="s">
        <v>46</v>
      </c>
      <c r="I337" s="6">
        <v>2</v>
      </c>
      <c r="J337" s="5" t="s">
        <v>97</v>
      </c>
      <c r="K337" s="6">
        <v>25612</v>
      </c>
      <c r="L337" s="5" t="s">
        <v>90</v>
      </c>
      <c r="M337" s="5" t="s">
        <v>27</v>
      </c>
      <c r="N337" s="5" t="s">
        <v>28</v>
      </c>
      <c r="O337" s="6" t="s">
        <v>37</v>
      </c>
      <c r="P337" s="6" t="s">
        <v>849</v>
      </c>
      <c r="Q337" s="5" t="s">
        <v>31</v>
      </c>
      <c r="R337" s="5" t="s">
        <v>32</v>
      </c>
      <c r="S337" s="5" t="s">
        <v>49</v>
      </c>
      <c r="T337" s="6">
        <v>10</v>
      </c>
      <c r="U337" s="6">
        <v>12</v>
      </c>
      <c r="V337" s="5" t="s">
        <v>54</v>
      </c>
      <c r="W337" s="8"/>
      <c r="Y337">
        <f t="shared" si="8"/>
        <v>83.333333333333343</v>
      </c>
    </row>
    <row r="338" spans="1:25" ht="15.75" customHeight="1">
      <c r="A338" s="5" t="s">
        <v>850</v>
      </c>
      <c r="B338" s="6">
        <v>33</v>
      </c>
      <c r="C338" s="5" t="s">
        <v>47</v>
      </c>
      <c r="D338" s="7">
        <v>44992</v>
      </c>
      <c r="E338" s="7"/>
      <c r="F338" s="6" t="s">
        <v>542</v>
      </c>
      <c r="G338" s="6">
        <v>10</v>
      </c>
      <c r="H338" s="5" t="s">
        <v>38</v>
      </c>
      <c r="I338" s="6">
        <v>2</v>
      </c>
      <c r="J338" s="5" t="s">
        <v>52</v>
      </c>
      <c r="K338" s="6">
        <v>39898</v>
      </c>
      <c r="L338" s="5" t="s">
        <v>40</v>
      </c>
      <c r="M338" s="5" t="s">
        <v>66</v>
      </c>
      <c r="N338" s="5" t="s">
        <v>28</v>
      </c>
      <c r="O338" s="6" t="s">
        <v>245</v>
      </c>
      <c r="P338" s="6" t="s">
        <v>851</v>
      </c>
      <c r="Q338" s="5" t="s">
        <v>48</v>
      </c>
      <c r="R338" s="5" t="s">
        <v>32</v>
      </c>
      <c r="S338" s="5" t="s">
        <v>49</v>
      </c>
      <c r="T338" s="6">
        <v>7</v>
      </c>
      <c r="U338" s="6">
        <v>10</v>
      </c>
      <c r="V338" s="5" t="s">
        <v>34</v>
      </c>
      <c r="W338" s="8"/>
      <c r="Y338">
        <f t="shared" si="8"/>
        <v>70</v>
      </c>
    </row>
    <row r="339" spans="1:25" ht="15.75" customHeight="1">
      <c r="A339" s="5" t="s">
        <v>852</v>
      </c>
      <c r="B339" s="6">
        <v>67</v>
      </c>
      <c r="C339" s="5" t="s">
        <v>51</v>
      </c>
      <c r="D339" s="7">
        <v>45119</v>
      </c>
      <c r="E339" s="7"/>
      <c r="F339" s="6" t="s">
        <v>135</v>
      </c>
      <c r="G339" s="6">
        <v>8</v>
      </c>
      <c r="H339" s="5" t="s">
        <v>38</v>
      </c>
      <c r="I339" s="6">
        <v>4</v>
      </c>
      <c r="J339" s="5" t="s">
        <v>52</v>
      </c>
      <c r="K339" s="6">
        <v>34047</v>
      </c>
      <c r="L339" s="5" t="s">
        <v>40</v>
      </c>
      <c r="M339" s="5" t="s">
        <v>27</v>
      </c>
      <c r="N339" s="5" t="s">
        <v>28</v>
      </c>
      <c r="O339" s="7">
        <v>45028</v>
      </c>
      <c r="P339" s="7">
        <v>45028.708333333336</v>
      </c>
      <c r="Q339" s="5" t="s">
        <v>43</v>
      </c>
      <c r="R339" s="5" t="s">
        <v>32</v>
      </c>
      <c r="S339" s="5" t="s">
        <v>33</v>
      </c>
      <c r="T339" s="6">
        <v>8</v>
      </c>
      <c r="U339" s="6">
        <v>10</v>
      </c>
      <c r="V339" s="5" t="s">
        <v>34</v>
      </c>
      <c r="W339" s="8"/>
      <c r="Y339">
        <f t="shared" si="8"/>
        <v>80</v>
      </c>
    </row>
    <row r="340" spans="1:25" ht="15.75" customHeight="1">
      <c r="A340" s="5" t="s">
        <v>853</v>
      </c>
      <c r="B340" s="6">
        <v>18</v>
      </c>
      <c r="C340" s="5" t="s">
        <v>36</v>
      </c>
      <c r="D340" s="6" t="s">
        <v>854</v>
      </c>
      <c r="E340" s="6"/>
      <c r="F340" s="7">
        <v>45385</v>
      </c>
      <c r="G340" s="6">
        <v>7</v>
      </c>
      <c r="H340" s="5" t="s">
        <v>73</v>
      </c>
      <c r="I340" s="6">
        <v>5</v>
      </c>
      <c r="J340" s="5" t="s">
        <v>52</v>
      </c>
      <c r="K340" s="6">
        <v>48356</v>
      </c>
      <c r="L340" s="5" t="s">
        <v>40</v>
      </c>
      <c r="M340" s="5" t="s">
        <v>27</v>
      </c>
      <c r="N340" s="5" t="s">
        <v>28</v>
      </c>
      <c r="O340" s="6" t="s">
        <v>553</v>
      </c>
      <c r="P340" s="6" t="s">
        <v>855</v>
      </c>
      <c r="Q340" s="5" t="s">
        <v>31</v>
      </c>
      <c r="R340" s="5" t="s">
        <v>32</v>
      </c>
      <c r="S340" s="5" t="s">
        <v>49</v>
      </c>
      <c r="T340" s="6">
        <v>5</v>
      </c>
      <c r="U340" s="6">
        <v>8</v>
      </c>
      <c r="V340" s="5" t="s">
        <v>92</v>
      </c>
      <c r="W340" s="8"/>
      <c r="Y340">
        <f t="shared" si="8"/>
        <v>62.5</v>
      </c>
    </row>
    <row r="341" spans="1:25" ht="15.75" customHeight="1">
      <c r="A341" s="5" t="s">
        <v>856</v>
      </c>
      <c r="B341" s="6">
        <v>25</v>
      </c>
      <c r="C341" s="5" t="s">
        <v>22</v>
      </c>
      <c r="D341" s="7">
        <v>45269</v>
      </c>
      <c r="E341" s="7"/>
      <c r="F341" s="6" t="s">
        <v>438</v>
      </c>
      <c r="G341" s="6">
        <v>5</v>
      </c>
      <c r="H341" s="5" t="s">
        <v>24</v>
      </c>
      <c r="I341" s="6">
        <v>2</v>
      </c>
      <c r="J341" s="5" t="s">
        <v>97</v>
      </c>
      <c r="K341" s="6">
        <v>42134</v>
      </c>
      <c r="L341" s="5" t="s">
        <v>26</v>
      </c>
      <c r="M341" s="5" t="s">
        <v>66</v>
      </c>
      <c r="N341" s="5" t="s">
        <v>28</v>
      </c>
      <c r="O341" s="7">
        <v>45147</v>
      </c>
      <c r="P341" s="7">
        <v>45178.333333333336</v>
      </c>
      <c r="Q341" s="5" t="s">
        <v>86</v>
      </c>
      <c r="R341" s="5" t="s">
        <v>32</v>
      </c>
      <c r="S341" s="5" t="s">
        <v>33</v>
      </c>
      <c r="T341" s="6">
        <v>5</v>
      </c>
      <c r="U341" s="6">
        <v>8</v>
      </c>
      <c r="V341" s="5" t="s">
        <v>92</v>
      </c>
      <c r="W341" s="8"/>
      <c r="Y341">
        <f t="shared" si="8"/>
        <v>62.5</v>
      </c>
    </row>
    <row r="342" spans="1:25" ht="15.75" customHeight="1">
      <c r="A342" s="5" t="s">
        <v>857</v>
      </c>
      <c r="B342" s="6">
        <v>54</v>
      </c>
      <c r="C342" s="5" t="s">
        <v>82</v>
      </c>
      <c r="D342" s="7">
        <v>44936</v>
      </c>
      <c r="E342" s="7"/>
      <c r="F342" s="7">
        <v>45056</v>
      </c>
      <c r="G342" s="6">
        <v>4</v>
      </c>
      <c r="H342" s="5" t="s">
        <v>83</v>
      </c>
      <c r="I342" s="6">
        <v>2</v>
      </c>
      <c r="J342" s="5" t="s">
        <v>52</v>
      </c>
      <c r="K342" s="6">
        <v>6506</v>
      </c>
      <c r="L342" s="5" t="s">
        <v>40</v>
      </c>
      <c r="M342" s="5" t="s">
        <v>66</v>
      </c>
      <c r="N342" s="5" t="s">
        <v>28</v>
      </c>
      <c r="O342" s="6" t="s">
        <v>164</v>
      </c>
      <c r="P342" s="6" t="s">
        <v>858</v>
      </c>
      <c r="Q342" s="5" t="s">
        <v>69</v>
      </c>
      <c r="R342" s="5" t="s">
        <v>32</v>
      </c>
      <c r="S342" s="5" t="s">
        <v>53</v>
      </c>
      <c r="T342" s="6">
        <v>10</v>
      </c>
      <c r="U342" s="6">
        <v>8</v>
      </c>
      <c r="V342" s="5" t="s">
        <v>92</v>
      </c>
      <c r="W342" s="8"/>
      <c r="Y342">
        <f t="shared" si="8"/>
        <v>125</v>
      </c>
    </row>
    <row r="343" spans="1:25" ht="15.75" customHeight="1">
      <c r="A343" s="5" t="s">
        <v>859</v>
      </c>
      <c r="B343" s="6">
        <v>58</v>
      </c>
      <c r="C343" s="5" t="s">
        <v>47</v>
      </c>
      <c r="D343" s="6" t="s">
        <v>130</v>
      </c>
      <c r="E343" s="6"/>
      <c r="F343" s="6" t="s">
        <v>745</v>
      </c>
      <c r="G343" s="6">
        <v>13</v>
      </c>
      <c r="H343" s="5" t="s">
        <v>38</v>
      </c>
      <c r="I343" s="6">
        <v>4</v>
      </c>
      <c r="J343" s="5" t="s">
        <v>39</v>
      </c>
      <c r="K343" s="6">
        <v>20222</v>
      </c>
      <c r="L343" s="5" t="s">
        <v>40</v>
      </c>
      <c r="M343" s="5" t="s">
        <v>66</v>
      </c>
      <c r="N343" s="5" t="s">
        <v>28</v>
      </c>
      <c r="O343" s="7">
        <v>45144</v>
      </c>
      <c r="P343" s="7">
        <v>45175.708333333336</v>
      </c>
      <c r="Q343" s="5" t="s">
        <v>69</v>
      </c>
      <c r="R343" s="5" t="s">
        <v>32</v>
      </c>
      <c r="S343" s="5" t="s">
        <v>33</v>
      </c>
      <c r="T343" s="6">
        <v>5</v>
      </c>
      <c r="U343" s="6">
        <v>10</v>
      </c>
      <c r="V343" s="5" t="s">
        <v>54</v>
      </c>
      <c r="W343" s="8"/>
      <c r="Y343">
        <f t="shared" si="8"/>
        <v>50</v>
      </c>
    </row>
    <row r="344" spans="1:25" ht="15.75" customHeight="1">
      <c r="A344" s="5" t="s">
        <v>860</v>
      </c>
      <c r="B344" s="6">
        <v>67</v>
      </c>
      <c r="C344" s="5" t="s">
        <v>47</v>
      </c>
      <c r="D344" s="6" t="s">
        <v>94</v>
      </c>
      <c r="E344" s="6"/>
      <c r="F344" s="6" t="s">
        <v>861</v>
      </c>
      <c r="G344" s="6">
        <v>9</v>
      </c>
      <c r="H344" s="5" t="s">
        <v>58</v>
      </c>
      <c r="I344" s="6">
        <v>4</v>
      </c>
      <c r="J344" s="5" t="s">
        <v>52</v>
      </c>
      <c r="K344" s="6">
        <v>17363</v>
      </c>
      <c r="L344" s="5" t="s">
        <v>40</v>
      </c>
      <c r="M344" s="5" t="s">
        <v>66</v>
      </c>
      <c r="N344" s="5" t="s">
        <v>47</v>
      </c>
      <c r="O344" s="6" t="s">
        <v>146</v>
      </c>
      <c r="P344" s="6" t="s">
        <v>862</v>
      </c>
      <c r="Q344" s="5" t="s">
        <v>48</v>
      </c>
      <c r="R344" s="5" t="s">
        <v>32</v>
      </c>
      <c r="S344" s="5" t="s">
        <v>53</v>
      </c>
      <c r="T344" s="6">
        <v>11</v>
      </c>
      <c r="U344" s="6">
        <v>8</v>
      </c>
      <c r="V344" s="5" t="s">
        <v>54</v>
      </c>
      <c r="W344" s="8"/>
      <c r="Y344">
        <f t="shared" si="8"/>
        <v>137.5</v>
      </c>
    </row>
    <row r="345" spans="1:25" ht="15.75" customHeight="1">
      <c r="A345" s="5" t="s">
        <v>863</v>
      </c>
      <c r="B345" s="6">
        <v>46</v>
      </c>
      <c r="C345" s="5" t="s">
        <v>22</v>
      </c>
      <c r="D345" s="6" t="s">
        <v>354</v>
      </c>
      <c r="E345" s="6"/>
      <c r="F345" s="6" t="s">
        <v>231</v>
      </c>
      <c r="G345" s="6">
        <v>2</v>
      </c>
      <c r="H345" s="5" t="s">
        <v>24</v>
      </c>
      <c r="I345" s="6">
        <v>5</v>
      </c>
      <c r="J345" s="5" t="s">
        <v>25</v>
      </c>
      <c r="K345" s="6">
        <v>24613</v>
      </c>
      <c r="L345" s="5" t="s">
        <v>65</v>
      </c>
      <c r="M345" s="5" t="s">
        <v>66</v>
      </c>
      <c r="N345" s="5" t="s">
        <v>28</v>
      </c>
      <c r="O345" s="6" t="s">
        <v>260</v>
      </c>
      <c r="P345" s="6" t="s">
        <v>864</v>
      </c>
      <c r="Q345" s="5" t="s">
        <v>86</v>
      </c>
      <c r="R345" s="5" t="s">
        <v>44</v>
      </c>
      <c r="S345" s="5" t="s">
        <v>33</v>
      </c>
      <c r="T345" s="6">
        <v>11</v>
      </c>
      <c r="U345" s="6">
        <v>12</v>
      </c>
      <c r="V345" s="5" t="s">
        <v>34</v>
      </c>
      <c r="W345" s="8"/>
      <c r="Y345">
        <f t="shared" si="8"/>
        <v>91.666666666666657</v>
      </c>
    </row>
    <row r="346" spans="1:25" ht="15.75" customHeight="1">
      <c r="A346" s="5" t="s">
        <v>865</v>
      </c>
      <c r="B346" s="6">
        <v>24</v>
      </c>
      <c r="C346" s="5" t="s">
        <v>51</v>
      </c>
      <c r="D346" s="7">
        <v>45171</v>
      </c>
      <c r="E346" s="7"/>
      <c r="F346" s="6" t="s">
        <v>274</v>
      </c>
      <c r="G346" s="6">
        <v>6</v>
      </c>
      <c r="H346" s="5" t="s">
        <v>83</v>
      </c>
      <c r="I346" s="6">
        <v>1</v>
      </c>
      <c r="J346" s="5" t="s">
        <v>97</v>
      </c>
      <c r="K346" s="6">
        <v>49563</v>
      </c>
      <c r="L346" s="5" t="s">
        <v>26</v>
      </c>
      <c r="M346" s="5" t="s">
        <v>27</v>
      </c>
      <c r="N346" s="5" t="s">
        <v>28</v>
      </c>
      <c r="O346" s="7">
        <v>45140</v>
      </c>
      <c r="P346" s="7">
        <v>45171.041666666664</v>
      </c>
      <c r="Q346" s="5" t="s">
        <v>43</v>
      </c>
      <c r="R346" s="5" t="s">
        <v>32</v>
      </c>
      <c r="S346" s="5" t="s">
        <v>53</v>
      </c>
      <c r="T346" s="6">
        <v>5</v>
      </c>
      <c r="U346" s="6">
        <v>12</v>
      </c>
      <c r="V346" s="5" t="s">
        <v>92</v>
      </c>
      <c r="W346" s="8"/>
      <c r="Y346">
        <f t="shared" si="8"/>
        <v>41.666666666666671</v>
      </c>
    </row>
    <row r="347" spans="1:25" ht="15.75" customHeight="1">
      <c r="A347" s="5" t="s">
        <v>866</v>
      </c>
      <c r="B347" s="6">
        <v>32</v>
      </c>
      <c r="C347" s="5" t="s">
        <v>22</v>
      </c>
      <c r="D347" s="6" t="s">
        <v>531</v>
      </c>
      <c r="E347" s="6"/>
      <c r="F347" s="7">
        <v>45356</v>
      </c>
      <c r="G347" s="6">
        <v>7</v>
      </c>
      <c r="H347" s="5" t="s">
        <v>83</v>
      </c>
      <c r="I347" s="6">
        <v>1</v>
      </c>
      <c r="J347" s="5" t="s">
        <v>25</v>
      </c>
      <c r="K347" s="6">
        <v>35628</v>
      </c>
      <c r="L347" s="5" t="s">
        <v>90</v>
      </c>
      <c r="M347" s="5" t="s">
        <v>66</v>
      </c>
      <c r="N347" s="5" t="s">
        <v>28</v>
      </c>
      <c r="O347" s="6" t="s">
        <v>171</v>
      </c>
      <c r="P347" s="6" t="s">
        <v>867</v>
      </c>
      <c r="Q347" s="5" t="s">
        <v>69</v>
      </c>
      <c r="R347" s="5" t="s">
        <v>32</v>
      </c>
      <c r="S347" s="5" t="s">
        <v>49</v>
      </c>
      <c r="T347" s="6">
        <v>10</v>
      </c>
      <c r="U347" s="6">
        <v>8</v>
      </c>
      <c r="V347" s="5" t="s">
        <v>92</v>
      </c>
      <c r="W347" s="8"/>
      <c r="Y347">
        <f t="shared" si="8"/>
        <v>125</v>
      </c>
    </row>
    <row r="348" spans="1:25" ht="15.75" customHeight="1">
      <c r="A348" s="5" t="s">
        <v>868</v>
      </c>
      <c r="B348" s="6">
        <v>47</v>
      </c>
      <c r="C348" s="5" t="s">
        <v>47</v>
      </c>
      <c r="D348" s="6" t="s">
        <v>59</v>
      </c>
      <c r="E348" s="6"/>
      <c r="F348" s="6" t="s">
        <v>57</v>
      </c>
      <c r="G348" s="6">
        <v>2</v>
      </c>
      <c r="H348" s="5" t="s">
        <v>38</v>
      </c>
      <c r="I348" s="6">
        <v>3</v>
      </c>
      <c r="J348" s="5" t="s">
        <v>52</v>
      </c>
      <c r="K348" s="6">
        <v>47626</v>
      </c>
      <c r="L348" s="5" t="s">
        <v>65</v>
      </c>
      <c r="M348" s="5" t="s">
        <v>66</v>
      </c>
      <c r="N348" s="5" t="s">
        <v>28</v>
      </c>
      <c r="O348" s="6" t="s">
        <v>869</v>
      </c>
      <c r="P348" s="6" t="s">
        <v>870</v>
      </c>
      <c r="Q348" s="5" t="s">
        <v>86</v>
      </c>
      <c r="R348" s="5" t="s">
        <v>32</v>
      </c>
      <c r="S348" s="5" t="s">
        <v>33</v>
      </c>
      <c r="T348" s="6">
        <v>5</v>
      </c>
      <c r="U348" s="6">
        <v>12</v>
      </c>
      <c r="V348" s="5" t="s">
        <v>92</v>
      </c>
      <c r="W348" s="8"/>
      <c r="Y348">
        <f t="shared" si="8"/>
        <v>41.666666666666671</v>
      </c>
    </row>
    <row r="349" spans="1:25" ht="15.75" customHeight="1">
      <c r="A349" s="5" t="s">
        <v>871</v>
      </c>
      <c r="B349" s="6">
        <v>86</v>
      </c>
      <c r="C349" s="5" t="s">
        <v>62</v>
      </c>
      <c r="D349" s="6" t="s">
        <v>776</v>
      </c>
      <c r="E349" s="6"/>
      <c r="F349" s="6" t="s">
        <v>112</v>
      </c>
      <c r="G349" s="6">
        <v>5</v>
      </c>
      <c r="H349" s="5" t="s">
        <v>83</v>
      </c>
      <c r="I349" s="6">
        <v>2</v>
      </c>
      <c r="J349" s="5" t="s">
        <v>39</v>
      </c>
      <c r="K349" s="6">
        <v>9136</v>
      </c>
      <c r="L349" s="5" t="s">
        <v>80</v>
      </c>
      <c r="M349" s="5" t="s">
        <v>27</v>
      </c>
      <c r="N349" s="5" t="s">
        <v>28</v>
      </c>
      <c r="O349" s="6" t="s">
        <v>776</v>
      </c>
      <c r="P349" s="6" t="s">
        <v>872</v>
      </c>
      <c r="Q349" s="5" t="s">
        <v>48</v>
      </c>
      <c r="R349" s="5" t="s">
        <v>32</v>
      </c>
      <c r="S349" s="5" t="s">
        <v>33</v>
      </c>
      <c r="T349" s="6">
        <v>9</v>
      </c>
      <c r="U349" s="6">
        <v>12</v>
      </c>
      <c r="V349" s="5" t="s">
        <v>92</v>
      </c>
      <c r="W349" s="8"/>
      <c r="Y349">
        <f t="shared" si="8"/>
        <v>75</v>
      </c>
    </row>
    <row r="350" spans="1:25" ht="15.75" customHeight="1">
      <c r="A350" s="5" t="s">
        <v>873</v>
      </c>
      <c r="B350" s="6">
        <v>23</v>
      </c>
      <c r="C350" s="5" t="s">
        <v>82</v>
      </c>
      <c r="D350" s="6" t="s">
        <v>124</v>
      </c>
      <c r="E350" s="6"/>
      <c r="F350" s="6" t="s">
        <v>359</v>
      </c>
      <c r="G350" s="6">
        <v>11</v>
      </c>
      <c r="H350" s="5" t="s">
        <v>38</v>
      </c>
      <c r="I350" s="6">
        <v>5</v>
      </c>
      <c r="J350" s="5" t="s">
        <v>89</v>
      </c>
      <c r="K350" s="6">
        <v>16161</v>
      </c>
      <c r="L350" s="5" t="s">
        <v>26</v>
      </c>
      <c r="M350" s="5" t="s">
        <v>66</v>
      </c>
      <c r="N350" s="5" t="s">
        <v>28</v>
      </c>
      <c r="O350" s="7">
        <v>45630</v>
      </c>
      <c r="P350" s="7">
        <v>45630.333333333336</v>
      </c>
      <c r="Q350" s="5" t="s">
        <v>31</v>
      </c>
      <c r="R350" s="5" t="s">
        <v>32</v>
      </c>
      <c r="S350" s="5" t="s">
        <v>53</v>
      </c>
      <c r="T350" s="6">
        <v>10</v>
      </c>
      <c r="U350" s="6">
        <v>12</v>
      </c>
      <c r="V350" s="5" t="s">
        <v>54</v>
      </c>
      <c r="W350" s="8"/>
      <c r="Y350">
        <f t="shared" si="8"/>
        <v>83.333333333333343</v>
      </c>
    </row>
    <row r="351" spans="1:25" ht="15.75" customHeight="1">
      <c r="A351" s="5" t="s">
        <v>874</v>
      </c>
      <c r="B351" s="6">
        <v>66</v>
      </c>
      <c r="C351" s="5" t="s">
        <v>22</v>
      </c>
      <c r="D351" s="6" t="s">
        <v>875</v>
      </c>
      <c r="E351" s="6"/>
      <c r="F351" s="7">
        <v>45413</v>
      </c>
      <c r="G351" s="6">
        <v>11</v>
      </c>
      <c r="H351" s="5" t="s">
        <v>46</v>
      </c>
      <c r="I351" s="6">
        <v>2</v>
      </c>
      <c r="J351" s="5" t="s">
        <v>52</v>
      </c>
      <c r="K351" s="6">
        <v>40457</v>
      </c>
      <c r="L351" s="5" t="s">
        <v>26</v>
      </c>
      <c r="M351" s="5" t="s">
        <v>27</v>
      </c>
      <c r="N351" s="5" t="s">
        <v>47</v>
      </c>
      <c r="O351" s="6" t="s">
        <v>876</v>
      </c>
      <c r="P351" s="6" t="s">
        <v>877</v>
      </c>
      <c r="Q351" s="5" t="s">
        <v>48</v>
      </c>
      <c r="R351" s="5" t="s">
        <v>32</v>
      </c>
      <c r="S351" s="5" t="s">
        <v>53</v>
      </c>
      <c r="T351" s="6">
        <v>7</v>
      </c>
      <c r="U351" s="6">
        <v>12</v>
      </c>
      <c r="V351" s="5" t="s">
        <v>34</v>
      </c>
      <c r="W351" s="8"/>
      <c r="Y351">
        <f t="shared" si="8"/>
        <v>58.333333333333336</v>
      </c>
    </row>
    <row r="352" spans="1:25" ht="15.75" customHeight="1">
      <c r="A352" s="5" t="s">
        <v>878</v>
      </c>
      <c r="B352" s="6">
        <v>27</v>
      </c>
      <c r="C352" s="5" t="s">
        <v>47</v>
      </c>
      <c r="D352" s="7">
        <v>45180</v>
      </c>
      <c r="E352" s="7"/>
      <c r="F352" s="6" t="s">
        <v>288</v>
      </c>
      <c r="G352" s="6">
        <v>10</v>
      </c>
      <c r="H352" s="5" t="s">
        <v>24</v>
      </c>
      <c r="I352" s="6">
        <v>5</v>
      </c>
      <c r="J352" s="5" t="s">
        <v>39</v>
      </c>
      <c r="K352" s="6">
        <v>28574</v>
      </c>
      <c r="L352" s="5" t="s">
        <v>80</v>
      </c>
      <c r="M352" s="5" t="s">
        <v>27</v>
      </c>
      <c r="N352" s="5" t="s">
        <v>28</v>
      </c>
      <c r="O352" s="7">
        <v>45180</v>
      </c>
      <c r="P352" s="7">
        <v>45180.958333333336</v>
      </c>
      <c r="Q352" s="5" t="s">
        <v>48</v>
      </c>
      <c r="R352" s="5" t="s">
        <v>32</v>
      </c>
      <c r="S352" s="5" t="s">
        <v>33</v>
      </c>
      <c r="T352" s="6">
        <v>4</v>
      </c>
      <c r="U352" s="6">
        <v>12</v>
      </c>
      <c r="V352" s="5" t="s">
        <v>34</v>
      </c>
      <c r="W352" s="8"/>
      <c r="Y352">
        <f t="shared" si="8"/>
        <v>33.333333333333329</v>
      </c>
    </row>
    <row r="353" spans="1:25" ht="15.75" customHeight="1">
      <c r="A353" s="5" t="s">
        <v>879</v>
      </c>
      <c r="B353" s="6">
        <v>2</v>
      </c>
      <c r="C353" s="5" t="s">
        <v>51</v>
      </c>
      <c r="D353" s="6" t="s">
        <v>200</v>
      </c>
      <c r="E353" s="6"/>
      <c r="F353" s="6" t="s">
        <v>100</v>
      </c>
      <c r="G353" s="6">
        <v>8</v>
      </c>
      <c r="H353" s="5" t="s">
        <v>73</v>
      </c>
      <c r="I353" s="6">
        <v>5</v>
      </c>
      <c r="J353" s="5" t="s">
        <v>97</v>
      </c>
      <c r="K353" s="6">
        <v>31902</v>
      </c>
      <c r="L353" s="5" t="s">
        <v>80</v>
      </c>
      <c r="M353" s="5" t="s">
        <v>66</v>
      </c>
      <c r="N353" s="5" t="s">
        <v>28</v>
      </c>
      <c r="O353" s="6" t="s">
        <v>96</v>
      </c>
      <c r="P353" s="6" t="s">
        <v>880</v>
      </c>
      <c r="Q353" s="5" t="s">
        <v>86</v>
      </c>
      <c r="R353" s="5" t="s">
        <v>32</v>
      </c>
      <c r="S353" s="5" t="s">
        <v>53</v>
      </c>
      <c r="T353" s="6">
        <v>9</v>
      </c>
      <c r="U353" s="6">
        <v>10</v>
      </c>
      <c r="V353" s="5" t="s">
        <v>54</v>
      </c>
      <c r="W353" s="8"/>
      <c r="Y353">
        <f t="shared" si="8"/>
        <v>90</v>
      </c>
    </row>
    <row r="354" spans="1:25" ht="15.75" customHeight="1">
      <c r="A354" s="5" t="s">
        <v>881</v>
      </c>
      <c r="B354" s="6">
        <v>17</v>
      </c>
      <c r="C354" s="5" t="s">
        <v>47</v>
      </c>
      <c r="D354" s="6" t="s">
        <v>56</v>
      </c>
      <c r="E354" s="6"/>
      <c r="F354" s="6" t="s">
        <v>121</v>
      </c>
      <c r="G354" s="6">
        <v>9</v>
      </c>
      <c r="H354" s="5" t="s">
        <v>46</v>
      </c>
      <c r="I354" s="6">
        <v>5</v>
      </c>
      <c r="J354" s="5" t="s">
        <v>25</v>
      </c>
      <c r="K354" s="6">
        <v>7810</v>
      </c>
      <c r="L354" s="5" t="s">
        <v>80</v>
      </c>
      <c r="M354" s="5" t="s">
        <v>66</v>
      </c>
      <c r="N354" s="5" t="s">
        <v>47</v>
      </c>
      <c r="O354" s="6" t="s">
        <v>56</v>
      </c>
      <c r="P354" s="6" t="s">
        <v>882</v>
      </c>
      <c r="Q354" s="5" t="s">
        <v>69</v>
      </c>
      <c r="R354" s="5" t="s">
        <v>32</v>
      </c>
      <c r="S354" s="5" t="s">
        <v>49</v>
      </c>
      <c r="T354" s="6">
        <v>11</v>
      </c>
      <c r="U354" s="6">
        <v>8</v>
      </c>
      <c r="V354" s="5" t="s">
        <v>92</v>
      </c>
      <c r="W354" s="8"/>
      <c r="Y354">
        <f t="shared" si="8"/>
        <v>137.5</v>
      </c>
    </row>
    <row r="355" spans="1:25" ht="15.75" customHeight="1">
      <c r="A355" s="5" t="s">
        <v>883</v>
      </c>
      <c r="B355" s="6">
        <v>33</v>
      </c>
      <c r="C355" s="5" t="s">
        <v>51</v>
      </c>
      <c r="D355" s="6" t="s">
        <v>108</v>
      </c>
      <c r="E355" s="6"/>
      <c r="F355" s="7">
        <v>45048</v>
      </c>
      <c r="G355" s="6">
        <v>11</v>
      </c>
      <c r="H355" s="5" t="s">
        <v>24</v>
      </c>
      <c r="I355" s="6">
        <v>2</v>
      </c>
      <c r="J355" s="5" t="s">
        <v>25</v>
      </c>
      <c r="K355" s="6">
        <v>16663</v>
      </c>
      <c r="L355" s="5" t="s">
        <v>90</v>
      </c>
      <c r="M355" s="5" t="s">
        <v>66</v>
      </c>
      <c r="N355" s="5" t="s">
        <v>28</v>
      </c>
      <c r="O355" s="6" t="s">
        <v>41</v>
      </c>
      <c r="P355" s="6" t="s">
        <v>884</v>
      </c>
      <c r="Q355" s="5" t="s">
        <v>86</v>
      </c>
      <c r="R355" s="5" t="s">
        <v>32</v>
      </c>
      <c r="S355" s="5" t="s">
        <v>33</v>
      </c>
      <c r="T355" s="6">
        <v>9</v>
      </c>
      <c r="U355" s="6">
        <v>12</v>
      </c>
      <c r="V355" s="5" t="s">
        <v>34</v>
      </c>
      <c r="W355" s="8"/>
      <c r="Y355">
        <f t="shared" si="8"/>
        <v>75</v>
      </c>
    </row>
    <row r="356" spans="1:25" ht="15.75" customHeight="1">
      <c r="A356" s="5" t="s">
        <v>885</v>
      </c>
      <c r="B356" s="6">
        <v>9</v>
      </c>
      <c r="C356" s="5" t="s">
        <v>22</v>
      </c>
      <c r="D356" s="6" t="s">
        <v>886</v>
      </c>
      <c r="E356" s="6"/>
      <c r="F356" s="6" t="s">
        <v>188</v>
      </c>
      <c r="G356" s="6">
        <v>5</v>
      </c>
      <c r="H356" s="5" t="s">
        <v>38</v>
      </c>
      <c r="I356" s="6">
        <v>4</v>
      </c>
      <c r="J356" s="5" t="s">
        <v>25</v>
      </c>
      <c r="K356" s="6">
        <v>11152</v>
      </c>
      <c r="L356" s="5" t="s">
        <v>40</v>
      </c>
      <c r="M356" s="5" t="s">
        <v>27</v>
      </c>
      <c r="N356" s="5" t="s">
        <v>28</v>
      </c>
      <c r="O356" s="6" t="s">
        <v>189</v>
      </c>
      <c r="P356" s="6" t="s">
        <v>887</v>
      </c>
      <c r="Q356" s="5" t="s">
        <v>31</v>
      </c>
      <c r="R356" s="5" t="s">
        <v>32</v>
      </c>
      <c r="S356" s="5" t="s">
        <v>49</v>
      </c>
      <c r="T356" s="6">
        <v>8</v>
      </c>
      <c r="U356" s="6">
        <v>8</v>
      </c>
      <c r="V356" s="5" t="s">
        <v>34</v>
      </c>
      <c r="W356" s="8"/>
      <c r="Y356">
        <f t="shared" si="8"/>
        <v>100</v>
      </c>
    </row>
    <row r="357" spans="1:25" ht="15.75" customHeight="1">
      <c r="A357" s="5" t="s">
        <v>888</v>
      </c>
      <c r="B357" s="6">
        <v>43</v>
      </c>
      <c r="C357" s="5" t="s">
        <v>51</v>
      </c>
      <c r="D357" s="6" t="s">
        <v>320</v>
      </c>
      <c r="E357" s="6"/>
      <c r="F357" s="6" t="s">
        <v>297</v>
      </c>
      <c r="G357" s="6">
        <v>1</v>
      </c>
      <c r="H357" s="5" t="s">
        <v>24</v>
      </c>
      <c r="I357" s="6">
        <v>2</v>
      </c>
      <c r="J357" s="5" t="s">
        <v>97</v>
      </c>
      <c r="K357" s="6">
        <v>5012</v>
      </c>
      <c r="L357" s="5" t="s">
        <v>26</v>
      </c>
      <c r="M357" s="5" t="s">
        <v>66</v>
      </c>
      <c r="N357" s="5" t="s">
        <v>28</v>
      </c>
      <c r="O357" s="7">
        <v>45567</v>
      </c>
      <c r="P357" s="7">
        <v>45598.916666666664</v>
      </c>
      <c r="Q357" s="5" t="s">
        <v>86</v>
      </c>
      <c r="R357" s="5" t="s">
        <v>32</v>
      </c>
      <c r="S357" s="5" t="s">
        <v>33</v>
      </c>
      <c r="T357" s="6">
        <v>10</v>
      </c>
      <c r="U357" s="6">
        <v>12</v>
      </c>
      <c r="V357" s="5" t="s">
        <v>54</v>
      </c>
      <c r="W357" s="8"/>
      <c r="Y357">
        <f t="shared" si="8"/>
        <v>83.333333333333343</v>
      </c>
    </row>
    <row r="358" spans="1:25" ht="15.75" customHeight="1">
      <c r="A358" s="5" t="s">
        <v>889</v>
      </c>
      <c r="B358" s="6">
        <v>48</v>
      </c>
      <c r="C358" s="5" t="s">
        <v>36</v>
      </c>
      <c r="D358" s="7">
        <v>44997</v>
      </c>
      <c r="E358" s="7"/>
      <c r="F358" s="7">
        <v>45119</v>
      </c>
      <c r="G358" s="6">
        <v>4</v>
      </c>
      <c r="H358" s="5" t="s">
        <v>38</v>
      </c>
      <c r="I358" s="6">
        <v>5</v>
      </c>
      <c r="J358" s="5" t="s">
        <v>39</v>
      </c>
      <c r="K358" s="6">
        <v>16162</v>
      </c>
      <c r="L358" s="5" t="s">
        <v>40</v>
      </c>
      <c r="M358" s="5" t="s">
        <v>27</v>
      </c>
      <c r="N358" s="5" t="s">
        <v>47</v>
      </c>
      <c r="O358" s="7">
        <v>44969</v>
      </c>
      <c r="P358" s="7">
        <v>44969.833333333336</v>
      </c>
      <c r="Q358" s="5" t="s">
        <v>43</v>
      </c>
      <c r="R358" s="5" t="s">
        <v>32</v>
      </c>
      <c r="S358" s="5" t="s">
        <v>49</v>
      </c>
      <c r="T358" s="6">
        <v>11</v>
      </c>
      <c r="U358" s="6">
        <v>10</v>
      </c>
      <c r="V358" s="5" t="s">
        <v>92</v>
      </c>
      <c r="W358" s="8"/>
      <c r="Y358">
        <f t="shared" si="8"/>
        <v>110.00000000000001</v>
      </c>
    </row>
    <row r="359" spans="1:25" ht="15.75" customHeight="1">
      <c r="A359" s="5" t="s">
        <v>890</v>
      </c>
      <c r="B359" s="6">
        <v>39</v>
      </c>
      <c r="C359" s="5" t="s">
        <v>36</v>
      </c>
      <c r="D359" s="6" t="s">
        <v>519</v>
      </c>
      <c r="E359" s="6"/>
      <c r="F359" s="6" t="s">
        <v>640</v>
      </c>
      <c r="G359" s="6">
        <v>7</v>
      </c>
      <c r="H359" s="5" t="s">
        <v>46</v>
      </c>
      <c r="I359" s="6">
        <v>3</v>
      </c>
      <c r="J359" s="5" t="s">
        <v>97</v>
      </c>
      <c r="K359" s="6">
        <v>27322</v>
      </c>
      <c r="L359" s="5" t="s">
        <v>40</v>
      </c>
      <c r="M359" s="5" t="s">
        <v>27</v>
      </c>
      <c r="N359" s="5" t="s">
        <v>47</v>
      </c>
      <c r="O359" s="7">
        <v>45209</v>
      </c>
      <c r="P359" s="7">
        <v>45240.666666666664</v>
      </c>
      <c r="Q359" s="5" t="s">
        <v>48</v>
      </c>
      <c r="R359" s="5" t="s">
        <v>32</v>
      </c>
      <c r="S359" s="5" t="s">
        <v>33</v>
      </c>
      <c r="T359" s="6">
        <v>4</v>
      </c>
      <c r="U359" s="6">
        <v>10</v>
      </c>
      <c r="V359" s="5" t="s">
        <v>34</v>
      </c>
      <c r="W359" s="8"/>
      <c r="Y359">
        <f t="shared" si="8"/>
        <v>40</v>
      </c>
    </row>
    <row r="360" spans="1:25" ht="15.75" customHeight="1">
      <c r="A360" s="5" t="s">
        <v>891</v>
      </c>
      <c r="B360" s="6">
        <v>42</v>
      </c>
      <c r="C360" s="5" t="s">
        <v>36</v>
      </c>
      <c r="D360" s="6" t="s">
        <v>192</v>
      </c>
      <c r="E360" s="6"/>
      <c r="F360" s="6" t="s">
        <v>208</v>
      </c>
      <c r="G360" s="6">
        <v>10</v>
      </c>
      <c r="H360" s="5" t="s">
        <v>58</v>
      </c>
      <c r="I360" s="6">
        <v>1</v>
      </c>
      <c r="J360" s="5" t="s">
        <v>25</v>
      </c>
      <c r="K360" s="6">
        <v>12999</v>
      </c>
      <c r="L360" s="5" t="s">
        <v>80</v>
      </c>
      <c r="M360" s="5" t="s">
        <v>66</v>
      </c>
      <c r="N360" s="5" t="s">
        <v>28</v>
      </c>
      <c r="O360" s="7">
        <v>45141</v>
      </c>
      <c r="P360" s="7">
        <v>45172.583333333336</v>
      </c>
      <c r="Q360" s="5" t="s">
        <v>69</v>
      </c>
      <c r="R360" s="5" t="s">
        <v>32</v>
      </c>
      <c r="S360" s="5" t="s">
        <v>53</v>
      </c>
      <c r="T360" s="6">
        <v>5</v>
      </c>
      <c r="U360" s="6">
        <v>12</v>
      </c>
      <c r="V360" s="5" t="s">
        <v>92</v>
      </c>
      <c r="W360" s="8"/>
      <c r="Y360">
        <f t="shared" si="8"/>
        <v>41.666666666666671</v>
      </c>
    </row>
    <row r="361" spans="1:25" ht="15.75" customHeight="1">
      <c r="A361" s="5" t="s">
        <v>892</v>
      </c>
      <c r="B361" s="6">
        <v>26</v>
      </c>
      <c r="C361" s="5" t="s">
        <v>62</v>
      </c>
      <c r="D361" s="6" t="s">
        <v>519</v>
      </c>
      <c r="E361" s="6"/>
      <c r="F361" s="6" t="s">
        <v>371</v>
      </c>
      <c r="G361" s="6">
        <v>1</v>
      </c>
      <c r="H361" s="5" t="s">
        <v>58</v>
      </c>
      <c r="I361" s="6">
        <v>5</v>
      </c>
      <c r="J361" s="5" t="s">
        <v>52</v>
      </c>
      <c r="K361" s="6">
        <v>12219</v>
      </c>
      <c r="L361" s="5" t="s">
        <v>90</v>
      </c>
      <c r="M361" s="5" t="s">
        <v>27</v>
      </c>
      <c r="N361" s="5" t="s">
        <v>47</v>
      </c>
      <c r="O361" s="7">
        <v>45270</v>
      </c>
      <c r="P361" s="7">
        <v>45270.25</v>
      </c>
      <c r="Q361" s="5" t="s">
        <v>31</v>
      </c>
      <c r="R361" s="5" t="s">
        <v>32</v>
      </c>
      <c r="S361" s="5" t="s">
        <v>33</v>
      </c>
      <c r="T361" s="6">
        <v>4</v>
      </c>
      <c r="U361" s="6">
        <v>12</v>
      </c>
      <c r="V361" s="5" t="s">
        <v>34</v>
      </c>
      <c r="W361" s="8"/>
      <c r="Y361">
        <f t="shared" si="8"/>
        <v>33.333333333333329</v>
      </c>
    </row>
    <row r="362" spans="1:25" ht="15.75" customHeight="1">
      <c r="A362" s="5" t="s">
        <v>893</v>
      </c>
      <c r="B362" s="6">
        <v>50</v>
      </c>
      <c r="C362" s="5" t="s">
        <v>22</v>
      </c>
      <c r="D362" s="6" t="s">
        <v>833</v>
      </c>
      <c r="E362" s="6"/>
      <c r="F362" s="6" t="s">
        <v>136</v>
      </c>
      <c r="G362" s="6">
        <v>1</v>
      </c>
      <c r="H362" s="5" t="s">
        <v>24</v>
      </c>
      <c r="I362" s="6">
        <v>3</v>
      </c>
      <c r="J362" s="5" t="s">
        <v>89</v>
      </c>
      <c r="K362" s="6">
        <v>10328</v>
      </c>
      <c r="L362" s="5" t="s">
        <v>65</v>
      </c>
      <c r="M362" s="5" t="s">
        <v>66</v>
      </c>
      <c r="N362" s="5" t="s">
        <v>28</v>
      </c>
      <c r="O362" s="6" t="s">
        <v>491</v>
      </c>
      <c r="P362" s="6" t="s">
        <v>894</v>
      </c>
      <c r="Q362" s="5" t="s">
        <v>48</v>
      </c>
      <c r="R362" s="5" t="s">
        <v>32</v>
      </c>
      <c r="S362" s="5" t="s">
        <v>49</v>
      </c>
      <c r="T362" s="6">
        <v>7</v>
      </c>
      <c r="U362" s="6">
        <v>12</v>
      </c>
      <c r="V362" s="5" t="s">
        <v>54</v>
      </c>
      <c r="W362" s="8"/>
      <c r="Y362">
        <f t="shared" si="8"/>
        <v>58.333333333333336</v>
      </c>
    </row>
    <row r="363" spans="1:25" ht="15.75" customHeight="1">
      <c r="A363" s="5" t="s">
        <v>895</v>
      </c>
      <c r="B363" s="6">
        <v>25</v>
      </c>
      <c r="C363" s="5" t="s">
        <v>47</v>
      </c>
      <c r="D363" s="7">
        <v>45418</v>
      </c>
      <c r="E363" s="7"/>
      <c r="F363" s="7">
        <v>45541</v>
      </c>
      <c r="G363" s="6">
        <v>4</v>
      </c>
      <c r="H363" s="5" t="s">
        <v>58</v>
      </c>
      <c r="I363" s="6">
        <v>4</v>
      </c>
      <c r="J363" s="5" t="s">
        <v>97</v>
      </c>
      <c r="K363" s="6">
        <v>8621</v>
      </c>
      <c r="L363" s="5" t="s">
        <v>90</v>
      </c>
      <c r="M363" s="5" t="s">
        <v>27</v>
      </c>
      <c r="N363" s="5" t="s">
        <v>28</v>
      </c>
      <c r="O363" s="7">
        <v>45297</v>
      </c>
      <c r="P363" s="7">
        <v>45297.375</v>
      </c>
      <c r="Q363" s="5" t="s">
        <v>86</v>
      </c>
      <c r="R363" s="5" t="s">
        <v>32</v>
      </c>
      <c r="S363" s="5" t="s">
        <v>33</v>
      </c>
      <c r="T363" s="6">
        <v>6</v>
      </c>
      <c r="U363" s="6">
        <v>10</v>
      </c>
      <c r="V363" s="5" t="s">
        <v>92</v>
      </c>
      <c r="W363" s="8"/>
      <c r="Y363">
        <f t="shared" si="8"/>
        <v>60</v>
      </c>
    </row>
    <row r="364" spans="1:25" ht="15.75" customHeight="1">
      <c r="A364" s="5" t="s">
        <v>896</v>
      </c>
      <c r="B364" s="6">
        <v>24</v>
      </c>
      <c r="C364" s="5" t="s">
        <v>47</v>
      </c>
      <c r="D364" s="6" t="s">
        <v>297</v>
      </c>
      <c r="E364" s="6"/>
      <c r="F364" s="6" t="s">
        <v>282</v>
      </c>
      <c r="G364" s="6">
        <v>5</v>
      </c>
      <c r="H364" s="5" t="s">
        <v>38</v>
      </c>
      <c r="I364" s="6">
        <v>5</v>
      </c>
      <c r="J364" s="5" t="s">
        <v>97</v>
      </c>
      <c r="K364" s="6">
        <v>29256</v>
      </c>
      <c r="L364" s="5" t="s">
        <v>40</v>
      </c>
      <c r="M364" s="5" t="s">
        <v>66</v>
      </c>
      <c r="N364" s="5" t="s">
        <v>47</v>
      </c>
      <c r="O364" s="7">
        <v>45567</v>
      </c>
      <c r="P364" s="7">
        <v>45567.875</v>
      </c>
      <c r="Q364" s="5" t="s">
        <v>43</v>
      </c>
      <c r="R364" s="5" t="s">
        <v>32</v>
      </c>
      <c r="S364" s="5" t="s">
        <v>49</v>
      </c>
      <c r="T364" s="6">
        <v>9</v>
      </c>
      <c r="U364" s="6">
        <v>10</v>
      </c>
      <c r="V364" s="5" t="s">
        <v>54</v>
      </c>
      <c r="W364" s="8"/>
      <c r="Y364">
        <f t="shared" si="8"/>
        <v>90</v>
      </c>
    </row>
    <row r="365" spans="1:25" ht="15.75" customHeight="1">
      <c r="A365" s="5" t="s">
        <v>897</v>
      </c>
      <c r="B365" s="6">
        <v>13</v>
      </c>
      <c r="C365" s="5" t="s">
        <v>62</v>
      </c>
      <c r="D365" s="7">
        <v>45089</v>
      </c>
      <c r="E365" s="7"/>
      <c r="F365" s="7">
        <v>45211</v>
      </c>
      <c r="G365" s="6">
        <v>4</v>
      </c>
      <c r="H365" s="5" t="s">
        <v>83</v>
      </c>
      <c r="I365" s="6">
        <v>3</v>
      </c>
      <c r="J365" s="5" t="s">
        <v>39</v>
      </c>
      <c r="K365" s="6">
        <v>49433</v>
      </c>
      <c r="L365" s="5" t="s">
        <v>90</v>
      </c>
      <c r="M365" s="5" t="s">
        <v>66</v>
      </c>
      <c r="N365" s="5" t="s">
        <v>47</v>
      </c>
      <c r="O365" s="7">
        <v>44997</v>
      </c>
      <c r="P365" s="7">
        <v>44997.333333333336</v>
      </c>
      <c r="Q365" s="5" t="s">
        <v>86</v>
      </c>
      <c r="R365" s="5" t="s">
        <v>44</v>
      </c>
      <c r="S365" s="5" t="s">
        <v>49</v>
      </c>
      <c r="T365" s="6">
        <v>10</v>
      </c>
      <c r="U365" s="6">
        <v>8</v>
      </c>
      <c r="V365" s="5" t="s">
        <v>34</v>
      </c>
      <c r="W365" s="8"/>
      <c r="Y365">
        <f t="shared" si="8"/>
        <v>125</v>
      </c>
    </row>
    <row r="366" spans="1:25" ht="15.75" customHeight="1">
      <c r="A366" s="5" t="s">
        <v>898</v>
      </c>
      <c r="B366" s="6">
        <v>60</v>
      </c>
      <c r="C366" s="5" t="s">
        <v>51</v>
      </c>
      <c r="D366" s="6" t="s">
        <v>899</v>
      </c>
      <c r="E366" s="6"/>
      <c r="F366" s="7">
        <v>45232</v>
      </c>
      <c r="G366" s="6">
        <v>13</v>
      </c>
      <c r="H366" s="5" t="s">
        <v>38</v>
      </c>
      <c r="I366" s="6">
        <v>5</v>
      </c>
      <c r="J366" s="5" t="s">
        <v>39</v>
      </c>
      <c r="K366" s="6">
        <v>16314</v>
      </c>
      <c r="L366" s="5" t="s">
        <v>80</v>
      </c>
      <c r="M366" s="5" t="s">
        <v>66</v>
      </c>
      <c r="N366" s="5" t="s">
        <v>28</v>
      </c>
      <c r="O366" s="6" t="s">
        <v>900</v>
      </c>
      <c r="P366" s="6" t="s">
        <v>901</v>
      </c>
      <c r="Q366" s="5" t="s">
        <v>48</v>
      </c>
      <c r="R366" s="5" t="s">
        <v>32</v>
      </c>
      <c r="S366" s="5" t="s">
        <v>49</v>
      </c>
      <c r="T366" s="6">
        <v>10</v>
      </c>
      <c r="U366" s="6">
        <v>10</v>
      </c>
      <c r="V366" s="5" t="s">
        <v>54</v>
      </c>
      <c r="W366" s="8"/>
      <c r="Y366">
        <f t="shared" si="8"/>
        <v>100</v>
      </c>
    </row>
    <row r="367" spans="1:25" ht="15.75" customHeight="1">
      <c r="A367" s="5" t="s">
        <v>902</v>
      </c>
      <c r="B367" s="6">
        <v>7</v>
      </c>
      <c r="C367" s="5" t="s">
        <v>62</v>
      </c>
      <c r="D367" s="6" t="s">
        <v>761</v>
      </c>
      <c r="E367" s="6"/>
      <c r="F367" s="7">
        <v>44962</v>
      </c>
      <c r="G367" s="6">
        <v>3</v>
      </c>
      <c r="H367" s="5" t="s">
        <v>83</v>
      </c>
      <c r="I367" s="6">
        <v>2</v>
      </c>
      <c r="J367" s="5" t="s">
        <v>97</v>
      </c>
      <c r="K367" s="6">
        <v>5652</v>
      </c>
      <c r="L367" s="5" t="s">
        <v>65</v>
      </c>
      <c r="M367" s="5" t="s">
        <v>27</v>
      </c>
      <c r="N367" s="5" t="s">
        <v>28</v>
      </c>
      <c r="O367" s="6" t="s">
        <v>903</v>
      </c>
      <c r="P367" s="6" t="s">
        <v>904</v>
      </c>
      <c r="Q367" s="5" t="s">
        <v>31</v>
      </c>
      <c r="R367" s="5" t="s">
        <v>32</v>
      </c>
      <c r="S367" s="5" t="s">
        <v>53</v>
      </c>
      <c r="T367" s="6">
        <v>4</v>
      </c>
      <c r="U367" s="6">
        <v>12</v>
      </c>
      <c r="V367" s="5" t="s">
        <v>54</v>
      </c>
      <c r="W367" s="8"/>
      <c r="Y367">
        <f t="shared" si="8"/>
        <v>33.333333333333329</v>
      </c>
    </row>
    <row r="368" spans="1:25" ht="15.75" customHeight="1">
      <c r="A368" s="5" t="s">
        <v>905</v>
      </c>
      <c r="B368" s="6">
        <v>57</v>
      </c>
      <c r="C368" s="5" t="s">
        <v>51</v>
      </c>
      <c r="D368" s="6" t="s">
        <v>456</v>
      </c>
      <c r="E368" s="6"/>
      <c r="F368" s="7">
        <v>45148</v>
      </c>
      <c r="G368" s="6">
        <v>13</v>
      </c>
      <c r="H368" s="5" t="s">
        <v>46</v>
      </c>
      <c r="I368" s="6">
        <v>3</v>
      </c>
      <c r="J368" s="5" t="s">
        <v>25</v>
      </c>
      <c r="K368" s="6">
        <v>21182</v>
      </c>
      <c r="L368" s="5" t="s">
        <v>80</v>
      </c>
      <c r="M368" s="5" t="s">
        <v>66</v>
      </c>
      <c r="N368" s="5" t="s">
        <v>28</v>
      </c>
      <c r="O368" s="6" t="s">
        <v>456</v>
      </c>
      <c r="P368" s="6" t="s">
        <v>906</v>
      </c>
      <c r="Q368" s="5" t="s">
        <v>69</v>
      </c>
      <c r="R368" s="5" t="s">
        <v>32</v>
      </c>
      <c r="S368" s="5" t="s">
        <v>33</v>
      </c>
      <c r="T368" s="6">
        <v>8</v>
      </c>
      <c r="U368" s="6">
        <v>8</v>
      </c>
      <c r="V368" s="5" t="s">
        <v>54</v>
      </c>
      <c r="W368" s="8"/>
      <c r="Y368">
        <f t="shared" si="8"/>
        <v>100</v>
      </c>
    </row>
    <row r="369" spans="1:25" ht="15.75" customHeight="1">
      <c r="A369" s="5" t="s">
        <v>907</v>
      </c>
      <c r="B369" s="6">
        <v>36</v>
      </c>
      <c r="C369" s="5" t="s">
        <v>51</v>
      </c>
      <c r="D369" s="7">
        <v>44964</v>
      </c>
      <c r="E369" s="7"/>
      <c r="F369" s="7">
        <v>45114</v>
      </c>
      <c r="G369" s="6">
        <v>5</v>
      </c>
      <c r="H369" s="5" t="s">
        <v>73</v>
      </c>
      <c r="I369" s="6">
        <v>2</v>
      </c>
      <c r="J369" s="5" t="s">
        <v>89</v>
      </c>
      <c r="K369" s="6">
        <v>46580</v>
      </c>
      <c r="L369" s="5" t="s">
        <v>65</v>
      </c>
      <c r="M369" s="5" t="s">
        <v>66</v>
      </c>
      <c r="N369" s="5" t="s">
        <v>28</v>
      </c>
      <c r="O369" s="6" t="s">
        <v>393</v>
      </c>
      <c r="P369" s="6" t="s">
        <v>908</v>
      </c>
      <c r="Q369" s="5" t="s">
        <v>48</v>
      </c>
      <c r="R369" s="5" t="s">
        <v>32</v>
      </c>
      <c r="S369" s="5" t="s">
        <v>49</v>
      </c>
      <c r="T369" s="6">
        <v>11</v>
      </c>
      <c r="U369" s="6">
        <v>10</v>
      </c>
      <c r="V369" s="5" t="s">
        <v>34</v>
      </c>
      <c r="W369" s="8"/>
      <c r="Y369">
        <f t="shared" si="8"/>
        <v>110.00000000000001</v>
      </c>
    </row>
    <row r="370" spans="1:25" ht="15.75" customHeight="1">
      <c r="A370" s="5" t="s">
        <v>909</v>
      </c>
      <c r="B370" s="6">
        <v>45</v>
      </c>
      <c r="C370" s="5" t="s">
        <v>82</v>
      </c>
      <c r="D370" s="6" t="s">
        <v>163</v>
      </c>
      <c r="E370" s="6"/>
      <c r="F370" s="7">
        <v>45026</v>
      </c>
      <c r="G370" s="6">
        <v>5</v>
      </c>
      <c r="H370" s="5" t="s">
        <v>83</v>
      </c>
      <c r="I370" s="6">
        <v>2</v>
      </c>
      <c r="J370" s="5" t="s">
        <v>39</v>
      </c>
      <c r="K370" s="6">
        <v>41558</v>
      </c>
      <c r="L370" s="5" t="s">
        <v>40</v>
      </c>
      <c r="M370" s="5" t="s">
        <v>66</v>
      </c>
      <c r="N370" s="5" t="s">
        <v>28</v>
      </c>
      <c r="O370" s="6" t="s">
        <v>162</v>
      </c>
      <c r="P370" s="6" t="s">
        <v>163</v>
      </c>
      <c r="Q370" s="5" t="s">
        <v>31</v>
      </c>
      <c r="R370" s="5" t="s">
        <v>32</v>
      </c>
      <c r="S370" s="5" t="s">
        <v>53</v>
      </c>
      <c r="T370" s="6">
        <v>7</v>
      </c>
      <c r="U370" s="6">
        <v>10</v>
      </c>
      <c r="V370" s="5" t="s">
        <v>92</v>
      </c>
      <c r="W370" s="8"/>
      <c r="Y370">
        <f t="shared" si="8"/>
        <v>70</v>
      </c>
    </row>
    <row r="371" spans="1:25" ht="15.75" customHeight="1">
      <c r="A371" s="5" t="s">
        <v>910</v>
      </c>
      <c r="B371" s="6">
        <v>20</v>
      </c>
      <c r="C371" s="5" t="s">
        <v>47</v>
      </c>
      <c r="D371" s="7">
        <v>45171</v>
      </c>
      <c r="E371" s="7"/>
      <c r="F371" s="6" t="s">
        <v>274</v>
      </c>
      <c r="G371" s="6">
        <v>6</v>
      </c>
      <c r="H371" s="5" t="s">
        <v>58</v>
      </c>
      <c r="I371" s="6">
        <v>3</v>
      </c>
      <c r="J371" s="5" t="s">
        <v>25</v>
      </c>
      <c r="K371" s="6">
        <v>20659</v>
      </c>
      <c r="L371" s="5" t="s">
        <v>65</v>
      </c>
      <c r="M371" s="5" t="s">
        <v>66</v>
      </c>
      <c r="N371" s="5" t="s">
        <v>28</v>
      </c>
      <c r="O371" s="7">
        <v>45048</v>
      </c>
      <c r="P371" s="7">
        <v>45079.875</v>
      </c>
      <c r="Q371" s="5" t="s">
        <v>48</v>
      </c>
      <c r="R371" s="5" t="s">
        <v>32</v>
      </c>
      <c r="S371" s="5" t="s">
        <v>49</v>
      </c>
      <c r="T371" s="6">
        <v>6</v>
      </c>
      <c r="U371" s="6">
        <v>12</v>
      </c>
      <c r="V371" s="5" t="s">
        <v>54</v>
      </c>
      <c r="W371" s="8"/>
      <c r="Y371">
        <f t="shared" si="8"/>
        <v>50</v>
      </c>
    </row>
    <row r="372" spans="1:25" ht="15.75" customHeight="1">
      <c r="A372" s="5" t="s">
        <v>911</v>
      </c>
      <c r="B372" s="6">
        <v>65</v>
      </c>
      <c r="C372" s="5" t="s">
        <v>36</v>
      </c>
      <c r="D372" s="6" t="s">
        <v>29</v>
      </c>
      <c r="E372" s="6"/>
      <c r="F372" s="6" t="s">
        <v>903</v>
      </c>
      <c r="G372" s="6">
        <v>2</v>
      </c>
      <c r="H372" s="5" t="s">
        <v>38</v>
      </c>
      <c r="I372" s="6">
        <v>1</v>
      </c>
      <c r="J372" s="5" t="s">
        <v>52</v>
      </c>
      <c r="K372" s="6">
        <v>39413</v>
      </c>
      <c r="L372" s="5" t="s">
        <v>65</v>
      </c>
      <c r="M372" s="5" t="s">
        <v>27</v>
      </c>
      <c r="N372" s="5" t="s">
        <v>28</v>
      </c>
      <c r="O372" s="6" t="s">
        <v>94</v>
      </c>
      <c r="P372" s="6" t="s">
        <v>912</v>
      </c>
      <c r="Q372" s="5" t="s">
        <v>43</v>
      </c>
      <c r="R372" s="5" t="s">
        <v>32</v>
      </c>
      <c r="S372" s="5" t="s">
        <v>33</v>
      </c>
      <c r="T372" s="6">
        <v>7</v>
      </c>
      <c r="U372" s="6">
        <v>8</v>
      </c>
      <c r="V372" s="5" t="s">
        <v>92</v>
      </c>
      <c r="W372" s="8"/>
      <c r="Y372">
        <f t="shared" si="8"/>
        <v>87.5</v>
      </c>
    </row>
    <row r="373" spans="1:25" ht="15.75" customHeight="1">
      <c r="A373" s="5" t="s">
        <v>913</v>
      </c>
      <c r="B373" s="6">
        <v>8</v>
      </c>
      <c r="C373" s="5" t="s">
        <v>51</v>
      </c>
      <c r="D373" s="6" t="s">
        <v>133</v>
      </c>
      <c r="E373" s="6"/>
      <c r="F373" s="6" t="s">
        <v>379</v>
      </c>
      <c r="G373" s="6">
        <v>1</v>
      </c>
      <c r="H373" s="5" t="s">
        <v>46</v>
      </c>
      <c r="I373" s="6">
        <v>3</v>
      </c>
      <c r="J373" s="5" t="s">
        <v>39</v>
      </c>
      <c r="K373" s="6">
        <v>15435</v>
      </c>
      <c r="L373" s="5" t="s">
        <v>65</v>
      </c>
      <c r="M373" s="5" t="s">
        <v>27</v>
      </c>
      <c r="N373" s="5" t="s">
        <v>28</v>
      </c>
      <c r="O373" s="6" t="s">
        <v>116</v>
      </c>
      <c r="P373" s="6" t="s">
        <v>382</v>
      </c>
      <c r="Q373" s="5" t="s">
        <v>86</v>
      </c>
      <c r="R373" s="5" t="s">
        <v>32</v>
      </c>
      <c r="S373" s="5" t="s">
        <v>53</v>
      </c>
      <c r="T373" s="6">
        <v>10</v>
      </c>
      <c r="U373" s="6">
        <v>10</v>
      </c>
      <c r="V373" s="5" t="s">
        <v>34</v>
      </c>
      <c r="W373" s="8"/>
      <c r="Y373">
        <f t="shared" si="8"/>
        <v>100</v>
      </c>
    </row>
    <row r="374" spans="1:25" ht="15.75" customHeight="1">
      <c r="A374" s="5" t="s">
        <v>914</v>
      </c>
      <c r="B374" s="6">
        <v>16</v>
      </c>
      <c r="C374" s="5" t="s">
        <v>82</v>
      </c>
      <c r="D374" s="6" t="s">
        <v>876</v>
      </c>
      <c r="E374" s="6"/>
      <c r="F374" s="6" t="s">
        <v>824</v>
      </c>
      <c r="G374" s="6">
        <v>8</v>
      </c>
      <c r="H374" s="5" t="s">
        <v>58</v>
      </c>
      <c r="I374" s="6">
        <v>1</v>
      </c>
      <c r="J374" s="5" t="s">
        <v>25</v>
      </c>
      <c r="K374" s="6">
        <v>33067</v>
      </c>
      <c r="L374" s="5" t="s">
        <v>90</v>
      </c>
      <c r="M374" s="5" t="s">
        <v>66</v>
      </c>
      <c r="N374" s="5" t="s">
        <v>28</v>
      </c>
      <c r="O374" s="6" t="s">
        <v>772</v>
      </c>
      <c r="P374" s="6" t="s">
        <v>915</v>
      </c>
      <c r="Q374" s="5" t="s">
        <v>69</v>
      </c>
      <c r="R374" s="5" t="s">
        <v>32</v>
      </c>
      <c r="S374" s="5" t="s">
        <v>49</v>
      </c>
      <c r="T374" s="6">
        <v>5</v>
      </c>
      <c r="U374" s="6">
        <v>10</v>
      </c>
      <c r="V374" s="5" t="s">
        <v>92</v>
      </c>
      <c r="W374" s="8"/>
      <c r="Y374">
        <f t="shared" si="8"/>
        <v>50</v>
      </c>
    </row>
    <row r="375" spans="1:25" ht="15.75" customHeight="1">
      <c r="A375" s="5" t="s">
        <v>916</v>
      </c>
      <c r="B375" s="6">
        <v>14</v>
      </c>
      <c r="C375" s="5" t="s">
        <v>47</v>
      </c>
      <c r="D375" s="6" t="s">
        <v>278</v>
      </c>
      <c r="E375" s="6"/>
      <c r="F375" s="6" t="s">
        <v>277</v>
      </c>
      <c r="G375" s="6">
        <v>12</v>
      </c>
      <c r="H375" s="5" t="s">
        <v>46</v>
      </c>
      <c r="I375" s="6">
        <v>5</v>
      </c>
      <c r="J375" s="5" t="s">
        <v>25</v>
      </c>
      <c r="K375" s="6">
        <v>27258</v>
      </c>
      <c r="L375" s="5" t="s">
        <v>90</v>
      </c>
      <c r="M375" s="5" t="s">
        <v>66</v>
      </c>
      <c r="N375" s="5" t="s">
        <v>28</v>
      </c>
      <c r="O375" s="6" t="s">
        <v>917</v>
      </c>
      <c r="P375" s="6" t="s">
        <v>918</v>
      </c>
      <c r="Q375" s="5" t="s">
        <v>31</v>
      </c>
      <c r="R375" s="5" t="s">
        <v>32</v>
      </c>
      <c r="S375" s="5" t="s">
        <v>49</v>
      </c>
      <c r="T375" s="6">
        <v>6</v>
      </c>
      <c r="U375" s="6">
        <v>12</v>
      </c>
      <c r="V375" s="5" t="s">
        <v>54</v>
      </c>
      <c r="W375" s="8"/>
      <c r="Y375">
        <f t="shared" si="8"/>
        <v>50</v>
      </c>
    </row>
    <row r="376" spans="1:25" ht="15.75" customHeight="1">
      <c r="A376" s="5" t="s">
        <v>919</v>
      </c>
      <c r="B376" s="6">
        <v>76</v>
      </c>
      <c r="C376" s="5" t="s">
        <v>36</v>
      </c>
      <c r="D376" s="6" t="s">
        <v>380</v>
      </c>
      <c r="E376" s="6"/>
      <c r="F376" s="6" t="s">
        <v>598</v>
      </c>
      <c r="G376" s="6">
        <v>7</v>
      </c>
      <c r="H376" s="5" t="s">
        <v>73</v>
      </c>
      <c r="I376" s="6">
        <v>5</v>
      </c>
      <c r="J376" s="5" t="s">
        <v>89</v>
      </c>
      <c r="K376" s="6">
        <v>33287</v>
      </c>
      <c r="L376" s="5" t="s">
        <v>40</v>
      </c>
      <c r="M376" s="5" t="s">
        <v>66</v>
      </c>
      <c r="N376" s="5" t="s">
        <v>47</v>
      </c>
      <c r="O376" s="6" t="s">
        <v>920</v>
      </c>
      <c r="P376" s="6" t="s">
        <v>921</v>
      </c>
      <c r="Q376" s="5" t="s">
        <v>69</v>
      </c>
      <c r="R376" s="5" t="s">
        <v>32</v>
      </c>
      <c r="S376" s="5" t="s">
        <v>49</v>
      </c>
      <c r="T376" s="6">
        <v>11</v>
      </c>
      <c r="U376" s="6">
        <v>8</v>
      </c>
      <c r="V376" s="5" t="s">
        <v>54</v>
      </c>
      <c r="W376" s="8"/>
      <c r="Y376">
        <f t="shared" si="8"/>
        <v>137.5</v>
      </c>
    </row>
    <row r="377" spans="1:25" ht="15.75" customHeight="1">
      <c r="A377" s="5" t="s">
        <v>922</v>
      </c>
      <c r="B377" s="6">
        <v>87</v>
      </c>
      <c r="C377" s="5" t="s">
        <v>51</v>
      </c>
      <c r="D377" s="7">
        <v>45479</v>
      </c>
      <c r="E377" s="7"/>
      <c r="F377" s="7">
        <v>45571</v>
      </c>
      <c r="G377" s="6">
        <v>3</v>
      </c>
      <c r="H377" s="5" t="s">
        <v>38</v>
      </c>
      <c r="I377" s="6">
        <v>3</v>
      </c>
      <c r="J377" s="5" t="s">
        <v>89</v>
      </c>
      <c r="K377" s="6">
        <v>8688</v>
      </c>
      <c r="L377" s="5" t="s">
        <v>65</v>
      </c>
      <c r="M377" s="5" t="s">
        <v>66</v>
      </c>
      <c r="N377" s="5" t="s">
        <v>28</v>
      </c>
      <c r="O377" s="7">
        <v>45357</v>
      </c>
      <c r="P377" s="7">
        <v>45357.375</v>
      </c>
      <c r="Q377" s="5" t="s">
        <v>69</v>
      </c>
      <c r="R377" s="5" t="s">
        <v>32</v>
      </c>
      <c r="S377" s="5" t="s">
        <v>33</v>
      </c>
      <c r="T377" s="6">
        <v>11</v>
      </c>
      <c r="U377" s="6">
        <v>8</v>
      </c>
      <c r="V377" s="5" t="s">
        <v>54</v>
      </c>
      <c r="W377" s="8"/>
      <c r="Y377">
        <f t="shared" si="8"/>
        <v>137.5</v>
      </c>
    </row>
    <row r="378" spans="1:25" ht="15.75" customHeight="1">
      <c r="A378" s="5" t="s">
        <v>923</v>
      </c>
      <c r="B378" s="6">
        <v>15</v>
      </c>
      <c r="C378" s="5" t="s">
        <v>51</v>
      </c>
      <c r="D378" s="6" t="s">
        <v>761</v>
      </c>
      <c r="E378" s="6"/>
      <c r="F378" s="7">
        <v>44962</v>
      </c>
      <c r="G378" s="6">
        <v>3</v>
      </c>
      <c r="H378" s="5" t="s">
        <v>24</v>
      </c>
      <c r="I378" s="6">
        <v>5</v>
      </c>
      <c r="J378" s="5" t="s">
        <v>52</v>
      </c>
      <c r="K378" s="6">
        <v>12689</v>
      </c>
      <c r="L378" s="5" t="s">
        <v>26</v>
      </c>
      <c r="M378" s="5" t="s">
        <v>66</v>
      </c>
      <c r="N378" s="5" t="s">
        <v>47</v>
      </c>
      <c r="O378" s="6" t="s">
        <v>570</v>
      </c>
      <c r="P378" s="6" t="s">
        <v>924</v>
      </c>
      <c r="Q378" s="5" t="s">
        <v>69</v>
      </c>
      <c r="R378" s="5" t="s">
        <v>32</v>
      </c>
      <c r="S378" s="5" t="s">
        <v>53</v>
      </c>
      <c r="T378" s="6">
        <v>10</v>
      </c>
      <c r="U378" s="6">
        <v>8</v>
      </c>
      <c r="V378" s="5" t="s">
        <v>54</v>
      </c>
      <c r="W378" s="8"/>
      <c r="Y378">
        <f t="shared" si="8"/>
        <v>125</v>
      </c>
    </row>
    <row r="379" spans="1:25" ht="15.75" customHeight="1">
      <c r="A379" s="5" t="s">
        <v>925</v>
      </c>
      <c r="B379" s="6">
        <v>66</v>
      </c>
      <c r="C379" s="5" t="s">
        <v>62</v>
      </c>
      <c r="D379" s="6" t="s">
        <v>351</v>
      </c>
      <c r="E379" s="6"/>
      <c r="F379" s="7">
        <v>45445</v>
      </c>
      <c r="G379" s="6">
        <v>7</v>
      </c>
      <c r="H379" s="5" t="s">
        <v>38</v>
      </c>
      <c r="I379" s="6">
        <v>4</v>
      </c>
      <c r="J379" s="5" t="s">
        <v>25</v>
      </c>
      <c r="K379" s="6">
        <v>6379</v>
      </c>
      <c r="L379" s="5" t="s">
        <v>40</v>
      </c>
      <c r="M379" s="5" t="s">
        <v>66</v>
      </c>
      <c r="N379" s="5" t="s">
        <v>47</v>
      </c>
      <c r="O379" s="6" t="s">
        <v>926</v>
      </c>
      <c r="P379" s="6" t="s">
        <v>927</v>
      </c>
      <c r="Q379" s="5" t="s">
        <v>31</v>
      </c>
      <c r="R379" s="5" t="s">
        <v>32</v>
      </c>
      <c r="S379" s="5" t="s">
        <v>53</v>
      </c>
      <c r="T379" s="6">
        <v>8</v>
      </c>
      <c r="U379" s="6">
        <v>8</v>
      </c>
      <c r="V379" s="5" t="s">
        <v>54</v>
      </c>
      <c r="W379" s="8"/>
      <c r="Y379">
        <f t="shared" si="8"/>
        <v>100</v>
      </c>
    </row>
    <row r="380" spans="1:25" ht="15.75" customHeight="1">
      <c r="A380" s="5" t="s">
        <v>928</v>
      </c>
      <c r="B380" s="6">
        <v>32</v>
      </c>
      <c r="C380" s="5" t="s">
        <v>62</v>
      </c>
      <c r="D380" s="6" t="s">
        <v>541</v>
      </c>
      <c r="E380" s="6"/>
      <c r="F380" s="6" t="s">
        <v>111</v>
      </c>
      <c r="G380" s="6">
        <v>9</v>
      </c>
      <c r="H380" s="5" t="s">
        <v>73</v>
      </c>
      <c r="I380" s="6">
        <v>2</v>
      </c>
      <c r="J380" s="5" t="s">
        <v>25</v>
      </c>
      <c r="K380" s="6">
        <v>42011</v>
      </c>
      <c r="L380" s="5" t="s">
        <v>65</v>
      </c>
      <c r="M380" s="5" t="s">
        <v>66</v>
      </c>
      <c r="N380" s="5" t="s">
        <v>28</v>
      </c>
      <c r="O380" s="6" t="s">
        <v>542</v>
      </c>
      <c r="P380" s="6" t="s">
        <v>929</v>
      </c>
      <c r="Q380" s="5" t="s">
        <v>31</v>
      </c>
      <c r="R380" s="5" t="s">
        <v>32</v>
      </c>
      <c r="S380" s="5" t="s">
        <v>53</v>
      </c>
      <c r="T380" s="6">
        <v>6</v>
      </c>
      <c r="U380" s="6">
        <v>12</v>
      </c>
      <c r="V380" s="5" t="s">
        <v>54</v>
      </c>
      <c r="W380" s="8"/>
      <c r="Y380">
        <f t="shared" si="8"/>
        <v>50</v>
      </c>
    </row>
    <row r="381" spans="1:25" ht="15.75" customHeight="1">
      <c r="A381" s="5" t="s">
        <v>930</v>
      </c>
      <c r="B381" s="6">
        <v>87</v>
      </c>
      <c r="C381" s="5" t="s">
        <v>47</v>
      </c>
      <c r="D381" s="6" t="s">
        <v>931</v>
      </c>
      <c r="E381" s="6"/>
      <c r="F381" s="6" t="s">
        <v>313</v>
      </c>
      <c r="G381" s="6">
        <v>12</v>
      </c>
      <c r="H381" s="5" t="s">
        <v>38</v>
      </c>
      <c r="I381" s="6">
        <v>2</v>
      </c>
      <c r="J381" s="5" t="s">
        <v>89</v>
      </c>
      <c r="K381" s="6">
        <v>48005</v>
      </c>
      <c r="L381" s="5" t="s">
        <v>65</v>
      </c>
      <c r="M381" s="5" t="s">
        <v>66</v>
      </c>
      <c r="N381" s="5" t="s">
        <v>28</v>
      </c>
      <c r="O381" s="6" t="s">
        <v>363</v>
      </c>
      <c r="P381" s="6" t="s">
        <v>932</v>
      </c>
      <c r="Q381" s="5" t="s">
        <v>69</v>
      </c>
      <c r="R381" s="5" t="s">
        <v>32</v>
      </c>
      <c r="S381" s="5" t="s">
        <v>49</v>
      </c>
      <c r="T381" s="6">
        <v>10</v>
      </c>
      <c r="U381" s="6">
        <v>10</v>
      </c>
      <c r="V381" s="5" t="s">
        <v>34</v>
      </c>
      <c r="W381" s="8"/>
      <c r="Y381">
        <f t="shared" si="8"/>
        <v>100</v>
      </c>
    </row>
    <row r="382" spans="1:25" ht="15.75" customHeight="1">
      <c r="A382" s="5" t="s">
        <v>933</v>
      </c>
      <c r="B382" s="6">
        <v>63</v>
      </c>
      <c r="C382" s="5" t="s">
        <v>36</v>
      </c>
      <c r="D382" s="6" t="s">
        <v>274</v>
      </c>
      <c r="E382" s="6"/>
      <c r="F382" s="6" t="s">
        <v>934</v>
      </c>
      <c r="G382" s="6">
        <v>4</v>
      </c>
      <c r="H382" s="5" t="s">
        <v>24</v>
      </c>
      <c r="I382" s="6">
        <v>1</v>
      </c>
      <c r="J382" s="5" t="s">
        <v>39</v>
      </c>
      <c r="K382" s="6">
        <v>32624</v>
      </c>
      <c r="L382" s="5" t="s">
        <v>90</v>
      </c>
      <c r="M382" s="5" t="s">
        <v>27</v>
      </c>
      <c r="N382" s="5" t="s">
        <v>28</v>
      </c>
      <c r="O382" s="7">
        <v>45232</v>
      </c>
      <c r="P382" s="7">
        <v>45262.333333333336</v>
      </c>
      <c r="Q382" s="5" t="s">
        <v>86</v>
      </c>
      <c r="R382" s="5" t="s">
        <v>32</v>
      </c>
      <c r="S382" s="5" t="s">
        <v>53</v>
      </c>
      <c r="T382" s="6">
        <v>8</v>
      </c>
      <c r="U382" s="6">
        <v>10</v>
      </c>
      <c r="V382" s="5" t="s">
        <v>34</v>
      </c>
      <c r="W382" s="8"/>
      <c r="Y382">
        <f t="shared" si="8"/>
        <v>80</v>
      </c>
    </row>
    <row r="383" spans="1:25" ht="15.75" customHeight="1">
      <c r="A383" s="5" t="s">
        <v>935</v>
      </c>
      <c r="B383" s="6">
        <v>86</v>
      </c>
      <c r="C383" s="5" t="s">
        <v>51</v>
      </c>
      <c r="D383" s="6" t="s">
        <v>380</v>
      </c>
      <c r="E383" s="6"/>
      <c r="F383" s="6" t="s">
        <v>936</v>
      </c>
      <c r="G383" s="6">
        <v>9</v>
      </c>
      <c r="H383" s="5" t="s">
        <v>83</v>
      </c>
      <c r="I383" s="6">
        <v>5</v>
      </c>
      <c r="J383" s="5" t="s">
        <v>39</v>
      </c>
      <c r="K383" s="6">
        <v>30964</v>
      </c>
      <c r="L383" s="5" t="s">
        <v>40</v>
      </c>
      <c r="M383" s="5" t="s">
        <v>66</v>
      </c>
      <c r="N383" s="5" t="s">
        <v>28</v>
      </c>
      <c r="O383" s="6" t="s">
        <v>133</v>
      </c>
      <c r="P383" s="6" t="s">
        <v>937</v>
      </c>
      <c r="Q383" s="5" t="s">
        <v>48</v>
      </c>
      <c r="R383" s="5" t="s">
        <v>32</v>
      </c>
      <c r="S383" s="5" t="s">
        <v>49</v>
      </c>
      <c r="T383" s="6">
        <v>5</v>
      </c>
      <c r="U383" s="6">
        <v>8</v>
      </c>
      <c r="V383" s="5" t="s">
        <v>34</v>
      </c>
      <c r="W383" s="8"/>
      <c r="Y383">
        <f t="shared" si="8"/>
        <v>62.5</v>
      </c>
    </row>
    <row r="384" spans="1:25" ht="15.75" customHeight="1">
      <c r="A384" s="5" t="s">
        <v>938</v>
      </c>
      <c r="B384" s="6">
        <v>51</v>
      </c>
      <c r="C384" s="5" t="s">
        <v>47</v>
      </c>
      <c r="D384" s="7">
        <v>44958</v>
      </c>
      <c r="E384" s="7"/>
      <c r="F384" s="7">
        <v>45231</v>
      </c>
      <c r="G384" s="6">
        <v>9</v>
      </c>
      <c r="H384" s="5" t="s">
        <v>46</v>
      </c>
      <c r="I384" s="6">
        <v>1</v>
      </c>
      <c r="J384" s="5" t="s">
        <v>97</v>
      </c>
      <c r="K384" s="6">
        <v>27891</v>
      </c>
      <c r="L384" s="5" t="s">
        <v>65</v>
      </c>
      <c r="M384" s="5" t="s">
        <v>66</v>
      </c>
      <c r="N384" s="5" t="s">
        <v>28</v>
      </c>
      <c r="O384" s="6" t="s">
        <v>939</v>
      </c>
      <c r="P384" s="6" t="s">
        <v>940</v>
      </c>
      <c r="Q384" s="5" t="s">
        <v>69</v>
      </c>
      <c r="R384" s="5" t="s">
        <v>32</v>
      </c>
      <c r="S384" s="5" t="s">
        <v>33</v>
      </c>
      <c r="T384" s="6">
        <v>8</v>
      </c>
      <c r="U384" s="6">
        <v>8</v>
      </c>
      <c r="V384" s="5" t="s">
        <v>92</v>
      </c>
      <c r="W384" s="8"/>
      <c r="Y384">
        <f t="shared" si="8"/>
        <v>100</v>
      </c>
    </row>
    <row r="385" spans="1:25" ht="15.75" customHeight="1">
      <c r="A385" s="5" t="s">
        <v>941</v>
      </c>
      <c r="B385" s="6">
        <v>25</v>
      </c>
      <c r="C385" s="5" t="s">
        <v>47</v>
      </c>
      <c r="D385" s="6" t="s">
        <v>675</v>
      </c>
      <c r="E385" s="6"/>
      <c r="F385" s="6" t="s">
        <v>942</v>
      </c>
      <c r="G385" s="6">
        <v>14</v>
      </c>
      <c r="H385" s="5" t="s">
        <v>24</v>
      </c>
      <c r="I385" s="6">
        <v>2</v>
      </c>
      <c r="J385" s="5" t="s">
        <v>89</v>
      </c>
      <c r="K385" s="6">
        <v>43379</v>
      </c>
      <c r="L385" s="5" t="s">
        <v>65</v>
      </c>
      <c r="M385" s="5" t="s">
        <v>27</v>
      </c>
      <c r="N385" s="5" t="s">
        <v>47</v>
      </c>
      <c r="O385" s="6" t="s">
        <v>943</v>
      </c>
      <c r="P385" s="6" t="s">
        <v>944</v>
      </c>
      <c r="Q385" s="5" t="s">
        <v>43</v>
      </c>
      <c r="R385" s="5" t="s">
        <v>44</v>
      </c>
      <c r="S385" s="5" t="s">
        <v>53</v>
      </c>
      <c r="T385" s="6">
        <v>7</v>
      </c>
      <c r="U385" s="6">
        <v>8</v>
      </c>
      <c r="V385" s="5" t="s">
        <v>92</v>
      </c>
      <c r="W385" s="8"/>
      <c r="Y385">
        <f t="shared" si="8"/>
        <v>87.5</v>
      </c>
    </row>
    <row r="386" spans="1:25" ht="15.75" customHeight="1">
      <c r="A386" s="5" t="s">
        <v>945</v>
      </c>
      <c r="B386" s="6">
        <v>58</v>
      </c>
      <c r="C386" s="5" t="s">
        <v>22</v>
      </c>
      <c r="D386" s="6" t="s">
        <v>113</v>
      </c>
      <c r="E386" s="6"/>
      <c r="F386" s="7">
        <v>44934</v>
      </c>
      <c r="G386" s="6">
        <v>11</v>
      </c>
      <c r="H386" s="5" t="s">
        <v>58</v>
      </c>
      <c r="I386" s="6">
        <v>2</v>
      </c>
      <c r="J386" s="5" t="s">
        <v>97</v>
      </c>
      <c r="K386" s="6">
        <v>17516</v>
      </c>
      <c r="L386" s="5" t="s">
        <v>40</v>
      </c>
      <c r="M386" s="5" t="s">
        <v>27</v>
      </c>
      <c r="N386" s="5" t="s">
        <v>28</v>
      </c>
      <c r="O386" s="6" t="s">
        <v>187</v>
      </c>
      <c r="P386" s="6" t="s">
        <v>946</v>
      </c>
      <c r="Q386" s="5" t="s">
        <v>69</v>
      </c>
      <c r="R386" s="5" t="s">
        <v>32</v>
      </c>
      <c r="S386" s="5" t="s">
        <v>49</v>
      </c>
      <c r="T386" s="6">
        <v>4</v>
      </c>
      <c r="U386" s="6">
        <v>10</v>
      </c>
      <c r="V386" s="5" t="s">
        <v>34</v>
      </c>
      <c r="W386" s="8"/>
      <c r="Y386">
        <f t="shared" si="8"/>
        <v>40</v>
      </c>
    </row>
    <row r="387" spans="1:25" ht="15.75" customHeight="1">
      <c r="A387" s="5" t="s">
        <v>947</v>
      </c>
      <c r="B387" s="6">
        <v>63</v>
      </c>
      <c r="C387" s="5" t="s">
        <v>62</v>
      </c>
      <c r="D387" s="7">
        <v>45505</v>
      </c>
      <c r="E387" s="7"/>
      <c r="F387" s="6" t="s">
        <v>629</v>
      </c>
      <c r="G387" s="6">
        <v>13</v>
      </c>
      <c r="H387" s="5" t="s">
        <v>73</v>
      </c>
      <c r="I387" s="6">
        <v>5</v>
      </c>
      <c r="J387" s="5" t="s">
        <v>89</v>
      </c>
      <c r="K387" s="6">
        <v>18886</v>
      </c>
      <c r="L387" s="5" t="s">
        <v>26</v>
      </c>
      <c r="M387" s="5" t="s">
        <v>66</v>
      </c>
      <c r="N387" s="5" t="s">
        <v>28</v>
      </c>
      <c r="O387" s="7">
        <v>45352</v>
      </c>
      <c r="P387" s="7">
        <v>45352.5</v>
      </c>
      <c r="Q387" s="5" t="s">
        <v>31</v>
      </c>
      <c r="R387" s="5" t="s">
        <v>32</v>
      </c>
      <c r="S387" s="5" t="s">
        <v>53</v>
      </c>
      <c r="T387" s="6">
        <v>7</v>
      </c>
      <c r="U387" s="6">
        <v>10</v>
      </c>
      <c r="V387" s="5" t="s">
        <v>92</v>
      </c>
      <c r="W387" s="8"/>
      <c r="Y387">
        <f t="shared" ref="Y387:Y450" si="9">(T387/U387*100)</f>
        <v>70</v>
      </c>
    </row>
    <row r="388" spans="1:25" ht="15.75" customHeight="1">
      <c r="A388" s="5" t="s">
        <v>948</v>
      </c>
      <c r="B388" s="6">
        <v>62</v>
      </c>
      <c r="C388" s="5" t="s">
        <v>36</v>
      </c>
      <c r="D388" s="6" t="s">
        <v>381</v>
      </c>
      <c r="E388" s="6"/>
      <c r="F388" s="6" t="s">
        <v>463</v>
      </c>
      <c r="G388" s="6">
        <v>6</v>
      </c>
      <c r="H388" s="5" t="s">
        <v>83</v>
      </c>
      <c r="I388" s="6">
        <v>4</v>
      </c>
      <c r="J388" s="5" t="s">
        <v>52</v>
      </c>
      <c r="K388" s="6">
        <v>25307</v>
      </c>
      <c r="L388" s="5" t="s">
        <v>40</v>
      </c>
      <c r="M388" s="5" t="s">
        <v>66</v>
      </c>
      <c r="N388" s="5" t="s">
        <v>28</v>
      </c>
      <c r="O388" s="7">
        <v>45629</v>
      </c>
      <c r="P388" s="6" t="s">
        <v>949</v>
      </c>
      <c r="Q388" s="5" t="s">
        <v>48</v>
      </c>
      <c r="R388" s="5" t="s">
        <v>32</v>
      </c>
      <c r="S388" s="5" t="s">
        <v>53</v>
      </c>
      <c r="T388" s="6">
        <v>11</v>
      </c>
      <c r="U388" s="6">
        <v>8</v>
      </c>
      <c r="V388" s="5" t="s">
        <v>92</v>
      </c>
      <c r="W388" s="8"/>
      <c r="Y388">
        <f t="shared" si="9"/>
        <v>137.5</v>
      </c>
    </row>
    <row r="389" spans="1:25" ht="15.75" customHeight="1">
      <c r="A389" s="5" t="s">
        <v>950</v>
      </c>
      <c r="B389" s="6">
        <v>22</v>
      </c>
      <c r="C389" s="5" t="s">
        <v>51</v>
      </c>
      <c r="D389" s="6" t="s">
        <v>192</v>
      </c>
      <c r="E389" s="6"/>
      <c r="F389" s="6" t="s">
        <v>193</v>
      </c>
      <c r="G389" s="6">
        <v>2</v>
      </c>
      <c r="H389" s="5" t="s">
        <v>58</v>
      </c>
      <c r="I389" s="6">
        <v>4</v>
      </c>
      <c r="J389" s="5" t="s">
        <v>25</v>
      </c>
      <c r="K389" s="6">
        <v>29843</v>
      </c>
      <c r="L389" s="5" t="s">
        <v>40</v>
      </c>
      <c r="M389" s="5" t="s">
        <v>27</v>
      </c>
      <c r="N389" s="5" t="s">
        <v>28</v>
      </c>
      <c r="O389" s="7">
        <v>45141</v>
      </c>
      <c r="P389" s="7">
        <v>45141.458333333336</v>
      </c>
      <c r="Q389" s="5" t="s">
        <v>43</v>
      </c>
      <c r="R389" s="5" t="s">
        <v>32</v>
      </c>
      <c r="S389" s="5" t="s">
        <v>33</v>
      </c>
      <c r="T389" s="6">
        <v>10</v>
      </c>
      <c r="U389" s="6">
        <v>12</v>
      </c>
      <c r="V389" s="5" t="s">
        <v>54</v>
      </c>
      <c r="W389" s="8"/>
      <c r="Y389">
        <f t="shared" si="9"/>
        <v>83.333333333333343</v>
      </c>
    </row>
    <row r="390" spans="1:25" ht="15.75" customHeight="1">
      <c r="A390" s="5" t="s">
        <v>951</v>
      </c>
      <c r="B390" s="6">
        <v>58</v>
      </c>
      <c r="C390" s="5" t="s">
        <v>47</v>
      </c>
      <c r="D390" s="7">
        <v>45058</v>
      </c>
      <c r="E390" s="7"/>
      <c r="F390" s="7">
        <v>45272</v>
      </c>
      <c r="G390" s="6">
        <v>7</v>
      </c>
      <c r="H390" s="5" t="s">
        <v>58</v>
      </c>
      <c r="I390" s="6">
        <v>5</v>
      </c>
      <c r="J390" s="5" t="s">
        <v>52</v>
      </c>
      <c r="K390" s="6">
        <v>10912</v>
      </c>
      <c r="L390" s="5" t="s">
        <v>26</v>
      </c>
      <c r="M390" s="5" t="s">
        <v>66</v>
      </c>
      <c r="N390" s="5" t="s">
        <v>47</v>
      </c>
      <c r="O390" s="6" t="s">
        <v>277</v>
      </c>
      <c r="P390" s="7">
        <v>44938.333333333336</v>
      </c>
      <c r="Q390" s="5" t="s">
        <v>48</v>
      </c>
      <c r="R390" s="5" t="s">
        <v>32</v>
      </c>
      <c r="S390" s="5" t="s">
        <v>53</v>
      </c>
      <c r="T390" s="6">
        <v>10</v>
      </c>
      <c r="U390" s="6">
        <v>10</v>
      </c>
      <c r="V390" s="5" t="s">
        <v>54</v>
      </c>
      <c r="W390" s="8"/>
      <c r="Y390">
        <f t="shared" si="9"/>
        <v>100</v>
      </c>
    </row>
    <row r="391" spans="1:25" ht="15.75" customHeight="1">
      <c r="A391" s="5" t="s">
        <v>952</v>
      </c>
      <c r="B391" s="6">
        <v>58</v>
      </c>
      <c r="C391" s="5" t="s">
        <v>51</v>
      </c>
      <c r="D391" s="6" t="s">
        <v>278</v>
      </c>
      <c r="E391" s="6"/>
      <c r="F391" s="7">
        <v>44969</v>
      </c>
      <c r="G391" s="6">
        <v>14</v>
      </c>
      <c r="H391" s="5" t="s">
        <v>73</v>
      </c>
      <c r="I391" s="6">
        <v>5</v>
      </c>
      <c r="J391" s="5" t="s">
        <v>89</v>
      </c>
      <c r="K391" s="6">
        <v>26514</v>
      </c>
      <c r="L391" s="5" t="s">
        <v>40</v>
      </c>
      <c r="M391" s="5" t="s">
        <v>66</v>
      </c>
      <c r="N391" s="5" t="s">
        <v>28</v>
      </c>
      <c r="O391" s="6" t="s">
        <v>469</v>
      </c>
      <c r="P391" s="6" t="s">
        <v>953</v>
      </c>
      <c r="Q391" s="5" t="s">
        <v>48</v>
      </c>
      <c r="R391" s="5" t="s">
        <v>32</v>
      </c>
      <c r="S391" s="5" t="s">
        <v>33</v>
      </c>
      <c r="T391" s="6">
        <v>9</v>
      </c>
      <c r="U391" s="6">
        <v>10</v>
      </c>
      <c r="V391" s="5" t="s">
        <v>92</v>
      </c>
      <c r="W391" s="8"/>
      <c r="Y391">
        <f t="shared" si="9"/>
        <v>90</v>
      </c>
    </row>
    <row r="392" spans="1:25" ht="15.75" customHeight="1">
      <c r="A392" s="5" t="s">
        <v>954</v>
      </c>
      <c r="B392" s="6">
        <v>86</v>
      </c>
      <c r="C392" s="5" t="s">
        <v>22</v>
      </c>
      <c r="D392" s="7">
        <v>45143</v>
      </c>
      <c r="E392" s="7"/>
      <c r="F392" s="6" t="s">
        <v>450</v>
      </c>
      <c r="G392" s="6">
        <v>12</v>
      </c>
      <c r="H392" s="5" t="s">
        <v>83</v>
      </c>
      <c r="I392" s="6">
        <v>1</v>
      </c>
      <c r="J392" s="5" t="s">
        <v>25</v>
      </c>
      <c r="K392" s="6">
        <v>26823</v>
      </c>
      <c r="L392" s="5" t="s">
        <v>65</v>
      </c>
      <c r="M392" s="5" t="s">
        <v>66</v>
      </c>
      <c r="N392" s="5" t="s">
        <v>28</v>
      </c>
      <c r="O392" s="7">
        <v>45021</v>
      </c>
      <c r="P392" s="7">
        <v>45021.375</v>
      </c>
      <c r="Q392" s="5" t="s">
        <v>43</v>
      </c>
      <c r="R392" s="5" t="s">
        <v>32</v>
      </c>
      <c r="S392" s="5" t="s">
        <v>53</v>
      </c>
      <c r="T392" s="6">
        <v>7</v>
      </c>
      <c r="U392" s="6">
        <v>8</v>
      </c>
      <c r="V392" s="5" t="s">
        <v>92</v>
      </c>
      <c r="W392" s="8"/>
      <c r="Y392">
        <f t="shared" si="9"/>
        <v>87.5</v>
      </c>
    </row>
    <row r="393" spans="1:25" ht="15.75" customHeight="1">
      <c r="A393" s="5" t="s">
        <v>955</v>
      </c>
      <c r="B393" s="6">
        <v>49</v>
      </c>
      <c r="C393" s="5" t="s">
        <v>36</v>
      </c>
      <c r="D393" s="7">
        <v>45027</v>
      </c>
      <c r="E393" s="7"/>
      <c r="F393" s="7">
        <v>45057</v>
      </c>
      <c r="G393" s="6">
        <v>1</v>
      </c>
      <c r="H393" s="5" t="s">
        <v>58</v>
      </c>
      <c r="I393" s="6">
        <v>5</v>
      </c>
      <c r="J393" s="5" t="s">
        <v>39</v>
      </c>
      <c r="K393" s="6">
        <v>33797</v>
      </c>
      <c r="L393" s="5" t="s">
        <v>40</v>
      </c>
      <c r="M393" s="5" t="s">
        <v>66</v>
      </c>
      <c r="N393" s="5" t="s">
        <v>28</v>
      </c>
      <c r="O393" s="7">
        <v>44937</v>
      </c>
      <c r="P393" s="7">
        <v>44937.5</v>
      </c>
      <c r="Q393" s="5" t="s">
        <v>69</v>
      </c>
      <c r="R393" s="5" t="s">
        <v>32</v>
      </c>
      <c r="S393" s="5" t="s">
        <v>53</v>
      </c>
      <c r="T393" s="6">
        <v>6</v>
      </c>
      <c r="U393" s="6">
        <v>12</v>
      </c>
      <c r="V393" s="5" t="s">
        <v>34</v>
      </c>
      <c r="W393" s="8"/>
      <c r="Y393">
        <f t="shared" si="9"/>
        <v>50</v>
      </c>
    </row>
    <row r="394" spans="1:25" ht="15.75" customHeight="1">
      <c r="A394" s="5" t="s">
        <v>956</v>
      </c>
      <c r="B394" s="6">
        <v>52</v>
      </c>
      <c r="C394" s="5" t="s">
        <v>47</v>
      </c>
      <c r="D394" s="7">
        <v>45357</v>
      </c>
      <c r="E394" s="7"/>
      <c r="F394" s="7">
        <v>45571</v>
      </c>
      <c r="G394" s="6">
        <v>7</v>
      </c>
      <c r="H394" s="5" t="s">
        <v>58</v>
      </c>
      <c r="I394" s="6">
        <v>4</v>
      </c>
      <c r="J394" s="5" t="s">
        <v>39</v>
      </c>
      <c r="K394" s="6">
        <v>11449</v>
      </c>
      <c r="L394" s="5" t="s">
        <v>26</v>
      </c>
      <c r="M394" s="5" t="s">
        <v>66</v>
      </c>
      <c r="N394" s="5" t="s">
        <v>28</v>
      </c>
      <c r="O394" s="7">
        <v>45328</v>
      </c>
      <c r="P394" s="7">
        <v>45328.875</v>
      </c>
      <c r="Q394" s="5" t="s">
        <v>69</v>
      </c>
      <c r="R394" s="5" t="s">
        <v>32</v>
      </c>
      <c r="S394" s="5" t="s">
        <v>53</v>
      </c>
      <c r="T394" s="6">
        <v>11</v>
      </c>
      <c r="U394" s="6">
        <v>8</v>
      </c>
      <c r="V394" s="5" t="s">
        <v>92</v>
      </c>
      <c r="W394" s="8"/>
      <c r="Y394">
        <f t="shared" si="9"/>
        <v>137.5</v>
      </c>
    </row>
    <row r="395" spans="1:25" ht="15.75" customHeight="1">
      <c r="A395" s="5" t="s">
        <v>957</v>
      </c>
      <c r="B395" s="6">
        <v>42</v>
      </c>
      <c r="C395" s="5" t="s">
        <v>51</v>
      </c>
      <c r="D395" s="6" t="s">
        <v>917</v>
      </c>
      <c r="E395" s="6"/>
      <c r="F395" s="6" t="s">
        <v>399</v>
      </c>
      <c r="G395" s="6">
        <v>1</v>
      </c>
      <c r="H395" s="5" t="s">
        <v>83</v>
      </c>
      <c r="I395" s="6">
        <v>5</v>
      </c>
      <c r="J395" s="5" t="s">
        <v>97</v>
      </c>
      <c r="K395" s="6">
        <v>6725</v>
      </c>
      <c r="L395" s="5" t="s">
        <v>80</v>
      </c>
      <c r="M395" s="5" t="s">
        <v>27</v>
      </c>
      <c r="N395" s="5" t="s">
        <v>28</v>
      </c>
      <c r="O395" s="7">
        <v>45271</v>
      </c>
      <c r="P395" s="6" t="s">
        <v>958</v>
      </c>
      <c r="Q395" s="5" t="s">
        <v>69</v>
      </c>
      <c r="R395" s="5" t="s">
        <v>32</v>
      </c>
      <c r="S395" s="5" t="s">
        <v>53</v>
      </c>
      <c r="T395" s="6">
        <v>5</v>
      </c>
      <c r="U395" s="6">
        <v>8</v>
      </c>
      <c r="V395" s="5" t="s">
        <v>54</v>
      </c>
      <c r="W395" s="8"/>
      <c r="Y395">
        <f t="shared" si="9"/>
        <v>62.5</v>
      </c>
    </row>
    <row r="396" spans="1:25" ht="15.75" customHeight="1">
      <c r="A396" s="5" t="s">
        <v>959</v>
      </c>
      <c r="B396" s="6">
        <v>70</v>
      </c>
      <c r="C396" s="5" t="s">
        <v>62</v>
      </c>
      <c r="D396" s="6" t="s">
        <v>554</v>
      </c>
      <c r="E396" s="6"/>
      <c r="F396" s="7">
        <v>45325</v>
      </c>
      <c r="G396" s="6">
        <v>8</v>
      </c>
      <c r="H396" s="5" t="s">
        <v>38</v>
      </c>
      <c r="I396" s="6">
        <v>1</v>
      </c>
      <c r="J396" s="5" t="s">
        <v>89</v>
      </c>
      <c r="K396" s="6">
        <v>20870</v>
      </c>
      <c r="L396" s="5" t="s">
        <v>40</v>
      </c>
      <c r="M396" s="5" t="s">
        <v>66</v>
      </c>
      <c r="N396" s="5" t="s">
        <v>28</v>
      </c>
      <c r="O396" s="6" t="s">
        <v>537</v>
      </c>
      <c r="P396" s="6" t="s">
        <v>960</v>
      </c>
      <c r="Q396" s="5" t="s">
        <v>86</v>
      </c>
      <c r="R396" s="5" t="s">
        <v>32</v>
      </c>
      <c r="S396" s="5" t="s">
        <v>53</v>
      </c>
      <c r="T396" s="6">
        <v>11</v>
      </c>
      <c r="U396" s="6">
        <v>12</v>
      </c>
      <c r="V396" s="5" t="s">
        <v>92</v>
      </c>
      <c r="W396" s="8"/>
      <c r="Y396">
        <f t="shared" si="9"/>
        <v>91.666666666666657</v>
      </c>
    </row>
    <row r="397" spans="1:25" ht="15.75" customHeight="1">
      <c r="A397" s="5" t="s">
        <v>961</v>
      </c>
      <c r="B397" s="6">
        <v>15</v>
      </c>
      <c r="C397" s="5" t="s">
        <v>22</v>
      </c>
      <c r="D397" s="7">
        <v>44938</v>
      </c>
      <c r="E397" s="7"/>
      <c r="F397" s="6" t="s">
        <v>962</v>
      </c>
      <c r="G397" s="6">
        <v>15</v>
      </c>
      <c r="H397" s="5" t="s">
        <v>58</v>
      </c>
      <c r="I397" s="6">
        <v>1</v>
      </c>
      <c r="J397" s="5" t="s">
        <v>89</v>
      </c>
      <c r="K397" s="6">
        <v>14304</v>
      </c>
      <c r="L397" s="5" t="s">
        <v>90</v>
      </c>
      <c r="M397" s="5" t="s">
        <v>66</v>
      </c>
      <c r="N397" s="5" t="s">
        <v>28</v>
      </c>
      <c r="O397" s="6" t="s">
        <v>470</v>
      </c>
      <c r="P397" s="6" t="s">
        <v>963</v>
      </c>
      <c r="Q397" s="5" t="s">
        <v>69</v>
      </c>
      <c r="R397" s="5" t="s">
        <v>32</v>
      </c>
      <c r="S397" s="5" t="s">
        <v>53</v>
      </c>
      <c r="T397" s="6">
        <v>9</v>
      </c>
      <c r="U397" s="6">
        <v>12</v>
      </c>
      <c r="V397" s="5" t="s">
        <v>34</v>
      </c>
      <c r="W397" s="8"/>
      <c r="Y397">
        <f t="shared" si="9"/>
        <v>75</v>
      </c>
    </row>
    <row r="398" spans="1:25" ht="15.75" customHeight="1">
      <c r="A398" s="5" t="s">
        <v>964</v>
      </c>
      <c r="B398" s="6">
        <v>54</v>
      </c>
      <c r="C398" s="5" t="s">
        <v>36</v>
      </c>
      <c r="D398" s="6" t="s">
        <v>565</v>
      </c>
      <c r="E398" s="6"/>
      <c r="F398" s="6" t="s">
        <v>282</v>
      </c>
      <c r="G398" s="6">
        <v>2</v>
      </c>
      <c r="H398" s="5" t="s">
        <v>46</v>
      </c>
      <c r="I398" s="6">
        <v>1</v>
      </c>
      <c r="J398" s="5" t="s">
        <v>39</v>
      </c>
      <c r="K398" s="6">
        <v>12522</v>
      </c>
      <c r="L398" s="5" t="s">
        <v>65</v>
      </c>
      <c r="M398" s="5" t="s">
        <v>66</v>
      </c>
      <c r="N398" s="5" t="s">
        <v>28</v>
      </c>
      <c r="O398" s="6" t="s">
        <v>281</v>
      </c>
      <c r="P398" s="6" t="s">
        <v>965</v>
      </c>
      <c r="Q398" s="5" t="s">
        <v>43</v>
      </c>
      <c r="R398" s="5" t="s">
        <v>32</v>
      </c>
      <c r="S398" s="5" t="s">
        <v>33</v>
      </c>
      <c r="T398" s="6">
        <v>9</v>
      </c>
      <c r="U398" s="6">
        <v>12</v>
      </c>
      <c r="V398" s="5" t="s">
        <v>54</v>
      </c>
      <c r="W398" s="8"/>
      <c r="Y398">
        <f t="shared" si="9"/>
        <v>75</v>
      </c>
    </row>
    <row r="399" spans="1:25" ht="15.75" customHeight="1">
      <c r="A399" s="5" t="s">
        <v>966</v>
      </c>
      <c r="B399" s="6">
        <v>60</v>
      </c>
      <c r="C399" s="5" t="s">
        <v>22</v>
      </c>
      <c r="D399" s="6" t="s">
        <v>650</v>
      </c>
      <c r="E399" s="6"/>
      <c r="F399" s="6" t="s">
        <v>917</v>
      </c>
      <c r="G399" s="6">
        <v>14</v>
      </c>
      <c r="H399" s="5" t="s">
        <v>83</v>
      </c>
      <c r="I399" s="6">
        <v>1</v>
      </c>
      <c r="J399" s="5" t="s">
        <v>52</v>
      </c>
      <c r="K399" s="6">
        <v>18663</v>
      </c>
      <c r="L399" s="5" t="s">
        <v>65</v>
      </c>
      <c r="M399" s="5" t="s">
        <v>66</v>
      </c>
      <c r="N399" s="5" t="s">
        <v>47</v>
      </c>
      <c r="O399" s="6" t="s">
        <v>400</v>
      </c>
      <c r="P399" s="6" t="s">
        <v>967</v>
      </c>
      <c r="Q399" s="5" t="s">
        <v>86</v>
      </c>
      <c r="R399" s="5" t="s">
        <v>44</v>
      </c>
      <c r="S399" s="5" t="s">
        <v>33</v>
      </c>
      <c r="T399" s="6">
        <v>9</v>
      </c>
      <c r="U399" s="6">
        <v>10</v>
      </c>
      <c r="V399" s="5" t="s">
        <v>54</v>
      </c>
      <c r="W399" s="8"/>
      <c r="Y399">
        <f t="shared" si="9"/>
        <v>90</v>
      </c>
    </row>
    <row r="400" spans="1:25" ht="15.75" customHeight="1">
      <c r="A400" s="5" t="s">
        <v>968</v>
      </c>
      <c r="B400" s="6">
        <v>8</v>
      </c>
      <c r="C400" s="5" t="s">
        <v>62</v>
      </c>
      <c r="D400" s="7">
        <v>45235</v>
      </c>
      <c r="E400" s="7"/>
      <c r="F400" s="6" t="s">
        <v>716</v>
      </c>
      <c r="G400" s="6">
        <v>6</v>
      </c>
      <c r="H400" s="5" t="s">
        <v>58</v>
      </c>
      <c r="I400" s="6">
        <v>3</v>
      </c>
      <c r="J400" s="5" t="s">
        <v>25</v>
      </c>
      <c r="K400" s="6">
        <v>9784</v>
      </c>
      <c r="L400" s="5" t="s">
        <v>90</v>
      </c>
      <c r="M400" s="5" t="s">
        <v>27</v>
      </c>
      <c r="N400" s="5" t="s">
        <v>47</v>
      </c>
      <c r="O400" s="7">
        <v>45174</v>
      </c>
      <c r="P400" s="7">
        <v>45204.333333333336</v>
      </c>
      <c r="Q400" s="5" t="s">
        <v>69</v>
      </c>
      <c r="R400" s="5" t="s">
        <v>32</v>
      </c>
      <c r="S400" s="5" t="s">
        <v>49</v>
      </c>
      <c r="T400" s="6">
        <v>10</v>
      </c>
      <c r="U400" s="6">
        <v>8</v>
      </c>
      <c r="V400" s="5" t="s">
        <v>54</v>
      </c>
      <c r="W400" s="8"/>
      <c r="Y400">
        <f t="shared" si="9"/>
        <v>125</v>
      </c>
    </row>
    <row r="401" spans="1:25" ht="15.75" customHeight="1">
      <c r="A401" s="5" t="s">
        <v>969</v>
      </c>
      <c r="B401" s="6">
        <v>53</v>
      </c>
      <c r="C401" s="5" t="s">
        <v>36</v>
      </c>
      <c r="D401" s="6" t="s">
        <v>187</v>
      </c>
      <c r="E401" s="6"/>
      <c r="F401" s="6" t="s">
        <v>777</v>
      </c>
      <c r="G401" s="6">
        <v>10</v>
      </c>
      <c r="H401" s="5" t="s">
        <v>73</v>
      </c>
      <c r="I401" s="6">
        <v>5</v>
      </c>
      <c r="J401" s="5" t="s">
        <v>52</v>
      </c>
      <c r="K401" s="6">
        <v>14472</v>
      </c>
      <c r="L401" s="5" t="s">
        <v>90</v>
      </c>
      <c r="M401" s="5" t="s">
        <v>66</v>
      </c>
      <c r="N401" s="5" t="s">
        <v>28</v>
      </c>
      <c r="O401" s="6" t="s">
        <v>541</v>
      </c>
      <c r="P401" s="6" t="s">
        <v>970</v>
      </c>
      <c r="Q401" s="5" t="s">
        <v>86</v>
      </c>
      <c r="R401" s="5" t="s">
        <v>32</v>
      </c>
      <c r="S401" s="5" t="s">
        <v>53</v>
      </c>
      <c r="T401" s="6">
        <v>4</v>
      </c>
      <c r="U401" s="6">
        <v>10</v>
      </c>
      <c r="V401" s="5" t="s">
        <v>54</v>
      </c>
      <c r="W401" s="8"/>
      <c r="Y401">
        <f t="shared" si="9"/>
        <v>40</v>
      </c>
    </row>
    <row r="402" spans="1:25" ht="15.75" customHeight="1">
      <c r="A402" s="5" t="s">
        <v>971</v>
      </c>
      <c r="B402" s="6">
        <v>60</v>
      </c>
      <c r="C402" s="5" t="s">
        <v>22</v>
      </c>
      <c r="D402" s="7">
        <v>45446</v>
      </c>
      <c r="E402" s="7"/>
      <c r="F402" s="6" t="s">
        <v>805</v>
      </c>
      <c r="G402" s="6">
        <v>7</v>
      </c>
      <c r="H402" s="5" t="s">
        <v>24</v>
      </c>
      <c r="I402" s="6">
        <v>2</v>
      </c>
      <c r="J402" s="5" t="s">
        <v>52</v>
      </c>
      <c r="K402" s="6">
        <v>33952</v>
      </c>
      <c r="L402" s="5" t="s">
        <v>40</v>
      </c>
      <c r="M402" s="5" t="s">
        <v>27</v>
      </c>
      <c r="N402" s="5" t="s">
        <v>47</v>
      </c>
      <c r="O402" s="7">
        <v>45294</v>
      </c>
      <c r="P402" s="7">
        <v>45294.541666666664</v>
      </c>
      <c r="Q402" s="5" t="s">
        <v>43</v>
      </c>
      <c r="R402" s="5" t="s">
        <v>32</v>
      </c>
      <c r="S402" s="5" t="s">
        <v>33</v>
      </c>
      <c r="T402" s="6">
        <v>8</v>
      </c>
      <c r="U402" s="6">
        <v>12</v>
      </c>
      <c r="V402" s="5" t="s">
        <v>92</v>
      </c>
      <c r="W402" s="8"/>
      <c r="Y402">
        <f t="shared" si="9"/>
        <v>66.666666666666657</v>
      </c>
    </row>
    <row r="403" spans="1:25" ht="15.75" customHeight="1">
      <c r="A403" s="5" t="s">
        <v>972</v>
      </c>
      <c r="B403" s="6">
        <v>5</v>
      </c>
      <c r="C403" s="5" t="s">
        <v>82</v>
      </c>
      <c r="D403" s="6" t="s">
        <v>260</v>
      </c>
      <c r="E403" s="6"/>
      <c r="F403" s="7">
        <v>45353</v>
      </c>
      <c r="G403" s="6">
        <v>10</v>
      </c>
      <c r="H403" s="5" t="s">
        <v>46</v>
      </c>
      <c r="I403" s="6">
        <v>5</v>
      </c>
      <c r="J403" s="5" t="s">
        <v>39</v>
      </c>
      <c r="K403" s="6">
        <v>15055</v>
      </c>
      <c r="L403" s="5" t="s">
        <v>90</v>
      </c>
      <c r="M403" s="5" t="s">
        <v>66</v>
      </c>
      <c r="N403" s="5" t="s">
        <v>47</v>
      </c>
      <c r="O403" s="6" t="s">
        <v>174</v>
      </c>
      <c r="P403" s="6" t="s">
        <v>973</v>
      </c>
      <c r="Q403" s="5" t="s">
        <v>69</v>
      </c>
      <c r="R403" s="5" t="s">
        <v>32</v>
      </c>
      <c r="S403" s="5" t="s">
        <v>53</v>
      </c>
      <c r="T403" s="6">
        <v>6</v>
      </c>
      <c r="U403" s="6">
        <v>10</v>
      </c>
      <c r="V403" s="5" t="s">
        <v>34</v>
      </c>
      <c r="W403" s="8"/>
      <c r="Y403">
        <f t="shared" si="9"/>
        <v>60</v>
      </c>
    </row>
    <row r="404" spans="1:25" ht="15.75" customHeight="1">
      <c r="A404" s="5" t="s">
        <v>974</v>
      </c>
      <c r="B404" s="6">
        <v>68</v>
      </c>
      <c r="C404" s="5" t="s">
        <v>62</v>
      </c>
      <c r="D404" s="6" t="s">
        <v>252</v>
      </c>
      <c r="E404" s="6"/>
      <c r="F404" s="7">
        <v>45053</v>
      </c>
      <c r="G404" s="6">
        <v>7</v>
      </c>
      <c r="H404" s="5" t="s">
        <v>24</v>
      </c>
      <c r="I404" s="6">
        <v>3</v>
      </c>
      <c r="J404" s="5" t="s">
        <v>39</v>
      </c>
      <c r="K404" s="6">
        <v>34508</v>
      </c>
      <c r="L404" s="5" t="s">
        <v>80</v>
      </c>
      <c r="M404" s="5" t="s">
        <v>66</v>
      </c>
      <c r="N404" s="5" t="s">
        <v>28</v>
      </c>
      <c r="O404" s="6" t="s">
        <v>131</v>
      </c>
      <c r="P404" s="6" t="s">
        <v>975</v>
      </c>
      <c r="Q404" s="5" t="s">
        <v>31</v>
      </c>
      <c r="R404" s="5" t="s">
        <v>32</v>
      </c>
      <c r="S404" s="5" t="s">
        <v>53</v>
      </c>
      <c r="T404" s="6">
        <v>11</v>
      </c>
      <c r="U404" s="6">
        <v>12</v>
      </c>
      <c r="V404" s="5" t="s">
        <v>92</v>
      </c>
      <c r="W404" s="8"/>
      <c r="Y404">
        <f t="shared" si="9"/>
        <v>91.666666666666657</v>
      </c>
    </row>
    <row r="405" spans="1:25" ht="15.75" customHeight="1">
      <c r="A405" s="5" t="s">
        <v>976</v>
      </c>
      <c r="B405" s="6">
        <v>6</v>
      </c>
      <c r="C405" s="5" t="s">
        <v>62</v>
      </c>
      <c r="D405" s="7">
        <v>45057</v>
      </c>
      <c r="E405" s="7"/>
      <c r="F405" s="6" t="s">
        <v>708</v>
      </c>
      <c r="G405" s="6">
        <v>12</v>
      </c>
      <c r="H405" s="5" t="s">
        <v>24</v>
      </c>
      <c r="I405" s="6">
        <v>1</v>
      </c>
      <c r="J405" s="5" t="s">
        <v>39</v>
      </c>
      <c r="K405" s="6">
        <v>17676</v>
      </c>
      <c r="L405" s="5" t="s">
        <v>26</v>
      </c>
      <c r="M405" s="5" t="s">
        <v>27</v>
      </c>
      <c r="N405" s="5" t="s">
        <v>28</v>
      </c>
      <c r="O405" s="6" t="s">
        <v>649</v>
      </c>
      <c r="P405" s="7">
        <v>44937.375</v>
      </c>
      <c r="Q405" s="5" t="s">
        <v>43</v>
      </c>
      <c r="R405" s="5" t="s">
        <v>32</v>
      </c>
      <c r="S405" s="5" t="s">
        <v>33</v>
      </c>
      <c r="T405" s="6">
        <v>10</v>
      </c>
      <c r="U405" s="6">
        <v>12</v>
      </c>
      <c r="V405" s="5" t="s">
        <v>92</v>
      </c>
      <c r="W405" s="8"/>
      <c r="Y405">
        <f t="shared" si="9"/>
        <v>83.333333333333343</v>
      </c>
    </row>
    <row r="406" spans="1:25" ht="15.75" customHeight="1">
      <c r="A406" s="5" t="s">
        <v>977</v>
      </c>
      <c r="B406" s="6">
        <v>47</v>
      </c>
      <c r="C406" s="5" t="s">
        <v>62</v>
      </c>
      <c r="D406" s="6" t="s">
        <v>685</v>
      </c>
      <c r="E406" s="6"/>
      <c r="F406" s="7">
        <v>45325</v>
      </c>
      <c r="G406" s="6">
        <v>11</v>
      </c>
      <c r="H406" s="5" t="s">
        <v>58</v>
      </c>
      <c r="I406" s="6">
        <v>3</v>
      </c>
      <c r="J406" s="5" t="s">
        <v>97</v>
      </c>
      <c r="K406" s="6">
        <v>30192</v>
      </c>
      <c r="L406" s="5" t="s">
        <v>90</v>
      </c>
      <c r="M406" s="5" t="s">
        <v>66</v>
      </c>
      <c r="N406" s="5" t="s">
        <v>28</v>
      </c>
      <c r="O406" s="6" t="s">
        <v>565</v>
      </c>
      <c r="P406" s="6" t="s">
        <v>978</v>
      </c>
      <c r="Q406" s="5" t="s">
        <v>48</v>
      </c>
      <c r="R406" s="5" t="s">
        <v>32</v>
      </c>
      <c r="S406" s="5" t="s">
        <v>53</v>
      </c>
      <c r="T406" s="6">
        <v>11</v>
      </c>
      <c r="U406" s="6">
        <v>8</v>
      </c>
      <c r="V406" s="5" t="s">
        <v>54</v>
      </c>
      <c r="W406" s="8"/>
      <c r="Y406">
        <f t="shared" si="9"/>
        <v>137.5</v>
      </c>
    </row>
    <row r="407" spans="1:25" ht="15.75" customHeight="1">
      <c r="A407" s="5" t="s">
        <v>979</v>
      </c>
      <c r="B407" s="6">
        <v>55</v>
      </c>
      <c r="C407" s="5" t="s">
        <v>82</v>
      </c>
      <c r="D407" s="7">
        <v>44927</v>
      </c>
      <c r="E407" s="7"/>
      <c r="F407" s="7">
        <v>45139</v>
      </c>
      <c r="G407" s="6">
        <v>7</v>
      </c>
      <c r="H407" s="5" t="s">
        <v>46</v>
      </c>
      <c r="I407" s="6">
        <v>4</v>
      </c>
      <c r="J407" s="5" t="s">
        <v>52</v>
      </c>
      <c r="K407" s="6">
        <v>29722</v>
      </c>
      <c r="L407" s="5" t="s">
        <v>90</v>
      </c>
      <c r="M407" s="5" t="s">
        <v>66</v>
      </c>
      <c r="N407" s="5" t="s">
        <v>47</v>
      </c>
      <c r="O407" s="6" t="s">
        <v>980</v>
      </c>
      <c r="P407" s="6" t="s">
        <v>981</v>
      </c>
      <c r="Q407" s="5" t="s">
        <v>48</v>
      </c>
      <c r="R407" s="5" t="s">
        <v>32</v>
      </c>
      <c r="S407" s="5" t="s">
        <v>33</v>
      </c>
      <c r="T407" s="6">
        <v>5</v>
      </c>
      <c r="U407" s="6">
        <v>8</v>
      </c>
      <c r="V407" s="5" t="s">
        <v>34</v>
      </c>
      <c r="W407" s="8"/>
      <c r="Y407">
        <f t="shared" si="9"/>
        <v>62.5</v>
      </c>
    </row>
    <row r="408" spans="1:25" ht="15.75" customHeight="1">
      <c r="A408" s="5" t="s">
        <v>982</v>
      </c>
      <c r="B408" s="6">
        <v>40</v>
      </c>
      <c r="C408" s="5" t="s">
        <v>82</v>
      </c>
      <c r="D408" s="7">
        <v>45149</v>
      </c>
      <c r="E408" s="7"/>
      <c r="F408" s="6" t="s">
        <v>917</v>
      </c>
      <c r="G408" s="6">
        <v>5</v>
      </c>
      <c r="H408" s="5" t="s">
        <v>46</v>
      </c>
      <c r="I408" s="6">
        <v>4</v>
      </c>
      <c r="J408" s="5" t="s">
        <v>89</v>
      </c>
      <c r="K408" s="6">
        <v>12446</v>
      </c>
      <c r="L408" s="5" t="s">
        <v>80</v>
      </c>
      <c r="M408" s="5" t="s">
        <v>27</v>
      </c>
      <c r="N408" s="5" t="s">
        <v>47</v>
      </c>
      <c r="O408" s="7">
        <v>45057</v>
      </c>
      <c r="P408" s="7">
        <v>45088.125</v>
      </c>
      <c r="Q408" s="5" t="s">
        <v>43</v>
      </c>
      <c r="R408" s="5" t="s">
        <v>32</v>
      </c>
      <c r="S408" s="5" t="s">
        <v>33</v>
      </c>
      <c r="T408" s="6">
        <v>10</v>
      </c>
      <c r="U408" s="6">
        <v>8</v>
      </c>
      <c r="V408" s="5" t="s">
        <v>54</v>
      </c>
      <c r="W408" s="8"/>
      <c r="Y408">
        <f t="shared" si="9"/>
        <v>125</v>
      </c>
    </row>
    <row r="409" spans="1:25" ht="15.75" customHeight="1">
      <c r="A409" s="5" t="s">
        <v>983</v>
      </c>
      <c r="B409" s="6">
        <v>52</v>
      </c>
      <c r="C409" s="5" t="s">
        <v>51</v>
      </c>
      <c r="D409" s="6" t="s">
        <v>126</v>
      </c>
      <c r="E409" s="6"/>
      <c r="F409" s="6" t="s">
        <v>792</v>
      </c>
      <c r="G409" s="6">
        <v>2</v>
      </c>
      <c r="H409" s="5" t="s">
        <v>38</v>
      </c>
      <c r="I409" s="6">
        <v>5</v>
      </c>
      <c r="J409" s="5" t="s">
        <v>25</v>
      </c>
      <c r="K409" s="6">
        <v>9725</v>
      </c>
      <c r="L409" s="5" t="s">
        <v>65</v>
      </c>
      <c r="M409" s="5" t="s">
        <v>66</v>
      </c>
      <c r="N409" s="5" t="s">
        <v>47</v>
      </c>
      <c r="O409" s="6" t="s">
        <v>205</v>
      </c>
      <c r="P409" s="6" t="s">
        <v>984</v>
      </c>
      <c r="Q409" s="5" t="s">
        <v>48</v>
      </c>
      <c r="R409" s="5" t="s">
        <v>32</v>
      </c>
      <c r="S409" s="5" t="s">
        <v>49</v>
      </c>
      <c r="T409" s="6">
        <v>4</v>
      </c>
      <c r="U409" s="6">
        <v>10</v>
      </c>
      <c r="V409" s="5" t="s">
        <v>92</v>
      </c>
      <c r="W409" s="8"/>
      <c r="Y409">
        <f t="shared" si="9"/>
        <v>40</v>
      </c>
    </row>
    <row r="410" spans="1:25" ht="15.75" customHeight="1">
      <c r="A410" s="5" t="s">
        <v>985</v>
      </c>
      <c r="B410" s="6">
        <v>16</v>
      </c>
      <c r="C410" s="5" t="s">
        <v>47</v>
      </c>
      <c r="D410" s="7">
        <v>45024</v>
      </c>
      <c r="E410" s="7"/>
      <c r="F410" s="7">
        <v>45238</v>
      </c>
      <c r="G410" s="6">
        <v>7</v>
      </c>
      <c r="H410" s="5" t="s">
        <v>24</v>
      </c>
      <c r="I410" s="6">
        <v>5</v>
      </c>
      <c r="J410" s="5" t="s">
        <v>97</v>
      </c>
      <c r="K410" s="6">
        <v>25061</v>
      </c>
      <c r="L410" s="5" t="s">
        <v>65</v>
      </c>
      <c r="M410" s="5" t="s">
        <v>27</v>
      </c>
      <c r="N410" s="5" t="s">
        <v>28</v>
      </c>
      <c r="O410" s="6" t="s">
        <v>404</v>
      </c>
      <c r="P410" s="7">
        <v>44934.333333333336</v>
      </c>
      <c r="Q410" s="5" t="s">
        <v>43</v>
      </c>
      <c r="R410" s="5" t="s">
        <v>32</v>
      </c>
      <c r="S410" s="5" t="s">
        <v>49</v>
      </c>
      <c r="T410" s="6">
        <v>11</v>
      </c>
      <c r="U410" s="6">
        <v>8</v>
      </c>
      <c r="V410" s="5" t="s">
        <v>92</v>
      </c>
      <c r="W410" s="8"/>
      <c r="Y410">
        <f t="shared" si="9"/>
        <v>137.5</v>
      </c>
    </row>
    <row r="411" spans="1:25" ht="15.75" customHeight="1">
      <c r="A411" s="5" t="s">
        <v>986</v>
      </c>
      <c r="B411" s="6">
        <v>13</v>
      </c>
      <c r="C411" s="5" t="s">
        <v>22</v>
      </c>
      <c r="D411" s="6" t="s">
        <v>116</v>
      </c>
      <c r="E411" s="6"/>
      <c r="F411" s="6" t="s">
        <v>381</v>
      </c>
      <c r="G411" s="6">
        <v>1</v>
      </c>
      <c r="H411" s="5" t="s">
        <v>46</v>
      </c>
      <c r="I411" s="6">
        <v>2</v>
      </c>
      <c r="J411" s="5" t="s">
        <v>89</v>
      </c>
      <c r="K411" s="6">
        <v>27671</v>
      </c>
      <c r="L411" s="5" t="s">
        <v>40</v>
      </c>
      <c r="M411" s="5" t="s">
        <v>27</v>
      </c>
      <c r="N411" s="5" t="s">
        <v>28</v>
      </c>
      <c r="O411" s="7">
        <v>45599</v>
      </c>
      <c r="P411" s="7">
        <v>45629.125</v>
      </c>
      <c r="Q411" s="5" t="s">
        <v>31</v>
      </c>
      <c r="R411" s="5" t="s">
        <v>32</v>
      </c>
      <c r="S411" s="5" t="s">
        <v>49</v>
      </c>
      <c r="T411" s="6">
        <v>10</v>
      </c>
      <c r="U411" s="6">
        <v>12</v>
      </c>
      <c r="V411" s="5" t="s">
        <v>54</v>
      </c>
      <c r="W411" s="8"/>
      <c r="Y411">
        <f t="shared" si="9"/>
        <v>83.333333333333343</v>
      </c>
    </row>
    <row r="412" spans="1:25" ht="15.75" customHeight="1">
      <c r="A412" s="5" t="s">
        <v>987</v>
      </c>
      <c r="B412" s="6">
        <v>30</v>
      </c>
      <c r="C412" s="5" t="s">
        <v>51</v>
      </c>
      <c r="D412" s="6" t="s">
        <v>417</v>
      </c>
      <c r="E412" s="6"/>
      <c r="F412" s="7">
        <v>44969</v>
      </c>
      <c r="G412" s="6">
        <v>6</v>
      </c>
      <c r="H412" s="5" t="s">
        <v>38</v>
      </c>
      <c r="I412" s="6">
        <v>2</v>
      </c>
      <c r="J412" s="5" t="s">
        <v>52</v>
      </c>
      <c r="K412" s="6">
        <v>6409</v>
      </c>
      <c r="L412" s="5" t="s">
        <v>80</v>
      </c>
      <c r="M412" s="5" t="s">
        <v>66</v>
      </c>
      <c r="N412" s="5" t="s">
        <v>28</v>
      </c>
      <c r="O412" s="6" t="s">
        <v>657</v>
      </c>
      <c r="P412" s="6" t="s">
        <v>988</v>
      </c>
      <c r="Q412" s="5" t="s">
        <v>43</v>
      </c>
      <c r="R412" s="5" t="s">
        <v>32</v>
      </c>
      <c r="S412" s="5" t="s">
        <v>49</v>
      </c>
      <c r="T412" s="6">
        <v>10</v>
      </c>
      <c r="U412" s="6">
        <v>8</v>
      </c>
      <c r="V412" s="5" t="s">
        <v>92</v>
      </c>
      <c r="W412" s="8"/>
      <c r="Y412">
        <f t="shared" si="9"/>
        <v>125</v>
      </c>
    </row>
    <row r="413" spans="1:25" ht="15.75" customHeight="1">
      <c r="A413" s="5" t="s">
        <v>989</v>
      </c>
      <c r="B413" s="6">
        <v>19</v>
      </c>
      <c r="C413" s="5" t="s">
        <v>22</v>
      </c>
      <c r="D413" s="6" t="s">
        <v>171</v>
      </c>
      <c r="E413" s="6"/>
      <c r="F413" s="6" t="s">
        <v>358</v>
      </c>
      <c r="G413" s="6">
        <v>3</v>
      </c>
      <c r="H413" s="5" t="s">
        <v>83</v>
      </c>
      <c r="I413" s="6">
        <v>4</v>
      </c>
      <c r="J413" s="5" t="s">
        <v>39</v>
      </c>
      <c r="K413" s="6">
        <v>13205</v>
      </c>
      <c r="L413" s="5" t="s">
        <v>26</v>
      </c>
      <c r="M413" s="5" t="s">
        <v>66</v>
      </c>
      <c r="N413" s="5" t="s">
        <v>47</v>
      </c>
      <c r="O413" s="6" t="s">
        <v>360</v>
      </c>
      <c r="P413" s="6" t="s">
        <v>990</v>
      </c>
      <c r="Q413" s="5" t="s">
        <v>69</v>
      </c>
      <c r="R413" s="5" t="s">
        <v>32</v>
      </c>
      <c r="S413" s="5" t="s">
        <v>53</v>
      </c>
      <c r="T413" s="6">
        <v>7</v>
      </c>
      <c r="U413" s="6">
        <v>10</v>
      </c>
      <c r="V413" s="5" t="s">
        <v>92</v>
      </c>
      <c r="W413" s="8"/>
      <c r="Y413">
        <f t="shared" si="9"/>
        <v>70</v>
      </c>
    </row>
    <row r="414" spans="1:25" ht="15.75" customHeight="1">
      <c r="A414" s="5" t="s">
        <v>991</v>
      </c>
      <c r="B414" s="6">
        <v>17</v>
      </c>
      <c r="C414" s="5" t="s">
        <v>47</v>
      </c>
      <c r="D414" s="6" t="s">
        <v>547</v>
      </c>
      <c r="E414" s="6"/>
      <c r="F414" s="7">
        <v>45569</v>
      </c>
      <c r="G414" s="6">
        <v>13</v>
      </c>
      <c r="H414" s="5" t="s">
        <v>38</v>
      </c>
      <c r="I414" s="6">
        <v>1</v>
      </c>
      <c r="J414" s="5" t="s">
        <v>52</v>
      </c>
      <c r="K414" s="6">
        <v>21365</v>
      </c>
      <c r="L414" s="5" t="s">
        <v>26</v>
      </c>
      <c r="M414" s="5" t="s">
        <v>66</v>
      </c>
      <c r="N414" s="5" t="s">
        <v>28</v>
      </c>
      <c r="O414" s="6" t="s">
        <v>547</v>
      </c>
      <c r="P414" s="6" t="s">
        <v>992</v>
      </c>
      <c r="Q414" s="5" t="s">
        <v>69</v>
      </c>
      <c r="R414" s="5" t="s">
        <v>32</v>
      </c>
      <c r="S414" s="5" t="s">
        <v>53</v>
      </c>
      <c r="T414" s="6">
        <v>5</v>
      </c>
      <c r="U414" s="6">
        <v>8</v>
      </c>
      <c r="V414" s="5" t="s">
        <v>54</v>
      </c>
      <c r="W414" s="8"/>
      <c r="Y414">
        <f t="shared" si="9"/>
        <v>62.5</v>
      </c>
    </row>
    <row r="415" spans="1:25" ht="15.75" customHeight="1">
      <c r="A415" s="5" t="s">
        <v>993</v>
      </c>
      <c r="B415" s="6">
        <v>63</v>
      </c>
      <c r="C415" s="5" t="s">
        <v>82</v>
      </c>
      <c r="D415" s="6" t="s">
        <v>547</v>
      </c>
      <c r="E415" s="6"/>
      <c r="F415" s="7">
        <v>45477</v>
      </c>
      <c r="G415" s="6">
        <v>10</v>
      </c>
      <c r="H415" s="5" t="s">
        <v>73</v>
      </c>
      <c r="I415" s="6">
        <v>3</v>
      </c>
      <c r="J415" s="5" t="s">
        <v>25</v>
      </c>
      <c r="K415" s="6">
        <v>5256</v>
      </c>
      <c r="L415" s="5" t="s">
        <v>80</v>
      </c>
      <c r="M415" s="5" t="s">
        <v>66</v>
      </c>
      <c r="N415" s="5" t="s">
        <v>28</v>
      </c>
      <c r="O415" s="6" t="s">
        <v>477</v>
      </c>
      <c r="P415" s="6" t="s">
        <v>994</v>
      </c>
      <c r="Q415" s="5" t="s">
        <v>86</v>
      </c>
      <c r="R415" s="5" t="s">
        <v>32</v>
      </c>
      <c r="S415" s="5" t="s">
        <v>49</v>
      </c>
      <c r="T415" s="6">
        <v>9</v>
      </c>
      <c r="U415" s="6">
        <v>8</v>
      </c>
      <c r="V415" s="5" t="s">
        <v>92</v>
      </c>
      <c r="W415" s="8"/>
      <c r="Y415">
        <f t="shared" si="9"/>
        <v>112.5</v>
      </c>
    </row>
    <row r="416" spans="1:25" ht="15.75" customHeight="1">
      <c r="A416" s="5" t="s">
        <v>995</v>
      </c>
      <c r="B416" s="6">
        <v>19</v>
      </c>
      <c r="C416" s="5" t="s">
        <v>47</v>
      </c>
      <c r="D416" s="7">
        <v>45115</v>
      </c>
      <c r="E416" s="7"/>
      <c r="F416" s="6" t="s">
        <v>869</v>
      </c>
      <c r="G416" s="6">
        <v>8</v>
      </c>
      <c r="H416" s="5" t="s">
        <v>58</v>
      </c>
      <c r="I416" s="6">
        <v>2</v>
      </c>
      <c r="J416" s="5" t="s">
        <v>97</v>
      </c>
      <c r="K416" s="6">
        <v>20704</v>
      </c>
      <c r="L416" s="5" t="s">
        <v>26</v>
      </c>
      <c r="M416" s="5" t="s">
        <v>27</v>
      </c>
      <c r="N416" s="5" t="s">
        <v>28</v>
      </c>
      <c r="O416" s="7">
        <v>44965</v>
      </c>
      <c r="P416" s="7">
        <v>44965.25</v>
      </c>
      <c r="Q416" s="5" t="s">
        <v>48</v>
      </c>
      <c r="R416" s="5" t="s">
        <v>32</v>
      </c>
      <c r="S416" s="5" t="s">
        <v>33</v>
      </c>
      <c r="T416" s="6">
        <v>5</v>
      </c>
      <c r="U416" s="6">
        <v>8</v>
      </c>
      <c r="V416" s="5" t="s">
        <v>34</v>
      </c>
      <c r="W416" s="8"/>
      <c r="Y416">
        <f t="shared" si="9"/>
        <v>62.5</v>
      </c>
    </row>
    <row r="417" spans="1:25" ht="15.75" customHeight="1">
      <c r="A417" s="5" t="s">
        <v>996</v>
      </c>
      <c r="B417" s="6">
        <v>58</v>
      </c>
      <c r="C417" s="5" t="s">
        <v>82</v>
      </c>
      <c r="D417" s="7">
        <v>45479</v>
      </c>
      <c r="E417" s="7"/>
      <c r="F417" s="6" t="s">
        <v>997</v>
      </c>
      <c r="G417" s="6">
        <v>14</v>
      </c>
      <c r="H417" s="5" t="s">
        <v>83</v>
      </c>
      <c r="I417" s="6">
        <v>2</v>
      </c>
      <c r="J417" s="5" t="s">
        <v>97</v>
      </c>
      <c r="K417" s="6">
        <v>34902</v>
      </c>
      <c r="L417" s="5" t="s">
        <v>65</v>
      </c>
      <c r="M417" s="5" t="s">
        <v>27</v>
      </c>
      <c r="N417" s="5" t="s">
        <v>28</v>
      </c>
      <c r="O417" s="7">
        <v>45357</v>
      </c>
      <c r="P417" s="7">
        <v>45388.541666666664</v>
      </c>
      <c r="Q417" s="5" t="s">
        <v>48</v>
      </c>
      <c r="R417" s="5" t="s">
        <v>32</v>
      </c>
      <c r="S417" s="5" t="s">
        <v>33</v>
      </c>
      <c r="T417" s="6">
        <v>5</v>
      </c>
      <c r="U417" s="6">
        <v>10</v>
      </c>
      <c r="V417" s="5" t="s">
        <v>54</v>
      </c>
      <c r="W417" s="8"/>
      <c r="Y417">
        <f t="shared" si="9"/>
        <v>50</v>
      </c>
    </row>
    <row r="418" spans="1:25" ht="15.75" customHeight="1">
      <c r="A418" s="5" t="s">
        <v>998</v>
      </c>
      <c r="B418" s="6">
        <v>55</v>
      </c>
      <c r="C418" s="5" t="s">
        <v>47</v>
      </c>
      <c r="D418" s="6" t="s">
        <v>530</v>
      </c>
      <c r="E418" s="6"/>
      <c r="F418" s="7">
        <v>45601</v>
      </c>
      <c r="G418" s="6">
        <v>12</v>
      </c>
      <c r="H418" s="5" t="s">
        <v>83</v>
      </c>
      <c r="I418" s="6">
        <v>1</v>
      </c>
      <c r="J418" s="5" t="s">
        <v>25</v>
      </c>
      <c r="K418" s="6">
        <v>40758</v>
      </c>
      <c r="L418" s="5" t="s">
        <v>26</v>
      </c>
      <c r="M418" s="5" t="s">
        <v>66</v>
      </c>
      <c r="N418" s="5" t="s">
        <v>28</v>
      </c>
      <c r="O418" s="6" t="s">
        <v>531</v>
      </c>
      <c r="P418" s="6" t="s">
        <v>999</v>
      </c>
      <c r="Q418" s="5" t="s">
        <v>43</v>
      </c>
      <c r="R418" s="5" t="s">
        <v>32</v>
      </c>
      <c r="S418" s="5" t="s">
        <v>33</v>
      </c>
      <c r="T418" s="6">
        <v>7</v>
      </c>
      <c r="U418" s="6">
        <v>12</v>
      </c>
      <c r="V418" s="5" t="s">
        <v>34</v>
      </c>
      <c r="W418" s="8"/>
      <c r="Y418">
        <f t="shared" si="9"/>
        <v>58.333333333333336</v>
      </c>
    </row>
    <row r="419" spans="1:25" ht="15.75" customHeight="1">
      <c r="A419" s="5" t="s">
        <v>1000</v>
      </c>
      <c r="B419" s="6">
        <v>62</v>
      </c>
      <c r="C419" s="5" t="s">
        <v>51</v>
      </c>
      <c r="D419" s="6" t="s">
        <v>131</v>
      </c>
      <c r="E419" s="6"/>
      <c r="F419" s="7">
        <v>45145</v>
      </c>
      <c r="G419" s="6">
        <v>15</v>
      </c>
      <c r="H419" s="5" t="s">
        <v>73</v>
      </c>
      <c r="I419" s="6">
        <v>1</v>
      </c>
      <c r="J419" s="5" t="s">
        <v>89</v>
      </c>
      <c r="K419" s="6">
        <v>6195</v>
      </c>
      <c r="L419" s="5" t="s">
        <v>26</v>
      </c>
      <c r="M419" s="5" t="s">
        <v>66</v>
      </c>
      <c r="N419" s="5" t="s">
        <v>47</v>
      </c>
      <c r="O419" s="6" t="s">
        <v>246</v>
      </c>
      <c r="P419" s="6" t="s">
        <v>1001</v>
      </c>
      <c r="Q419" s="5" t="s">
        <v>48</v>
      </c>
      <c r="R419" s="5" t="s">
        <v>32</v>
      </c>
      <c r="S419" s="5" t="s">
        <v>33</v>
      </c>
      <c r="T419" s="6">
        <v>8</v>
      </c>
      <c r="U419" s="6">
        <v>12</v>
      </c>
      <c r="V419" s="5" t="s">
        <v>92</v>
      </c>
      <c r="W419" s="8"/>
      <c r="Y419">
        <f t="shared" si="9"/>
        <v>66.666666666666657</v>
      </c>
    </row>
    <row r="420" spans="1:25" ht="15.75" customHeight="1">
      <c r="A420" s="5" t="s">
        <v>1002</v>
      </c>
      <c r="B420" s="6">
        <v>23</v>
      </c>
      <c r="C420" s="5" t="s">
        <v>36</v>
      </c>
      <c r="D420" s="6" t="s">
        <v>694</v>
      </c>
      <c r="E420" s="6"/>
      <c r="F420" s="7">
        <v>44989</v>
      </c>
      <c r="G420" s="6">
        <v>6</v>
      </c>
      <c r="H420" s="5" t="s">
        <v>38</v>
      </c>
      <c r="I420" s="6">
        <v>5</v>
      </c>
      <c r="J420" s="5" t="s">
        <v>89</v>
      </c>
      <c r="K420" s="6">
        <v>39012</v>
      </c>
      <c r="L420" s="5" t="s">
        <v>80</v>
      </c>
      <c r="M420" s="5" t="s">
        <v>66</v>
      </c>
      <c r="N420" s="5" t="s">
        <v>47</v>
      </c>
      <c r="O420" s="6" t="s">
        <v>242</v>
      </c>
      <c r="P420" s="6" t="s">
        <v>1003</v>
      </c>
      <c r="Q420" s="5" t="s">
        <v>69</v>
      </c>
      <c r="R420" s="5" t="s">
        <v>32</v>
      </c>
      <c r="S420" s="5" t="s">
        <v>53</v>
      </c>
      <c r="T420" s="6">
        <v>10</v>
      </c>
      <c r="U420" s="6">
        <v>12</v>
      </c>
      <c r="V420" s="5" t="s">
        <v>92</v>
      </c>
      <c r="W420" s="8"/>
      <c r="Y420">
        <f t="shared" si="9"/>
        <v>83.333333333333343</v>
      </c>
    </row>
    <row r="421" spans="1:25" ht="15.75" customHeight="1">
      <c r="A421" s="5" t="s">
        <v>1004</v>
      </c>
      <c r="B421" s="6">
        <v>9</v>
      </c>
      <c r="C421" s="5" t="s">
        <v>51</v>
      </c>
      <c r="D421" s="6" t="s">
        <v>520</v>
      </c>
      <c r="E421" s="6"/>
      <c r="F421" s="6" t="s">
        <v>640</v>
      </c>
      <c r="G421" s="6">
        <v>2</v>
      </c>
      <c r="H421" s="5" t="s">
        <v>58</v>
      </c>
      <c r="I421" s="6">
        <v>3</v>
      </c>
      <c r="J421" s="5" t="s">
        <v>97</v>
      </c>
      <c r="K421" s="6">
        <v>16415</v>
      </c>
      <c r="L421" s="5" t="s">
        <v>80</v>
      </c>
      <c r="M421" s="5" t="s">
        <v>66</v>
      </c>
      <c r="N421" s="5" t="s">
        <v>28</v>
      </c>
      <c r="O421" s="6" t="s">
        <v>1005</v>
      </c>
      <c r="P421" s="6" t="s">
        <v>1006</v>
      </c>
      <c r="Q421" s="5" t="s">
        <v>31</v>
      </c>
      <c r="R421" s="5" t="s">
        <v>32</v>
      </c>
      <c r="S421" s="5" t="s">
        <v>33</v>
      </c>
      <c r="T421" s="6">
        <v>6</v>
      </c>
      <c r="U421" s="6">
        <v>8</v>
      </c>
      <c r="V421" s="5" t="s">
        <v>54</v>
      </c>
      <c r="W421" s="8"/>
      <c r="Y421">
        <f t="shared" si="9"/>
        <v>75</v>
      </c>
    </row>
    <row r="422" spans="1:25" ht="15.75" customHeight="1">
      <c r="A422" s="5" t="s">
        <v>1007</v>
      </c>
      <c r="B422" s="6">
        <v>12</v>
      </c>
      <c r="C422" s="5" t="s">
        <v>22</v>
      </c>
      <c r="D422" s="7">
        <v>45602</v>
      </c>
      <c r="E422" s="7"/>
      <c r="F422" s="6" t="s">
        <v>1008</v>
      </c>
      <c r="G422" s="6">
        <v>7</v>
      </c>
      <c r="H422" s="5" t="s">
        <v>38</v>
      </c>
      <c r="I422" s="6">
        <v>1</v>
      </c>
      <c r="J422" s="5" t="s">
        <v>97</v>
      </c>
      <c r="K422" s="6">
        <v>44534</v>
      </c>
      <c r="L422" s="5" t="s">
        <v>26</v>
      </c>
      <c r="M422" s="5" t="s">
        <v>27</v>
      </c>
      <c r="N422" s="5" t="s">
        <v>47</v>
      </c>
      <c r="O422" s="7">
        <v>45541</v>
      </c>
      <c r="P422" s="7">
        <v>45541.75</v>
      </c>
      <c r="Q422" s="5" t="s">
        <v>43</v>
      </c>
      <c r="R422" s="5" t="s">
        <v>32</v>
      </c>
      <c r="S422" s="5" t="s">
        <v>33</v>
      </c>
      <c r="T422" s="6">
        <v>9</v>
      </c>
      <c r="U422" s="6">
        <v>8</v>
      </c>
      <c r="V422" s="5" t="s">
        <v>92</v>
      </c>
      <c r="W422" s="8"/>
      <c r="Y422">
        <f t="shared" si="9"/>
        <v>112.5</v>
      </c>
    </row>
    <row r="423" spans="1:25" ht="15.75" customHeight="1">
      <c r="A423" s="5" t="s">
        <v>1009</v>
      </c>
      <c r="B423" s="6">
        <v>1</v>
      </c>
      <c r="C423" s="5" t="s">
        <v>51</v>
      </c>
      <c r="D423" s="7">
        <v>45211</v>
      </c>
      <c r="E423" s="7"/>
      <c r="F423" s="6" t="s">
        <v>159</v>
      </c>
      <c r="G423" s="6">
        <v>14</v>
      </c>
      <c r="H423" s="5" t="s">
        <v>46</v>
      </c>
      <c r="I423" s="6">
        <v>2</v>
      </c>
      <c r="J423" s="5" t="s">
        <v>39</v>
      </c>
      <c r="K423" s="6">
        <v>26686</v>
      </c>
      <c r="L423" s="5" t="s">
        <v>90</v>
      </c>
      <c r="M423" s="5" t="s">
        <v>66</v>
      </c>
      <c r="N423" s="5" t="s">
        <v>47</v>
      </c>
      <c r="O423" s="7">
        <v>45211</v>
      </c>
      <c r="P423" s="7">
        <v>45211.625</v>
      </c>
      <c r="Q423" s="5" t="s">
        <v>48</v>
      </c>
      <c r="R423" s="5" t="s">
        <v>32</v>
      </c>
      <c r="S423" s="5" t="s">
        <v>49</v>
      </c>
      <c r="T423" s="6">
        <v>11</v>
      </c>
      <c r="U423" s="6">
        <v>10</v>
      </c>
      <c r="V423" s="5" t="s">
        <v>54</v>
      </c>
      <c r="W423" s="8"/>
      <c r="Y423">
        <f t="shared" si="9"/>
        <v>110.00000000000001</v>
      </c>
    </row>
    <row r="424" spans="1:25" ht="15.75" customHeight="1">
      <c r="A424" s="5" t="s">
        <v>1010</v>
      </c>
      <c r="B424" s="6">
        <v>58</v>
      </c>
      <c r="C424" s="5" t="s">
        <v>62</v>
      </c>
      <c r="D424" s="7">
        <v>45081</v>
      </c>
      <c r="E424" s="7"/>
      <c r="F424" s="7">
        <v>45142</v>
      </c>
      <c r="G424" s="6">
        <v>2</v>
      </c>
      <c r="H424" s="5" t="s">
        <v>38</v>
      </c>
      <c r="I424" s="6">
        <v>2</v>
      </c>
      <c r="J424" s="5" t="s">
        <v>89</v>
      </c>
      <c r="K424" s="6">
        <v>16662</v>
      </c>
      <c r="L424" s="5" t="s">
        <v>80</v>
      </c>
      <c r="M424" s="5" t="s">
        <v>27</v>
      </c>
      <c r="N424" s="5" t="s">
        <v>47</v>
      </c>
      <c r="O424" s="7">
        <v>45020</v>
      </c>
      <c r="P424" s="7">
        <v>45050.458333333336</v>
      </c>
      <c r="Q424" s="5" t="s">
        <v>69</v>
      </c>
      <c r="R424" s="5" t="s">
        <v>32</v>
      </c>
      <c r="S424" s="5" t="s">
        <v>33</v>
      </c>
      <c r="T424" s="6">
        <v>8</v>
      </c>
      <c r="U424" s="6">
        <v>12</v>
      </c>
      <c r="V424" s="5" t="s">
        <v>54</v>
      </c>
      <c r="W424" s="8"/>
      <c r="Y424">
        <f t="shared" si="9"/>
        <v>66.666666666666657</v>
      </c>
    </row>
    <row r="425" spans="1:25" ht="15.75" customHeight="1">
      <c r="A425" s="5" t="s">
        <v>1011</v>
      </c>
      <c r="B425" s="6">
        <v>1</v>
      </c>
      <c r="C425" s="5" t="s">
        <v>22</v>
      </c>
      <c r="D425" s="6" t="s">
        <v>516</v>
      </c>
      <c r="E425" s="6"/>
      <c r="F425" s="7">
        <v>44966</v>
      </c>
      <c r="G425" s="6">
        <v>4</v>
      </c>
      <c r="H425" s="5" t="s">
        <v>83</v>
      </c>
      <c r="I425" s="6">
        <v>4</v>
      </c>
      <c r="J425" s="5" t="s">
        <v>25</v>
      </c>
      <c r="K425" s="6">
        <v>33743</v>
      </c>
      <c r="L425" s="5" t="s">
        <v>40</v>
      </c>
      <c r="M425" s="5" t="s">
        <v>27</v>
      </c>
      <c r="N425" s="5" t="s">
        <v>47</v>
      </c>
      <c r="O425" s="6" t="s">
        <v>495</v>
      </c>
      <c r="P425" s="6" t="s">
        <v>1012</v>
      </c>
      <c r="Q425" s="5" t="s">
        <v>86</v>
      </c>
      <c r="R425" s="5" t="s">
        <v>32</v>
      </c>
      <c r="S425" s="5" t="s">
        <v>53</v>
      </c>
      <c r="T425" s="6">
        <v>4</v>
      </c>
      <c r="U425" s="6">
        <v>8</v>
      </c>
      <c r="V425" s="5" t="s">
        <v>54</v>
      </c>
      <c r="W425" s="8"/>
      <c r="Y425">
        <f t="shared" si="9"/>
        <v>50</v>
      </c>
    </row>
    <row r="426" spans="1:25" ht="15.75" customHeight="1">
      <c r="A426" s="5" t="s">
        <v>1013</v>
      </c>
      <c r="B426" s="6">
        <v>34</v>
      </c>
      <c r="C426" s="5" t="s">
        <v>47</v>
      </c>
      <c r="D426" s="6" t="s">
        <v>399</v>
      </c>
      <c r="E426" s="6"/>
      <c r="F426" s="6" t="s">
        <v>432</v>
      </c>
      <c r="G426" s="6">
        <v>7</v>
      </c>
      <c r="H426" s="5" t="s">
        <v>58</v>
      </c>
      <c r="I426" s="6">
        <v>1</v>
      </c>
      <c r="J426" s="5" t="s">
        <v>89</v>
      </c>
      <c r="K426" s="6">
        <v>37161</v>
      </c>
      <c r="L426" s="5" t="s">
        <v>40</v>
      </c>
      <c r="M426" s="5" t="s">
        <v>27</v>
      </c>
      <c r="N426" s="5" t="s">
        <v>28</v>
      </c>
      <c r="O426" s="6" t="s">
        <v>399</v>
      </c>
      <c r="P426" s="6" t="s">
        <v>1014</v>
      </c>
      <c r="Q426" s="5" t="s">
        <v>48</v>
      </c>
      <c r="R426" s="5" t="s">
        <v>32</v>
      </c>
      <c r="S426" s="5" t="s">
        <v>33</v>
      </c>
      <c r="T426" s="6">
        <v>10</v>
      </c>
      <c r="U426" s="6">
        <v>8</v>
      </c>
      <c r="V426" s="5" t="s">
        <v>54</v>
      </c>
      <c r="W426" s="8"/>
      <c r="Y426">
        <f t="shared" si="9"/>
        <v>125</v>
      </c>
    </row>
    <row r="427" spans="1:25" ht="15.75" customHeight="1">
      <c r="A427" s="5" t="s">
        <v>1015</v>
      </c>
      <c r="B427" s="6">
        <v>48</v>
      </c>
      <c r="C427" s="5" t="s">
        <v>22</v>
      </c>
      <c r="D427" s="6" t="s">
        <v>486</v>
      </c>
      <c r="E427" s="6"/>
      <c r="F427" s="6" t="s">
        <v>516</v>
      </c>
      <c r="G427" s="6">
        <v>10</v>
      </c>
      <c r="H427" s="5" t="s">
        <v>38</v>
      </c>
      <c r="I427" s="6">
        <v>5</v>
      </c>
      <c r="J427" s="5" t="s">
        <v>39</v>
      </c>
      <c r="K427" s="6">
        <v>48081</v>
      </c>
      <c r="L427" s="5" t="s">
        <v>65</v>
      </c>
      <c r="M427" s="5" t="s">
        <v>66</v>
      </c>
      <c r="N427" s="5" t="s">
        <v>28</v>
      </c>
      <c r="O427" s="6" t="s">
        <v>56</v>
      </c>
      <c r="P427" s="6" t="s">
        <v>1016</v>
      </c>
      <c r="Q427" s="5" t="s">
        <v>31</v>
      </c>
      <c r="R427" s="5" t="s">
        <v>32</v>
      </c>
      <c r="S427" s="5" t="s">
        <v>33</v>
      </c>
      <c r="T427" s="6">
        <v>9</v>
      </c>
      <c r="U427" s="6">
        <v>8</v>
      </c>
      <c r="V427" s="5" t="s">
        <v>54</v>
      </c>
      <c r="W427" s="8"/>
      <c r="Y427">
        <f t="shared" si="9"/>
        <v>112.5</v>
      </c>
    </row>
    <row r="428" spans="1:25" ht="15.75" customHeight="1">
      <c r="A428" s="5" t="s">
        <v>1017</v>
      </c>
      <c r="B428" s="6">
        <v>89</v>
      </c>
      <c r="C428" s="5" t="s">
        <v>36</v>
      </c>
      <c r="D428" s="6" t="s">
        <v>111</v>
      </c>
      <c r="E428" s="6"/>
      <c r="F428" s="6" t="s">
        <v>827</v>
      </c>
      <c r="G428" s="6">
        <v>7</v>
      </c>
      <c r="H428" s="5" t="s">
        <v>58</v>
      </c>
      <c r="I428" s="6">
        <v>3</v>
      </c>
      <c r="J428" s="5" t="s">
        <v>97</v>
      </c>
      <c r="K428" s="6">
        <v>7402</v>
      </c>
      <c r="L428" s="5" t="s">
        <v>26</v>
      </c>
      <c r="M428" s="5" t="s">
        <v>27</v>
      </c>
      <c r="N428" s="5" t="s">
        <v>28</v>
      </c>
      <c r="O428" s="6" t="s">
        <v>1018</v>
      </c>
      <c r="P428" s="6" t="s">
        <v>1019</v>
      </c>
      <c r="Q428" s="5" t="s">
        <v>31</v>
      </c>
      <c r="R428" s="5" t="s">
        <v>32</v>
      </c>
      <c r="S428" s="5" t="s">
        <v>53</v>
      </c>
      <c r="T428" s="6">
        <v>6</v>
      </c>
      <c r="U428" s="6">
        <v>10</v>
      </c>
      <c r="V428" s="5" t="s">
        <v>34</v>
      </c>
      <c r="W428" s="8"/>
      <c r="Y428">
        <f t="shared" si="9"/>
        <v>60</v>
      </c>
    </row>
    <row r="429" spans="1:25" ht="15.75" customHeight="1">
      <c r="A429" s="5" t="s">
        <v>1020</v>
      </c>
      <c r="B429" s="6">
        <v>1</v>
      </c>
      <c r="C429" s="5" t="s">
        <v>82</v>
      </c>
      <c r="D429" s="6" t="s">
        <v>581</v>
      </c>
      <c r="E429" s="6"/>
      <c r="F429" s="7">
        <v>45175</v>
      </c>
      <c r="G429" s="6">
        <v>9</v>
      </c>
      <c r="H429" s="5" t="s">
        <v>58</v>
      </c>
      <c r="I429" s="6">
        <v>5</v>
      </c>
      <c r="J429" s="5" t="s">
        <v>97</v>
      </c>
      <c r="K429" s="6">
        <v>18275</v>
      </c>
      <c r="L429" s="5" t="s">
        <v>90</v>
      </c>
      <c r="M429" s="5" t="s">
        <v>66</v>
      </c>
      <c r="N429" s="5" t="s">
        <v>28</v>
      </c>
      <c r="O429" s="6" t="s">
        <v>526</v>
      </c>
      <c r="P429" s="6" t="s">
        <v>1021</v>
      </c>
      <c r="Q429" s="5" t="s">
        <v>48</v>
      </c>
      <c r="R429" s="5" t="s">
        <v>32</v>
      </c>
      <c r="S429" s="5" t="s">
        <v>49</v>
      </c>
      <c r="T429" s="6">
        <v>10</v>
      </c>
      <c r="U429" s="6">
        <v>12</v>
      </c>
      <c r="V429" s="5" t="s">
        <v>54</v>
      </c>
      <c r="W429" s="8"/>
      <c r="Y429">
        <f t="shared" si="9"/>
        <v>83.333333333333343</v>
      </c>
    </row>
    <row r="430" spans="1:25" ht="15.75" customHeight="1">
      <c r="A430" s="5" t="s">
        <v>1022</v>
      </c>
      <c r="B430" s="6">
        <v>16</v>
      </c>
      <c r="C430" s="5" t="s">
        <v>47</v>
      </c>
      <c r="D430" s="6" t="s">
        <v>37</v>
      </c>
      <c r="E430" s="6"/>
      <c r="F430" s="6" t="s">
        <v>107</v>
      </c>
      <c r="G430" s="6">
        <v>2</v>
      </c>
      <c r="H430" s="5" t="s">
        <v>46</v>
      </c>
      <c r="I430" s="6">
        <v>2</v>
      </c>
      <c r="J430" s="5" t="s">
        <v>39</v>
      </c>
      <c r="K430" s="6">
        <v>33182</v>
      </c>
      <c r="L430" s="5" t="s">
        <v>65</v>
      </c>
      <c r="M430" s="5" t="s">
        <v>27</v>
      </c>
      <c r="N430" s="5" t="s">
        <v>28</v>
      </c>
      <c r="O430" s="6" t="s">
        <v>900</v>
      </c>
      <c r="P430" s="6" t="s">
        <v>1023</v>
      </c>
      <c r="Q430" s="5" t="s">
        <v>48</v>
      </c>
      <c r="R430" s="5" t="s">
        <v>32</v>
      </c>
      <c r="S430" s="5" t="s">
        <v>53</v>
      </c>
      <c r="T430" s="6">
        <v>4</v>
      </c>
      <c r="U430" s="6">
        <v>10</v>
      </c>
      <c r="V430" s="5" t="s">
        <v>34</v>
      </c>
      <c r="W430" s="8"/>
      <c r="Y430">
        <f t="shared" si="9"/>
        <v>40</v>
      </c>
    </row>
    <row r="431" spans="1:25" ht="15.75" customHeight="1">
      <c r="A431" s="5" t="s">
        <v>1024</v>
      </c>
      <c r="B431" s="6">
        <v>61</v>
      </c>
      <c r="C431" s="5" t="s">
        <v>22</v>
      </c>
      <c r="D431" s="6" t="s">
        <v>604</v>
      </c>
      <c r="E431" s="6"/>
      <c r="F431" s="6" t="s">
        <v>1025</v>
      </c>
      <c r="G431" s="6">
        <v>7</v>
      </c>
      <c r="H431" s="5" t="s">
        <v>46</v>
      </c>
      <c r="I431" s="6">
        <v>5</v>
      </c>
      <c r="J431" s="5" t="s">
        <v>25</v>
      </c>
      <c r="K431" s="6">
        <v>19915</v>
      </c>
      <c r="L431" s="5" t="s">
        <v>26</v>
      </c>
      <c r="M431" s="5" t="s">
        <v>66</v>
      </c>
      <c r="N431" s="5" t="s">
        <v>28</v>
      </c>
      <c r="O431" s="7">
        <v>45262</v>
      </c>
      <c r="P431" s="6" t="s">
        <v>1026</v>
      </c>
      <c r="Q431" s="5" t="s">
        <v>69</v>
      </c>
      <c r="R431" s="5" t="s">
        <v>32</v>
      </c>
      <c r="S431" s="5" t="s">
        <v>49</v>
      </c>
      <c r="T431" s="6">
        <v>7</v>
      </c>
      <c r="U431" s="6">
        <v>12</v>
      </c>
      <c r="V431" s="5" t="s">
        <v>92</v>
      </c>
      <c r="W431" s="8"/>
      <c r="Y431">
        <f t="shared" si="9"/>
        <v>58.333333333333336</v>
      </c>
    </row>
    <row r="432" spans="1:25" ht="15.75" customHeight="1">
      <c r="A432" s="5" t="s">
        <v>1027</v>
      </c>
      <c r="B432" s="6">
        <v>64</v>
      </c>
      <c r="C432" s="5" t="s">
        <v>47</v>
      </c>
      <c r="D432" s="7">
        <v>45147</v>
      </c>
      <c r="E432" s="7"/>
      <c r="F432" s="6" t="s">
        <v>799</v>
      </c>
      <c r="G432" s="6">
        <v>14</v>
      </c>
      <c r="H432" s="5" t="s">
        <v>83</v>
      </c>
      <c r="I432" s="6">
        <v>2</v>
      </c>
      <c r="J432" s="5" t="s">
        <v>97</v>
      </c>
      <c r="K432" s="6">
        <v>5909</v>
      </c>
      <c r="L432" s="5" t="s">
        <v>80</v>
      </c>
      <c r="M432" s="5" t="s">
        <v>66</v>
      </c>
      <c r="N432" s="5" t="s">
        <v>28</v>
      </c>
      <c r="O432" s="7">
        <v>45055</v>
      </c>
      <c r="P432" s="7">
        <v>45086.375</v>
      </c>
      <c r="Q432" s="5" t="s">
        <v>48</v>
      </c>
      <c r="R432" s="5" t="s">
        <v>32</v>
      </c>
      <c r="S432" s="5" t="s">
        <v>33</v>
      </c>
      <c r="T432" s="6">
        <v>8</v>
      </c>
      <c r="U432" s="6">
        <v>12</v>
      </c>
      <c r="V432" s="5" t="s">
        <v>54</v>
      </c>
      <c r="W432" s="8"/>
      <c r="Y432">
        <f t="shared" si="9"/>
        <v>66.666666666666657</v>
      </c>
    </row>
    <row r="433" spans="1:25" ht="15.75" customHeight="1">
      <c r="A433" s="5" t="s">
        <v>1028</v>
      </c>
      <c r="B433" s="6">
        <v>63</v>
      </c>
      <c r="C433" s="5" t="s">
        <v>47</v>
      </c>
      <c r="D433" s="7">
        <v>45296</v>
      </c>
      <c r="E433" s="7"/>
      <c r="F433" s="7">
        <v>45448</v>
      </c>
      <c r="G433" s="6">
        <v>5</v>
      </c>
      <c r="H433" s="5" t="s">
        <v>73</v>
      </c>
      <c r="I433" s="6">
        <v>2</v>
      </c>
      <c r="J433" s="5" t="s">
        <v>52</v>
      </c>
      <c r="K433" s="6">
        <v>5372</v>
      </c>
      <c r="L433" s="5" t="s">
        <v>40</v>
      </c>
      <c r="M433" s="5" t="s">
        <v>66</v>
      </c>
      <c r="N433" s="5" t="s">
        <v>28</v>
      </c>
      <c r="O433" s="6" t="s">
        <v>1029</v>
      </c>
      <c r="P433" s="6" t="s">
        <v>1030</v>
      </c>
      <c r="Q433" s="5" t="s">
        <v>86</v>
      </c>
      <c r="R433" s="5" t="s">
        <v>32</v>
      </c>
      <c r="S433" s="5" t="s">
        <v>49</v>
      </c>
      <c r="T433" s="6">
        <v>10</v>
      </c>
      <c r="U433" s="6">
        <v>8</v>
      </c>
      <c r="V433" s="5" t="s">
        <v>92</v>
      </c>
      <c r="W433" s="8"/>
      <c r="Y433">
        <f t="shared" si="9"/>
        <v>125</v>
      </c>
    </row>
    <row r="434" spans="1:25" ht="15.75" customHeight="1">
      <c r="A434" s="5" t="s">
        <v>1031</v>
      </c>
      <c r="B434" s="6">
        <v>69</v>
      </c>
      <c r="C434" s="5" t="s">
        <v>47</v>
      </c>
      <c r="D434" s="6" t="s">
        <v>681</v>
      </c>
      <c r="E434" s="6"/>
      <c r="F434" s="6" t="s">
        <v>694</v>
      </c>
      <c r="G434" s="6">
        <v>12</v>
      </c>
      <c r="H434" s="5" t="s">
        <v>58</v>
      </c>
      <c r="I434" s="6">
        <v>2</v>
      </c>
      <c r="J434" s="5" t="s">
        <v>97</v>
      </c>
      <c r="K434" s="6">
        <v>27620</v>
      </c>
      <c r="L434" s="5" t="s">
        <v>90</v>
      </c>
      <c r="M434" s="5" t="s">
        <v>66</v>
      </c>
      <c r="N434" s="5" t="s">
        <v>47</v>
      </c>
      <c r="O434" s="6" t="s">
        <v>193</v>
      </c>
      <c r="P434" s="6" t="s">
        <v>1032</v>
      </c>
      <c r="Q434" s="5" t="s">
        <v>69</v>
      </c>
      <c r="R434" s="5" t="s">
        <v>44</v>
      </c>
      <c r="S434" s="5" t="s">
        <v>49</v>
      </c>
      <c r="T434" s="6">
        <v>9</v>
      </c>
      <c r="U434" s="6">
        <v>8</v>
      </c>
      <c r="V434" s="5" t="s">
        <v>54</v>
      </c>
      <c r="W434" s="8"/>
      <c r="Y434">
        <f t="shared" si="9"/>
        <v>112.5</v>
      </c>
    </row>
    <row r="435" spans="1:25" ht="15.75" customHeight="1">
      <c r="A435" s="5" t="s">
        <v>1033</v>
      </c>
      <c r="B435" s="6">
        <v>22</v>
      </c>
      <c r="C435" s="5" t="s">
        <v>82</v>
      </c>
      <c r="D435" s="7">
        <v>45600</v>
      </c>
      <c r="E435" s="7"/>
      <c r="F435" s="6" t="s">
        <v>589</v>
      </c>
      <c r="G435" s="6">
        <v>6</v>
      </c>
      <c r="H435" s="5" t="s">
        <v>73</v>
      </c>
      <c r="I435" s="6">
        <v>2</v>
      </c>
      <c r="J435" s="5" t="s">
        <v>52</v>
      </c>
      <c r="K435" s="6">
        <v>39112</v>
      </c>
      <c r="L435" s="5" t="s">
        <v>40</v>
      </c>
      <c r="M435" s="5" t="s">
        <v>66</v>
      </c>
      <c r="N435" s="5" t="s">
        <v>28</v>
      </c>
      <c r="O435" s="7">
        <v>45477</v>
      </c>
      <c r="P435" s="7">
        <v>45477.333333333336</v>
      </c>
      <c r="Q435" s="5" t="s">
        <v>43</v>
      </c>
      <c r="R435" s="5" t="s">
        <v>32</v>
      </c>
      <c r="S435" s="5" t="s">
        <v>49</v>
      </c>
      <c r="T435" s="6">
        <v>5</v>
      </c>
      <c r="U435" s="6">
        <v>8</v>
      </c>
      <c r="V435" s="5" t="s">
        <v>34</v>
      </c>
      <c r="W435" s="8"/>
      <c r="Y435">
        <f t="shared" si="9"/>
        <v>62.5</v>
      </c>
    </row>
    <row r="436" spans="1:25" ht="15.75" customHeight="1">
      <c r="A436" s="5" t="s">
        <v>1034</v>
      </c>
      <c r="B436" s="6">
        <v>67</v>
      </c>
      <c r="C436" s="5" t="s">
        <v>51</v>
      </c>
      <c r="D436" s="6" t="s">
        <v>117</v>
      </c>
      <c r="E436" s="6"/>
      <c r="F436" s="7">
        <v>45385</v>
      </c>
      <c r="G436" s="6">
        <v>4</v>
      </c>
      <c r="H436" s="5" t="s">
        <v>83</v>
      </c>
      <c r="I436" s="6">
        <v>2</v>
      </c>
      <c r="J436" s="5" t="s">
        <v>39</v>
      </c>
      <c r="K436" s="6">
        <v>13515</v>
      </c>
      <c r="L436" s="5" t="s">
        <v>80</v>
      </c>
      <c r="M436" s="5" t="s">
        <v>27</v>
      </c>
      <c r="N436" s="5" t="s">
        <v>28</v>
      </c>
      <c r="O436" s="6" t="s">
        <v>845</v>
      </c>
      <c r="P436" s="6" t="s">
        <v>1035</v>
      </c>
      <c r="Q436" s="5" t="s">
        <v>86</v>
      </c>
      <c r="R436" s="5" t="s">
        <v>32</v>
      </c>
      <c r="S436" s="5" t="s">
        <v>33</v>
      </c>
      <c r="T436" s="6">
        <v>11</v>
      </c>
      <c r="U436" s="6">
        <v>8</v>
      </c>
      <c r="V436" s="5" t="s">
        <v>34</v>
      </c>
      <c r="W436" s="8"/>
      <c r="Y436">
        <f t="shared" si="9"/>
        <v>137.5</v>
      </c>
    </row>
    <row r="437" spans="1:25" ht="15.75" customHeight="1">
      <c r="A437" s="5" t="s">
        <v>1036</v>
      </c>
      <c r="B437" s="6">
        <v>76</v>
      </c>
      <c r="C437" s="5" t="s">
        <v>47</v>
      </c>
      <c r="D437" s="6" t="s">
        <v>586</v>
      </c>
      <c r="E437" s="6"/>
      <c r="F437" s="6" t="s">
        <v>466</v>
      </c>
      <c r="G437" s="6">
        <v>6</v>
      </c>
      <c r="H437" s="5" t="s">
        <v>58</v>
      </c>
      <c r="I437" s="6">
        <v>4</v>
      </c>
      <c r="J437" s="5" t="s">
        <v>39</v>
      </c>
      <c r="K437" s="6">
        <v>7431</v>
      </c>
      <c r="L437" s="5" t="s">
        <v>26</v>
      </c>
      <c r="M437" s="5" t="s">
        <v>66</v>
      </c>
      <c r="N437" s="5" t="s">
        <v>28</v>
      </c>
      <c r="O437" s="6" t="s">
        <v>189</v>
      </c>
      <c r="P437" s="6" t="s">
        <v>1037</v>
      </c>
      <c r="Q437" s="5" t="s">
        <v>69</v>
      </c>
      <c r="R437" s="5" t="s">
        <v>32</v>
      </c>
      <c r="S437" s="5" t="s">
        <v>49</v>
      </c>
      <c r="T437" s="6">
        <v>11</v>
      </c>
      <c r="U437" s="6">
        <v>8</v>
      </c>
      <c r="V437" s="5" t="s">
        <v>34</v>
      </c>
      <c r="W437" s="8"/>
      <c r="Y437">
        <f t="shared" si="9"/>
        <v>137.5</v>
      </c>
    </row>
    <row r="438" spans="1:25" ht="15.75" customHeight="1">
      <c r="A438" s="5" t="s">
        <v>1038</v>
      </c>
      <c r="B438" s="6">
        <v>26</v>
      </c>
      <c r="C438" s="5" t="s">
        <v>62</v>
      </c>
      <c r="D438" s="6" t="s">
        <v>231</v>
      </c>
      <c r="E438" s="6"/>
      <c r="F438" s="7">
        <v>45598</v>
      </c>
      <c r="G438" s="6">
        <v>13</v>
      </c>
      <c r="H438" s="5" t="s">
        <v>58</v>
      </c>
      <c r="I438" s="6">
        <v>5</v>
      </c>
      <c r="J438" s="5" t="s">
        <v>97</v>
      </c>
      <c r="K438" s="6">
        <v>26054</v>
      </c>
      <c r="L438" s="5" t="s">
        <v>80</v>
      </c>
      <c r="M438" s="5" t="s">
        <v>66</v>
      </c>
      <c r="N438" s="5" t="s">
        <v>28</v>
      </c>
      <c r="O438" s="6" t="s">
        <v>260</v>
      </c>
      <c r="P438" s="6" t="s">
        <v>152</v>
      </c>
      <c r="Q438" s="5" t="s">
        <v>69</v>
      </c>
      <c r="R438" s="5" t="s">
        <v>32</v>
      </c>
      <c r="S438" s="5" t="s">
        <v>49</v>
      </c>
      <c r="T438" s="6">
        <v>11</v>
      </c>
      <c r="U438" s="6">
        <v>12</v>
      </c>
      <c r="V438" s="5" t="s">
        <v>92</v>
      </c>
      <c r="W438" s="8"/>
      <c r="Y438">
        <f t="shared" si="9"/>
        <v>91.666666666666657</v>
      </c>
    </row>
    <row r="439" spans="1:25" ht="15.75" customHeight="1">
      <c r="A439" s="5" t="s">
        <v>1039</v>
      </c>
      <c r="B439" s="6">
        <v>16</v>
      </c>
      <c r="C439" s="5" t="s">
        <v>36</v>
      </c>
      <c r="D439" s="6" t="s">
        <v>620</v>
      </c>
      <c r="E439" s="6"/>
      <c r="F439" s="6" t="s">
        <v>669</v>
      </c>
      <c r="G439" s="6">
        <v>3</v>
      </c>
      <c r="H439" s="5" t="s">
        <v>24</v>
      </c>
      <c r="I439" s="6">
        <v>4</v>
      </c>
      <c r="J439" s="5" t="s">
        <v>89</v>
      </c>
      <c r="K439" s="6">
        <v>37624</v>
      </c>
      <c r="L439" s="5" t="s">
        <v>80</v>
      </c>
      <c r="M439" s="5" t="s">
        <v>66</v>
      </c>
      <c r="N439" s="5" t="s">
        <v>28</v>
      </c>
      <c r="O439" s="6" t="s">
        <v>1040</v>
      </c>
      <c r="P439" s="6" t="s">
        <v>1041</v>
      </c>
      <c r="Q439" s="5" t="s">
        <v>31</v>
      </c>
      <c r="R439" s="5" t="s">
        <v>32</v>
      </c>
      <c r="S439" s="5" t="s">
        <v>33</v>
      </c>
      <c r="T439" s="6">
        <v>6</v>
      </c>
      <c r="U439" s="6">
        <v>8</v>
      </c>
      <c r="V439" s="5" t="s">
        <v>54</v>
      </c>
      <c r="W439" s="8"/>
      <c r="Y439">
        <f t="shared" si="9"/>
        <v>75</v>
      </c>
    </row>
    <row r="440" spans="1:25" ht="15.75" customHeight="1">
      <c r="A440" s="5" t="s">
        <v>1042</v>
      </c>
      <c r="B440" s="6">
        <v>51</v>
      </c>
      <c r="C440" s="5" t="s">
        <v>82</v>
      </c>
      <c r="D440" s="6" t="s">
        <v>297</v>
      </c>
      <c r="E440" s="6"/>
      <c r="F440" s="6" t="s">
        <v>686</v>
      </c>
      <c r="G440" s="6">
        <v>2</v>
      </c>
      <c r="H440" s="5" t="s">
        <v>73</v>
      </c>
      <c r="I440" s="6">
        <v>4</v>
      </c>
      <c r="J440" s="5" t="s">
        <v>52</v>
      </c>
      <c r="K440" s="6">
        <v>15585</v>
      </c>
      <c r="L440" s="5" t="s">
        <v>40</v>
      </c>
      <c r="M440" s="5" t="s">
        <v>66</v>
      </c>
      <c r="N440" s="5" t="s">
        <v>28</v>
      </c>
      <c r="O440" s="6" t="s">
        <v>320</v>
      </c>
      <c r="P440" s="6" t="s">
        <v>1043</v>
      </c>
      <c r="Q440" s="5" t="s">
        <v>69</v>
      </c>
      <c r="R440" s="5" t="s">
        <v>32</v>
      </c>
      <c r="S440" s="5" t="s">
        <v>53</v>
      </c>
      <c r="T440" s="6">
        <v>10</v>
      </c>
      <c r="U440" s="6">
        <v>8</v>
      </c>
      <c r="V440" s="5" t="s">
        <v>92</v>
      </c>
      <c r="W440" s="8"/>
      <c r="Y440">
        <f t="shared" si="9"/>
        <v>125</v>
      </c>
    </row>
    <row r="441" spans="1:25" ht="15.75" customHeight="1">
      <c r="A441" s="5" t="s">
        <v>1044</v>
      </c>
      <c r="B441" s="6">
        <v>86</v>
      </c>
      <c r="C441" s="5" t="s">
        <v>22</v>
      </c>
      <c r="D441" s="7">
        <v>45116</v>
      </c>
      <c r="E441" s="7"/>
      <c r="F441" s="6" t="s">
        <v>364</v>
      </c>
      <c r="G441" s="6">
        <v>9</v>
      </c>
      <c r="H441" s="5" t="s">
        <v>38</v>
      </c>
      <c r="I441" s="6">
        <v>1</v>
      </c>
      <c r="J441" s="5" t="s">
        <v>25</v>
      </c>
      <c r="K441" s="6">
        <v>36958</v>
      </c>
      <c r="L441" s="5" t="s">
        <v>90</v>
      </c>
      <c r="M441" s="5" t="s">
        <v>66</v>
      </c>
      <c r="N441" s="5" t="s">
        <v>47</v>
      </c>
      <c r="O441" s="7">
        <v>45116</v>
      </c>
      <c r="P441" s="7">
        <v>45147.958333333336</v>
      </c>
      <c r="Q441" s="5" t="s">
        <v>86</v>
      </c>
      <c r="R441" s="5" t="s">
        <v>32</v>
      </c>
      <c r="S441" s="5" t="s">
        <v>53</v>
      </c>
      <c r="T441" s="6">
        <v>11</v>
      </c>
      <c r="U441" s="6">
        <v>10</v>
      </c>
      <c r="V441" s="5" t="s">
        <v>34</v>
      </c>
      <c r="W441" s="8"/>
      <c r="Y441">
        <f t="shared" si="9"/>
        <v>110.00000000000001</v>
      </c>
    </row>
    <row r="442" spans="1:25" ht="15.75" customHeight="1">
      <c r="A442" s="5" t="s">
        <v>1045</v>
      </c>
      <c r="B442" s="6">
        <v>57</v>
      </c>
      <c r="C442" s="5" t="s">
        <v>82</v>
      </c>
      <c r="D442" s="7">
        <v>44932</v>
      </c>
      <c r="E442" s="7"/>
      <c r="F442" s="7">
        <v>45266</v>
      </c>
      <c r="G442" s="6">
        <v>11</v>
      </c>
      <c r="H442" s="5" t="s">
        <v>46</v>
      </c>
      <c r="I442" s="6">
        <v>1</v>
      </c>
      <c r="J442" s="5" t="s">
        <v>97</v>
      </c>
      <c r="K442" s="6">
        <v>6695</v>
      </c>
      <c r="L442" s="5" t="s">
        <v>80</v>
      </c>
      <c r="M442" s="5" t="s">
        <v>66</v>
      </c>
      <c r="N442" s="5" t="s">
        <v>28</v>
      </c>
      <c r="O442" s="6" t="s">
        <v>1021</v>
      </c>
      <c r="P442" s="6" t="s">
        <v>1046</v>
      </c>
      <c r="Q442" s="5" t="s">
        <v>48</v>
      </c>
      <c r="R442" s="5" t="s">
        <v>32</v>
      </c>
      <c r="S442" s="5" t="s">
        <v>53</v>
      </c>
      <c r="T442" s="6">
        <v>9</v>
      </c>
      <c r="U442" s="6">
        <v>10</v>
      </c>
      <c r="V442" s="5" t="s">
        <v>92</v>
      </c>
      <c r="W442" s="8"/>
      <c r="Y442">
        <f t="shared" si="9"/>
        <v>90</v>
      </c>
    </row>
    <row r="443" spans="1:25" ht="15.75" customHeight="1">
      <c r="A443" s="5" t="s">
        <v>1047</v>
      </c>
      <c r="B443" s="6">
        <v>29</v>
      </c>
      <c r="C443" s="5" t="s">
        <v>22</v>
      </c>
      <c r="D443" s="7">
        <v>45078</v>
      </c>
      <c r="E443" s="7"/>
      <c r="F443" s="7">
        <v>45139</v>
      </c>
      <c r="G443" s="6">
        <v>2</v>
      </c>
      <c r="H443" s="5" t="s">
        <v>38</v>
      </c>
      <c r="I443" s="6">
        <v>1</v>
      </c>
      <c r="J443" s="5" t="s">
        <v>25</v>
      </c>
      <c r="K443" s="6">
        <v>39675</v>
      </c>
      <c r="L443" s="5" t="s">
        <v>40</v>
      </c>
      <c r="M443" s="5" t="s">
        <v>66</v>
      </c>
      <c r="N443" s="5" t="s">
        <v>28</v>
      </c>
      <c r="O443" s="7">
        <v>44927</v>
      </c>
      <c r="P443" s="7">
        <v>44958.458333333336</v>
      </c>
      <c r="Q443" s="5" t="s">
        <v>86</v>
      </c>
      <c r="R443" s="5" t="s">
        <v>32</v>
      </c>
      <c r="S443" s="5" t="s">
        <v>33</v>
      </c>
      <c r="T443" s="6">
        <v>5</v>
      </c>
      <c r="U443" s="6">
        <v>12</v>
      </c>
      <c r="V443" s="5" t="s">
        <v>34</v>
      </c>
      <c r="W443" s="8"/>
      <c r="Y443">
        <f t="shared" si="9"/>
        <v>41.666666666666671</v>
      </c>
    </row>
    <row r="444" spans="1:25" ht="15.75" customHeight="1">
      <c r="A444" s="5" t="s">
        <v>1048</v>
      </c>
      <c r="B444" s="6">
        <v>78</v>
      </c>
      <c r="C444" s="5" t="s">
        <v>82</v>
      </c>
      <c r="D444" s="6" t="s">
        <v>72</v>
      </c>
      <c r="E444" s="6"/>
      <c r="F444" s="6" t="s">
        <v>761</v>
      </c>
      <c r="G444" s="6">
        <v>9</v>
      </c>
      <c r="H444" s="5" t="s">
        <v>73</v>
      </c>
      <c r="I444" s="6">
        <v>3</v>
      </c>
      <c r="J444" s="5" t="s">
        <v>97</v>
      </c>
      <c r="K444" s="6">
        <v>38787</v>
      </c>
      <c r="L444" s="5" t="s">
        <v>90</v>
      </c>
      <c r="M444" s="5" t="s">
        <v>66</v>
      </c>
      <c r="N444" s="5" t="s">
        <v>28</v>
      </c>
      <c r="O444" s="6" t="s">
        <v>601</v>
      </c>
      <c r="P444" s="6" t="s">
        <v>1049</v>
      </c>
      <c r="Q444" s="5" t="s">
        <v>43</v>
      </c>
      <c r="R444" s="5" t="s">
        <v>32</v>
      </c>
      <c r="S444" s="5" t="s">
        <v>33</v>
      </c>
      <c r="T444" s="6">
        <v>9</v>
      </c>
      <c r="U444" s="6">
        <v>12</v>
      </c>
      <c r="V444" s="5" t="s">
        <v>34</v>
      </c>
      <c r="W444" s="8"/>
      <c r="Y444">
        <f t="shared" si="9"/>
        <v>75</v>
      </c>
    </row>
    <row r="445" spans="1:25" ht="15.75" customHeight="1">
      <c r="A445" s="5" t="s">
        <v>1050</v>
      </c>
      <c r="B445" s="6">
        <v>69</v>
      </c>
      <c r="C445" s="5" t="s">
        <v>22</v>
      </c>
      <c r="D445" s="7">
        <v>45599</v>
      </c>
      <c r="E445" s="7"/>
      <c r="F445" s="6" t="s">
        <v>133</v>
      </c>
      <c r="G445" s="6">
        <v>9</v>
      </c>
      <c r="H445" s="5" t="s">
        <v>46</v>
      </c>
      <c r="I445" s="6">
        <v>1</v>
      </c>
      <c r="J445" s="5" t="s">
        <v>89</v>
      </c>
      <c r="K445" s="6">
        <v>49225</v>
      </c>
      <c r="L445" s="5" t="s">
        <v>26</v>
      </c>
      <c r="M445" s="5" t="s">
        <v>27</v>
      </c>
      <c r="N445" s="5" t="s">
        <v>47</v>
      </c>
      <c r="O445" s="7">
        <v>45568</v>
      </c>
      <c r="P445" s="7">
        <v>45599.166666666664</v>
      </c>
      <c r="Q445" s="5" t="s">
        <v>69</v>
      </c>
      <c r="R445" s="5" t="s">
        <v>32</v>
      </c>
      <c r="S445" s="5" t="s">
        <v>53</v>
      </c>
      <c r="T445" s="6">
        <v>10</v>
      </c>
      <c r="U445" s="6">
        <v>10</v>
      </c>
      <c r="V445" s="5" t="s">
        <v>34</v>
      </c>
      <c r="W445" s="8"/>
      <c r="Y445">
        <f t="shared" si="9"/>
        <v>100</v>
      </c>
    </row>
    <row r="446" spans="1:25" ht="15.75" customHeight="1">
      <c r="A446" s="5" t="s">
        <v>1051</v>
      </c>
      <c r="B446" s="6">
        <v>47</v>
      </c>
      <c r="C446" s="5" t="s">
        <v>47</v>
      </c>
      <c r="D446" s="6" t="s">
        <v>264</v>
      </c>
      <c r="E446" s="6"/>
      <c r="F446" s="6" t="s">
        <v>56</v>
      </c>
      <c r="G446" s="6">
        <v>4</v>
      </c>
      <c r="H446" s="5" t="s">
        <v>38</v>
      </c>
      <c r="I446" s="6">
        <v>5</v>
      </c>
      <c r="J446" s="5" t="s">
        <v>89</v>
      </c>
      <c r="K446" s="6">
        <v>6403</v>
      </c>
      <c r="L446" s="5" t="s">
        <v>26</v>
      </c>
      <c r="M446" s="5" t="s">
        <v>66</v>
      </c>
      <c r="N446" s="5" t="s">
        <v>28</v>
      </c>
      <c r="O446" s="7">
        <v>45268</v>
      </c>
      <c r="P446" s="7">
        <v>45268.291666666664</v>
      </c>
      <c r="Q446" s="5" t="s">
        <v>69</v>
      </c>
      <c r="R446" s="5" t="s">
        <v>32</v>
      </c>
      <c r="S446" s="5" t="s">
        <v>49</v>
      </c>
      <c r="T446" s="6">
        <v>4</v>
      </c>
      <c r="U446" s="6">
        <v>10</v>
      </c>
      <c r="V446" s="5" t="s">
        <v>54</v>
      </c>
      <c r="W446" s="8"/>
      <c r="Y446">
        <f t="shared" si="9"/>
        <v>40</v>
      </c>
    </row>
    <row r="447" spans="1:25" ht="15.75" customHeight="1">
      <c r="A447" s="5" t="s">
        <v>1052</v>
      </c>
      <c r="B447" s="6">
        <v>62</v>
      </c>
      <c r="C447" s="5" t="s">
        <v>51</v>
      </c>
      <c r="D447" s="6" t="s">
        <v>842</v>
      </c>
      <c r="E447" s="6"/>
      <c r="F447" s="6" t="s">
        <v>189</v>
      </c>
      <c r="G447" s="6">
        <v>15</v>
      </c>
      <c r="H447" s="5" t="s">
        <v>24</v>
      </c>
      <c r="I447" s="6">
        <v>4</v>
      </c>
      <c r="J447" s="5" t="s">
        <v>89</v>
      </c>
      <c r="K447" s="6">
        <v>22810</v>
      </c>
      <c r="L447" s="5" t="s">
        <v>65</v>
      </c>
      <c r="M447" s="5" t="s">
        <v>27</v>
      </c>
      <c r="N447" s="5" t="s">
        <v>28</v>
      </c>
      <c r="O447" s="6" t="s">
        <v>842</v>
      </c>
      <c r="P447" s="7">
        <v>44964</v>
      </c>
      <c r="Q447" s="5" t="s">
        <v>69</v>
      </c>
      <c r="R447" s="5" t="s">
        <v>32</v>
      </c>
      <c r="S447" s="5" t="s">
        <v>53</v>
      </c>
      <c r="T447" s="6">
        <v>5</v>
      </c>
      <c r="U447" s="6">
        <v>8</v>
      </c>
      <c r="V447" s="5" t="s">
        <v>54</v>
      </c>
      <c r="W447" s="8"/>
      <c r="Y447">
        <f t="shared" si="9"/>
        <v>62.5</v>
      </c>
    </row>
    <row r="448" spans="1:25" ht="15.75" customHeight="1">
      <c r="A448" s="5" t="s">
        <v>1053</v>
      </c>
      <c r="B448" s="6">
        <v>69</v>
      </c>
      <c r="C448" s="5" t="s">
        <v>22</v>
      </c>
      <c r="D448" s="6" t="s">
        <v>943</v>
      </c>
      <c r="E448" s="6"/>
      <c r="F448" s="6" t="s">
        <v>698</v>
      </c>
      <c r="G448" s="6">
        <v>13</v>
      </c>
      <c r="H448" s="5" t="s">
        <v>46</v>
      </c>
      <c r="I448" s="6">
        <v>5</v>
      </c>
      <c r="J448" s="5" t="s">
        <v>89</v>
      </c>
      <c r="K448" s="6">
        <v>13855</v>
      </c>
      <c r="L448" s="5" t="s">
        <v>40</v>
      </c>
      <c r="M448" s="5" t="s">
        <v>66</v>
      </c>
      <c r="N448" s="5" t="s">
        <v>47</v>
      </c>
      <c r="O448" s="7">
        <v>45541</v>
      </c>
      <c r="P448" s="7">
        <v>45571.75</v>
      </c>
      <c r="Q448" s="5" t="s">
        <v>69</v>
      </c>
      <c r="R448" s="5" t="s">
        <v>32</v>
      </c>
      <c r="S448" s="5" t="s">
        <v>33</v>
      </c>
      <c r="T448" s="6">
        <v>5</v>
      </c>
      <c r="U448" s="6">
        <v>8</v>
      </c>
      <c r="V448" s="5" t="s">
        <v>34</v>
      </c>
      <c r="W448" s="8"/>
      <c r="Y448">
        <f t="shared" si="9"/>
        <v>62.5</v>
      </c>
    </row>
    <row r="449" spans="1:25" ht="15.75" customHeight="1">
      <c r="A449" s="5" t="s">
        <v>1054</v>
      </c>
      <c r="B449" s="6">
        <v>76</v>
      </c>
      <c r="C449" s="5" t="s">
        <v>22</v>
      </c>
      <c r="D449" s="6" t="s">
        <v>1055</v>
      </c>
      <c r="E449" s="6"/>
      <c r="F449" s="6" t="s">
        <v>531</v>
      </c>
      <c r="G449" s="6">
        <v>6</v>
      </c>
      <c r="H449" s="5" t="s">
        <v>58</v>
      </c>
      <c r="I449" s="6">
        <v>1</v>
      </c>
      <c r="J449" s="5" t="s">
        <v>39</v>
      </c>
      <c r="K449" s="6">
        <v>43636</v>
      </c>
      <c r="L449" s="5" t="s">
        <v>90</v>
      </c>
      <c r="M449" s="5" t="s">
        <v>66</v>
      </c>
      <c r="N449" s="5" t="s">
        <v>28</v>
      </c>
      <c r="O449" s="6" t="s">
        <v>124</v>
      </c>
      <c r="P449" s="6" t="s">
        <v>1056</v>
      </c>
      <c r="Q449" s="5" t="s">
        <v>31</v>
      </c>
      <c r="R449" s="5" t="s">
        <v>32</v>
      </c>
      <c r="S449" s="5" t="s">
        <v>49</v>
      </c>
      <c r="T449" s="6">
        <v>9</v>
      </c>
      <c r="U449" s="6">
        <v>12</v>
      </c>
      <c r="V449" s="5" t="s">
        <v>92</v>
      </c>
      <c r="W449" s="8"/>
      <c r="Y449">
        <f t="shared" si="9"/>
        <v>75</v>
      </c>
    </row>
    <row r="450" spans="1:25" ht="15.75" customHeight="1">
      <c r="A450" s="5" t="s">
        <v>1057</v>
      </c>
      <c r="B450" s="6">
        <v>16</v>
      </c>
      <c r="C450" s="5" t="s">
        <v>62</v>
      </c>
      <c r="D450" s="6" t="s">
        <v>603</v>
      </c>
      <c r="E450" s="6"/>
      <c r="F450" s="6" t="s">
        <v>196</v>
      </c>
      <c r="G450" s="6">
        <v>6</v>
      </c>
      <c r="H450" s="5" t="s">
        <v>38</v>
      </c>
      <c r="I450" s="6">
        <v>3</v>
      </c>
      <c r="J450" s="5" t="s">
        <v>39</v>
      </c>
      <c r="K450" s="6">
        <v>15839</v>
      </c>
      <c r="L450" s="5" t="s">
        <v>80</v>
      </c>
      <c r="M450" s="5" t="s">
        <v>66</v>
      </c>
      <c r="N450" s="5" t="s">
        <v>47</v>
      </c>
      <c r="O450" s="6" t="s">
        <v>787</v>
      </c>
      <c r="P450" s="6" t="s">
        <v>1058</v>
      </c>
      <c r="Q450" s="5" t="s">
        <v>31</v>
      </c>
      <c r="R450" s="5" t="s">
        <v>32</v>
      </c>
      <c r="S450" s="5" t="s">
        <v>49</v>
      </c>
      <c r="T450" s="6">
        <v>7</v>
      </c>
      <c r="U450" s="6">
        <v>10</v>
      </c>
      <c r="V450" s="5" t="s">
        <v>92</v>
      </c>
      <c r="W450" s="8"/>
      <c r="Y450">
        <f t="shared" si="9"/>
        <v>70</v>
      </c>
    </row>
    <row r="451" spans="1:25" ht="15.75" customHeight="1">
      <c r="A451" s="5" t="s">
        <v>1059</v>
      </c>
      <c r="B451" s="6">
        <v>48</v>
      </c>
      <c r="C451" s="5" t="s">
        <v>22</v>
      </c>
      <c r="D451" s="6" t="s">
        <v>591</v>
      </c>
      <c r="E451" s="6"/>
      <c r="F451" s="6" t="s">
        <v>456</v>
      </c>
      <c r="G451" s="6">
        <v>12</v>
      </c>
      <c r="H451" s="5" t="s">
        <v>46</v>
      </c>
      <c r="I451" s="6">
        <v>3</v>
      </c>
      <c r="J451" s="5" t="s">
        <v>52</v>
      </c>
      <c r="K451" s="6">
        <v>5010</v>
      </c>
      <c r="L451" s="5" t="s">
        <v>26</v>
      </c>
      <c r="M451" s="5" t="s">
        <v>66</v>
      </c>
      <c r="N451" s="5" t="s">
        <v>28</v>
      </c>
      <c r="O451" s="7">
        <v>45147</v>
      </c>
      <c r="P451" s="7">
        <v>45147.125</v>
      </c>
      <c r="Q451" s="5" t="s">
        <v>48</v>
      </c>
      <c r="R451" s="5" t="s">
        <v>32</v>
      </c>
      <c r="S451" s="5" t="s">
        <v>33</v>
      </c>
      <c r="T451" s="6">
        <v>10</v>
      </c>
      <c r="U451" s="6">
        <v>12</v>
      </c>
      <c r="V451" s="5" t="s">
        <v>54</v>
      </c>
      <c r="W451" s="8"/>
      <c r="Y451">
        <f t="shared" ref="Y451:Y514" si="10">(T451/U451*100)</f>
        <v>83.333333333333343</v>
      </c>
    </row>
    <row r="452" spans="1:25" ht="15.75" customHeight="1">
      <c r="A452" s="5" t="s">
        <v>1060</v>
      </c>
      <c r="B452" s="6">
        <v>85</v>
      </c>
      <c r="C452" s="5" t="s">
        <v>62</v>
      </c>
      <c r="D452" s="7">
        <v>45051</v>
      </c>
      <c r="E452" s="7"/>
      <c r="F452" s="6" t="s">
        <v>1061</v>
      </c>
      <c r="G452" s="6">
        <v>14</v>
      </c>
      <c r="H452" s="5" t="s">
        <v>24</v>
      </c>
      <c r="I452" s="6">
        <v>4</v>
      </c>
      <c r="J452" s="5" t="s">
        <v>25</v>
      </c>
      <c r="K452" s="6">
        <v>44098</v>
      </c>
      <c r="L452" s="5" t="s">
        <v>90</v>
      </c>
      <c r="M452" s="5" t="s">
        <v>27</v>
      </c>
      <c r="N452" s="5" t="s">
        <v>28</v>
      </c>
      <c r="O452" s="7">
        <v>45021</v>
      </c>
      <c r="P452" s="7">
        <v>45051.208333333336</v>
      </c>
      <c r="Q452" s="5" t="s">
        <v>69</v>
      </c>
      <c r="R452" s="5" t="s">
        <v>32</v>
      </c>
      <c r="S452" s="5" t="s">
        <v>49</v>
      </c>
      <c r="T452" s="6">
        <v>11</v>
      </c>
      <c r="U452" s="6">
        <v>8</v>
      </c>
      <c r="V452" s="5" t="s">
        <v>34</v>
      </c>
      <c r="W452" s="8"/>
      <c r="Y452">
        <f t="shared" si="10"/>
        <v>137.5</v>
      </c>
    </row>
    <row r="453" spans="1:25" ht="15.75" customHeight="1">
      <c r="A453" s="5" t="s">
        <v>1062</v>
      </c>
      <c r="B453" s="6">
        <v>39</v>
      </c>
      <c r="C453" s="5" t="s">
        <v>36</v>
      </c>
      <c r="D453" s="7">
        <v>45630</v>
      </c>
      <c r="E453" s="7"/>
      <c r="F453" s="6" t="s">
        <v>557</v>
      </c>
      <c r="G453" s="6">
        <v>11</v>
      </c>
      <c r="H453" s="5" t="s">
        <v>46</v>
      </c>
      <c r="I453" s="6">
        <v>5</v>
      </c>
      <c r="J453" s="5" t="s">
        <v>97</v>
      </c>
      <c r="K453" s="6">
        <v>14230</v>
      </c>
      <c r="L453" s="5" t="s">
        <v>40</v>
      </c>
      <c r="M453" s="5" t="s">
        <v>27</v>
      </c>
      <c r="N453" s="5" t="s">
        <v>28</v>
      </c>
      <c r="O453" s="7">
        <v>45630</v>
      </c>
      <c r="P453" s="7">
        <v>45630.708333333336</v>
      </c>
      <c r="Q453" s="5" t="s">
        <v>43</v>
      </c>
      <c r="R453" s="5" t="s">
        <v>32</v>
      </c>
      <c r="S453" s="5" t="s">
        <v>53</v>
      </c>
      <c r="T453" s="6">
        <v>7</v>
      </c>
      <c r="U453" s="6">
        <v>12</v>
      </c>
      <c r="V453" s="5" t="s">
        <v>92</v>
      </c>
      <c r="W453" s="8"/>
      <c r="Y453">
        <f t="shared" si="10"/>
        <v>58.333333333333336</v>
      </c>
    </row>
    <row r="454" spans="1:25" ht="15.75" customHeight="1">
      <c r="A454" s="5" t="s">
        <v>1063</v>
      </c>
      <c r="B454" s="6">
        <v>33</v>
      </c>
      <c r="C454" s="5" t="s">
        <v>47</v>
      </c>
      <c r="D454" s="6" t="s">
        <v>716</v>
      </c>
      <c r="E454" s="6"/>
      <c r="F454" s="6" t="s">
        <v>581</v>
      </c>
      <c r="G454" s="6">
        <v>14</v>
      </c>
      <c r="H454" s="5" t="s">
        <v>46</v>
      </c>
      <c r="I454" s="6">
        <v>2</v>
      </c>
      <c r="J454" s="5" t="s">
        <v>97</v>
      </c>
      <c r="K454" s="6">
        <v>45232</v>
      </c>
      <c r="L454" s="5" t="s">
        <v>65</v>
      </c>
      <c r="M454" s="5" t="s">
        <v>66</v>
      </c>
      <c r="N454" s="5" t="s">
        <v>47</v>
      </c>
      <c r="O454" s="6" t="s">
        <v>716</v>
      </c>
      <c r="P454" s="6" t="s">
        <v>1064</v>
      </c>
      <c r="Q454" s="5" t="s">
        <v>48</v>
      </c>
      <c r="R454" s="5" t="s">
        <v>32</v>
      </c>
      <c r="S454" s="5" t="s">
        <v>33</v>
      </c>
      <c r="T454" s="6">
        <v>8</v>
      </c>
      <c r="U454" s="6">
        <v>12</v>
      </c>
      <c r="V454" s="5" t="s">
        <v>34</v>
      </c>
      <c r="W454" s="8"/>
      <c r="Y454">
        <f t="shared" si="10"/>
        <v>66.666666666666657</v>
      </c>
    </row>
    <row r="455" spans="1:25" ht="15.75" customHeight="1">
      <c r="A455" s="5" t="s">
        <v>1065</v>
      </c>
      <c r="B455" s="6">
        <v>23</v>
      </c>
      <c r="C455" s="5" t="s">
        <v>62</v>
      </c>
      <c r="D455" s="6" t="s">
        <v>1055</v>
      </c>
      <c r="E455" s="6"/>
      <c r="F455" s="6" t="s">
        <v>557</v>
      </c>
      <c r="G455" s="6">
        <v>3</v>
      </c>
      <c r="H455" s="5" t="s">
        <v>24</v>
      </c>
      <c r="I455" s="6">
        <v>5</v>
      </c>
      <c r="J455" s="5" t="s">
        <v>39</v>
      </c>
      <c r="K455" s="6">
        <v>40771</v>
      </c>
      <c r="L455" s="5" t="s">
        <v>26</v>
      </c>
      <c r="M455" s="5" t="s">
        <v>66</v>
      </c>
      <c r="N455" s="5" t="s">
        <v>28</v>
      </c>
      <c r="O455" s="6" t="s">
        <v>589</v>
      </c>
      <c r="P455" s="6" t="s">
        <v>1066</v>
      </c>
      <c r="Q455" s="5" t="s">
        <v>69</v>
      </c>
      <c r="R455" s="5" t="s">
        <v>32</v>
      </c>
      <c r="S455" s="5" t="s">
        <v>33</v>
      </c>
      <c r="T455" s="6">
        <v>11</v>
      </c>
      <c r="U455" s="6">
        <v>12</v>
      </c>
      <c r="V455" s="5" t="s">
        <v>92</v>
      </c>
      <c r="W455" s="8"/>
      <c r="Y455">
        <f t="shared" si="10"/>
        <v>91.666666666666657</v>
      </c>
    </row>
    <row r="456" spans="1:25" ht="15.75" customHeight="1">
      <c r="A456" s="5" t="s">
        <v>1067</v>
      </c>
      <c r="B456" s="6">
        <v>10</v>
      </c>
      <c r="C456" s="5" t="s">
        <v>51</v>
      </c>
      <c r="D456" s="6" t="s">
        <v>432</v>
      </c>
      <c r="E456" s="6"/>
      <c r="F456" s="6" t="s">
        <v>1068</v>
      </c>
      <c r="G456" s="6">
        <v>4</v>
      </c>
      <c r="H456" s="5" t="s">
        <v>38</v>
      </c>
      <c r="I456" s="6">
        <v>1</v>
      </c>
      <c r="J456" s="5" t="s">
        <v>97</v>
      </c>
      <c r="K456" s="6">
        <v>34256</v>
      </c>
      <c r="L456" s="5" t="s">
        <v>90</v>
      </c>
      <c r="M456" s="5" t="s">
        <v>66</v>
      </c>
      <c r="N456" s="5" t="s">
        <v>47</v>
      </c>
      <c r="O456" s="6" t="s">
        <v>288</v>
      </c>
      <c r="P456" s="6" t="s">
        <v>1069</v>
      </c>
      <c r="Q456" s="5" t="s">
        <v>31</v>
      </c>
      <c r="R456" s="5" t="s">
        <v>32</v>
      </c>
      <c r="S456" s="5" t="s">
        <v>33</v>
      </c>
      <c r="T456" s="6">
        <v>4</v>
      </c>
      <c r="U456" s="6">
        <v>8</v>
      </c>
      <c r="V456" s="5" t="s">
        <v>54</v>
      </c>
      <c r="W456" s="8"/>
      <c r="Y456">
        <f t="shared" si="10"/>
        <v>50</v>
      </c>
    </row>
    <row r="457" spans="1:25" ht="15.75" customHeight="1">
      <c r="A457" s="5" t="s">
        <v>1070</v>
      </c>
      <c r="B457" s="6">
        <v>69</v>
      </c>
      <c r="C457" s="5" t="s">
        <v>47</v>
      </c>
      <c r="D457" s="6" t="s">
        <v>598</v>
      </c>
      <c r="E457" s="6"/>
      <c r="F457" s="6" t="s">
        <v>936</v>
      </c>
      <c r="G457" s="6">
        <v>2</v>
      </c>
      <c r="H457" s="5" t="s">
        <v>83</v>
      </c>
      <c r="I457" s="6">
        <v>2</v>
      </c>
      <c r="J457" s="5" t="s">
        <v>39</v>
      </c>
      <c r="K457" s="6">
        <v>30651</v>
      </c>
      <c r="L457" s="5" t="s">
        <v>90</v>
      </c>
      <c r="M457" s="5" t="s">
        <v>66</v>
      </c>
      <c r="N457" s="5" t="s">
        <v>47</v>
      </c>
      <c r="O457" s="6" t="s">
        <v>477</v>
      </c>
      <c r="P457" s="6" t="s">
        <v>1071</v>
      </c>
      <c r="Q457" s="5" t="s">
        <v>43</v>
      </c>
      <c r="R457" s="5" t="s">
        <v>32</v>
      </c>
      <c r="S457" s="5" t="s">
        <v>33</v>
      </c>
      <c r="T457" s="6">
        <v>7</v>
      </c>
      <c r="U457" s="6">
        <v>12</v>
      </c>
      <c r="V457" s="5" t="s">
        <v>34</v>
      </c>
      <c r="W457" s="8"/>
      <c r="Y457">
        <f t="shared" si="10"/>
        <v>58.333333333333336</v>
      </c>
    </row>
    <row r="458" spans="1:25" ht="15.75" customHeight="1">
      <c r="A458" s="5" t="s">
        <v>1072</v>
      </c>
      <c r="B458" s="6">
        <v>34</v>
      </c>
      <c r="C458" s="5" t="s">
        <v>62</v>
      </c>
      <c r="D458" s="6" t="s">
        <v>781</v>
      </c>
      <c r="E458" s="6"/>
      <c r="F458" s="7">
        <v>45357</v>
      </c>
      <c r="G458" s="6">
        <v>3</v>
      </c>
      <c r="H458" s="5" t="s">
        <v>38</v>
      </c>
      <c r="I458" s="6">
        <v>3</v>
      </c>
      <c r="J458" s="5" t="s">
        <v>52</v>
      </c>
      <c r="K458" s="6">
        <v>37383</v>
      </c>
      <c r="L458" s="5" t="s">
        <v>90</v>
      </c>
      <c r="M458" s="5" t="s">
        <v>66</v>
      </c>
      <c r="N458" s="5" t="s">
        <v>47</v>
      </c>
      <c r="O458" s="6" t="s">
        <v>1073</v>
      </c>
      <c r="P458" s="6" t="s">
        <v>1074</v>
      </c>
      <c r="Q458" s="5" t="s">
        <v>48</v>
      </c>
      <c r="R458" s="5" t="s">
        <v>44</v>
      </c>
      <c r="S458" s="5" t="s">
        <v>49</v>
      </c>
      <c r="T458" s="6">
        <v>9</v>
      </c>
      <c r="U458" s="6">
        <v>8</v>
      </c>
      <c r="V458" s="5" t="s">
        <v>34</v>
      </c>
      <c r="W458" s="8"/>
      <c r="Y458">
        <f t="shared" si="10"/>
        <v>112.5</v>
      </c>
    </row>
    <row r="459" spans="1:25" ht="15.75" customHeight="1">
      <c r="A459" s="5" t="s">
        <v>1075</v>
      </c>
      <c r="B459" s="6">
        <v>52</v>
      </c>
      <c r="C459" s="5" t="s">
        <v>47</v>
      </c>
      <c r="D459" s="7">
        <v>45629</v>
      </c>
      <c r="E459" s="7"/>
      <c r="F459" s="6" t="s">
        <v>381</v>
      </c>
      <c r="G459" s="6">
        <v>5</v>
      </c>
      <c r="H459" s="5" t="s">
        <v>73</v>
      </c>
      <c r="I459" s="6">
        <v>4</v>
      </c>
      <c r="J459" s="5" t="s">
        <v>25</v>
      </c>
      <c r="K459" s="6">
        <v>44963</v>
      </c>
      <c r="L459" s="5" t="s">
        <v>40</v>
      </c>
      <c r="M459" s="5" t="s">
        <v>27</v>
      </c>
      <c r="N459" s="5" t="s">
        <v>47</v>
      </c>
      <c r="O459" s="7">
        <v>45629</v>
      </c>
      <c r="P459" s="7">
        <v>45629.583333333336</v>
      </c>
      <c r="Q459" s="5" t="s">
        <v>43</v>
      </c>
      <c r="R459" s="5" t="s">
        <v>32</v>
      </c>
      <c r="S459" s="5" t="s">
        <v>33</v>
      </c>
      <c r="T459" s="6">
        <v>10</v>
      </c>
      <c r="U459" s="6">
        <v>10</v>
      </c>
      <c r="V459" s="5" t="s">
        <v>92</v>
      </c>
      <c r="W459" s="8"/>
      <c r="Y459">
        <f t="shared" si="10"/>
        <v>100</v>
      </c>
    </row>
    <row r="460" spans="1:25" ht="15.75" customHeight="1">
      <c r="A460" s="5" t="s">
        <v>1076</v>
      </c>
      <c r="B460" s="6">
        <v>10</v>
      </c>
      <c r="C460" s="5" t="s">
        <v>47</v>
      </c>
      <c r="D460" s="7">
        <v>45295</v>
      </c>
      <c r="E460" s="7"/>
      <c r="F460" s="7">
        <v>45416</v>
      </c>
      <c r="G460" s="6">
        <v>4</v>
      </c>
      <c r="H460" s="5" t="s">
        <v>24</v>
      </c>
      <c r="I460" s="6">
        <v>4</v>
      </c>
      <c r="J460" s="5" t="s">
        <v>52</v>
      </c>
      <c r="K460" s="6">
        <v>18662</v>
      </c>
      <c r="L460" s="5" t="s">
        <v>40</v>
      </c>
      <c r="M460" s="5" t="s">
        <v>27</v>
      </c>
      <c r="N460" s="5" t="s">
        <v>28</v>
      </c>
      <c r="O460" s="6" t="s">
        <v>318</v>
      </c>
      <c r="P460" s="6" t="s">
        <v>598</v>
      </c>
      <c r="Q460" s="5" t="s">
        <v>69</v>
      </c>
      <c r="R460" s="5" t="s">
        <v>32</v>
      </c>
      <c r="S460" s="5" t="s">
        <v>33</v>
      </c>
      <c r="T460" s="6">
        <v>7</v>
      </c>
      <c r="U460" s="6">
        <v>12</v>
      </c>
      <c r="V460" s="5" t="s">
        <v>92</v>
      </c>
      <c r="W460" s="8"/>
      <c r="Y460">
        <f t="shared" si="10"/>
        <v>58.333333333333336</v>
      </c>
    </row>
    <row r="461" spans="1:25" ht="15.75" customHeight="1">
      <c r="A461" s="5" t="s">
        <v>1077</v>
      </c>
      <c r="B461" s="6">
        <v>19</v>
      </c>
      <c r="C461" s="5" t="s">
        <v>47</v>
      </c>
      <c r="D461" s="7">
        <v>45266</v>
      </c>
      <c r="E461" s="7"/>
      <c r="F461" s="6" t="s">
        <v>253</v>
      </c>
      <c r="G461" s="6">
        <v>3</v>
      </c>
      <c r="H461" s="5" t="s">
        <v>38</v>
      </c>
      <c r="I461" s="6">
        <v>3</v>
      </c>
      <c r="J461" s="5" t="s">
        <v>89</v>
      </c>
      <c r="K461" s="6">
        <v>18739</v>
      </c>
      <c r="L461" s="5" t="s">
        <v>40</v>
      </c>
      <c r="M461" s="5" t="s">
        <v>27</v>
      </c>
      <c r="N461" s="5" t="s">
        <v>47</v>
      </c>
      <c r="O461" s="7">
        <v>45236</v>
      </c>
      <c r="P461" s="7">
        <v>45266.583333333336</v>
      </c>
      <c r="Q461" s="5" t="s">
        <v>86</v>
      </c>
      <c r="R461" s="5" t="s">
        <v>32</v>
      </c>
      <c r="S461" s="5" t="s">
        <v>49</v>
      </c>
      <c r="T461" s="6">
        <v>8</v>
      </c>
      <c r="U461" s="6">
        <v>12</v>
      </c>
      <c r="V461" s="5" t="s">
        <v>92</v>
      </c>
      <c r="W461" s="8"/>
      <c r="Y461">
        <f t="shared" si="10"/>
        <v>66.666666666666657</v>
      </c>
    </row>
    <row r="462" spans="1:25" ht="15.75" customHeight="1">
      <c r="A462" s="5" t="s">
        <v>1078</v>
      </c>
      <c r="B462" s="6">
        <v>58</v>
      </c>
      <c r="C462" s="5" t="s">
        <v>36</v>
      </c>
      <c r="D462" s="7">
        <v>45296</v>
      </c>
      <c r="E462" s="7"/>
      <c r="F462" s="7">
        <v>45601</v>
      </c>
      <c r="G462" s="6">
        <v>10</v>
      </c>
      <c r="H462" s="5" t="s">
        <v>46</v>
      </c>
      <c r="I462" s="6">
        <v>1</v>
      </c>
      <c r="J462" s="5" t="s">
        <v>89</v>
      </c>
      <c r="K462" s="6">
        <v>6789</v>
      </c>
      <c r="L462" s="5" t="s">
        <v>80</v>
      </c>
      <c r="M462" s="5" t="s">
        <v>27</v>
      </c>
      <c r="N462" s="5" t="s">
        <v>28</v>
      </c>
      <c r="O462" s="7">
        <v>45296</v>
      </c>
      <c r="P462" s="7">
        <v>45327.875</v>
      </c>
      <c r="Q462" s="5" t="s">
        <v>43</v>
      </c>
      <c r="R462" s="5" t="s">
        <v>32</v>
      </c>
      <c r="S462" s="5" t="s">
        <v>33</v>
      </c>
      <c r="T462" s="6">
        <v>6</v>
      </c>
      <c r="U462" s="6">
        <v>8</v>
      </c>
      <c r="V462" s="5" t="s">
        <v>34</v>
      </c>
      <c r="W462" s="8"/>
      <c r="Y462">
        <f t="shared" si="10"/>
        <v>75</v>
      </c>
    </row>
    <row r="463" spans="1:25" ht="15.75" customHeight="1">
      <c r="A463" s="5" t="s">
        <v>1079</v>
      </c>
      <c r="B463" s="6">
        <v>1</v>
      </c>
      <c r="C463" s="5" t="s">
        <v>51</v>
      </c>
      <c r="D463" s="7">
        <v>45416</v>
      </c>
      <c r="E463" s="7"/>
      <c r="F463" s="7">
        <v>45508</v>
      </c>
      <c r="G463" s="6">
        <v>3</v>
      </c>
      <c r="H463" s="5" t="s">
        <v>24</v>
      </c>
      <c r="I463" s="6">
        <v>3</v>
      </c>
      <c r="J463" s="5" t="s">
        <v>89</v>
      </c>
      <c r="K463" s="6">
        <v>24420</v>
      </c>
      <c r="L463" s="5" t="s">
        <v>90</v>
      </c>
      <c r="M463" s="5" t="s">
        <v>27</v>
      </c>
      <c r="N463" s="5" t="s">
        <v>28</v>
      </c>
      <c r="O463" s="7">
        <v>45295</v>
      </c>
      <c r="P463" s="7">
        <v>45295.958333333336</v>
      </c>
      <c r="Q463" s="5" t="s">
        <v>43</v>
      </c>
      <c r="R463" s="5" t="s">
        <v>32</v>
      </c>
      <c r="S463" s="5" t="s">
        <v>49</v>
      </c>
      <c r="T463" s="6">
        <v>8</v>
      </c>
      <c r="U463" s="6">
        <v>12</v>
      </c>
      <c r="V463" s="5" t="s">
        <v>54</v>
      </c>
      <c r="W463" s="8"/>
      <c r="Y463">
        <f t="shared" si="10"/>
        <v>66.666666666666657</v>
      </c>
    </row>
    <row r="464" spans="1:25" ht="15.75" customHeight="1">
      <c r="A464" s="5" t="s">
        <v>1080</v>
      </c>
      <c r="B464" s="6">
        <v>69</v>
      </c>
      <c r="C464" s="5" t="s">
        <v>82</v>
      </c>
      <c r="D464" s="6" t="s">
        <v>310</v>
      </c>
      <c r="E464" s="6"/>
      <c r="F464" s="7">
        <v>45087</v>
      </c>
      <c r="G464" s="6">
        <v>13</v>
      </c>
      <c r="H464" s="5" t="s">
        <v>58</v>
      </c>
      <c r="I464" s="6">
        <v>1</v>
      </c>
      <c r="J464" s="5" t="s">
        <v>52</v>
      </c>
      <c r="K464" s="6">
        <v>28761</v>
      </c>
      <c r="L464" s="5" t="s">
        <v>26</v>
      </c>
      <c r="M464" s="5" t="s">
        <v>66</v>
      </c>
      <c r="N464" s="5" t="s">
        <v>28</v>
      </c>
      <c r="O464" s="6" t="s">
        <v>799</v>
      </c>
      <c r="P464" s="6" t="s">
        <v>1081</v>
      </c>
      <c r="Q464" s="5" t="s">
        <v>31</v>
      </c>
      <c r="R464" s="5" t="s">
        <v>32</v>
      </c>
      <c r="S464" s="5" t="s">
        <v>49</v>
      </c>
      <c r="T464" s="6">
        <v>5</v>
      </c>
      <c r="U464" s="6">
        <v>8</v>
      </c>
      <c r="V464" s="5" t="s">
        <v>54</v>
      </c>
      <c r="W464" s="8"/>
      <c r="Y464">
        <f t="shared" si="10"/>
        <v>62.5</v>
      </c>
    </row>
    <row r="465" spans="1:25" ht="15.75" customHeight="1">
      <c r="A465" s="5" t="s">
        <v>1082</v>
      </c>
      <c r="B465" s="6">
        <v>4</v>
      </c>
      <c r="C465" s="5" t="s">
        <v>82</v>
      </c>
      <c r="D465" s="7">
        <v>45239</v>
      </c>
      <c r="E465" s="7"/>
      <c r="F465" s="6" t="s">
        <v>314</v>
      </c>
      <c r="G465" s="6">
        <v>13</v>
      </c>
      <c r="H465" s="5" t="s">
        <v>38</v>
      </c>
      <c r="I465" s="6">
        <v>2</v>
      </c>
      <c r="J465" s="5" t="s">
        <v>97</v>
      </c>
      <c r="K465" s="6">
        <v>45366</v>
      </c>
      <c r="L465" s="5" t="s">
        <v>40</v>
      </c>
      <c r="M465" s="5" t="s">
        <v>66</v>
      </c>
      <c r="N465" s="5" t="s">
        <v>28</v>
      </c>
      <c r="O465" s="7">
        <v>45147</v>
      </c>
      <c r="P465" s="7">
        <v>45178.666666666664</v>
      </c>
      <c r="Q465" s="5" t="s">
        <v>69</v>
      </c>
      <c r="R465" s="5" t="s">
        <v>32</v>
      </c>
      <c r="S465" s="5" t="s">
        <v>33</v>
      </c>
      <c r="T465" s="6">
        <v>11</v>
      </c>
      <c r="U465" s="6">
        <v>12</v>
      </c>
      <c r="V465" s="5" t="s">
        <v>92</v>
      </c>
      <c r="W465" s="8"/>
      <c r="Y465">
        <f t="shared" si="10"/>
        <v>91.666666666666657</v>
      </c>
    </row>
    <row r="466" spans="1:25" ht="15.75" customHeight="1">
      <c r="A466" s="5" t="s">
        <v>1083</v>
      </c>
      <c r="B466" s="6">
        <v>16</v>
      </c>
      <c r="C466" s="5" t="s">
        <v>62</v>
      </c>
      <c r="D466" s="7">
        <v>45240</v>
      </c>
      <c r="E466" s="7"/>
      <c r="F466" s="6" t="s">
        <v>769</v>
      </c>
      <c r="G466" s="6">
        <v>11</v>
      </c>
      <c r="H466" s="5" t="s">
        <v>24</v>
      </c>
      <c r="I466" s="6">
        <v>3</v>
      </c>
      <c r="J466" s="5" t="s">
        <v>25</v>
      </c>
      <c r="K466" s="6">
        <v>42606</v>
      </c>
      <c r="L466" s="5" t="s">
        <v>40</v>
      </c>
      <c r="M466" s="5" t="s">
        <v>66</v>
      </c>
      <c r="N466" s="5" t="s">
        <v>28</v>
      </c>
      <c r="O466" s="7">
        <v>45087</v>
      </c>
      <c r="P466" s="7">
        <v>45117.708333333336</v>
      </c>
      <c r="Q466" s="5" t="s">
        <v>43</v>
      </c>
      <c r="R466" s="5" t="s">
        <v>44</v>
      </c>
      <c r="S466" s="5" t="s">
        <v>53</v>
      </c>
      <c r="T466" s="6">
        <v>10</v>
      </c>
      <c r="U466" s="6">
        <v>10</v>
      </c>
      <c r="V466" s="5" t="s">
        <v>54</v>
      </c>
      <c r="W466" s="8"/>
      <c r="Y466">
        <f t="shared" si="10"/>
        <v>100</v>
      </c>
    </row>
    <row r="467" spans="1:25" ht="15.75" customHeight="1">
      <c r="A467" s="5" t="s">
        <v>1084</v>
      </c>
      <c r="B467" s="6">
        <v>24</v>
      </c>
      <c r="C467" s="5" t="s">
        <v>47</v>
      </c>
      <c r="D467" s="6" t="s">
        <v>1085</v>
      </c>
      <c r="E467" s="6"/>
      <c r="F467" s="6" t="s">
        <v>329</v>
      </c>
      <c r="G467" s="6">
        <v>2</v>
      </c>
      <c r="H467" s="5" t="s">
        <v>38</v>
      </c>
      <c r="I467" s="6">
        <v>1</v>
      </c>
      <c r="J467" s="5" t="s">
        <v>89</v>
      </c>
      <c r="K467" s="6">
        <v>43640</v>
      </c>
      <c r="L467" s="5" t="s">
        <v>90</v>
      </c>
      <c r="M467" s="5" t="s">
        <v>27</v>
      </c>
      <c r="N467" s="5" t="s">
        <v>28</v>
      </c>
      <c r="O467" s="6" t="s">
        <v>943</v>
      </c>
      <c r="P467" s="6" t="s">
        <v>1086</v>
      </c>
      <c r="Q467" s="5" t="s">
        <v>69</v>
      </c>
      <c r="R467" s="5" t="s">
        <v>32</v>
      </c>
      <c r="S467" s="5" t="s">
        <v>33</v>
      </c>
      <c r="T467" s="6">
        <v>5</v>
      </c>
      <c r="U467" s="6">
        <v>10</v>
      </c>
      <c r="V467" s="5" t="s">
        <v>92</v>
      </c>
      <c r="W467" s="8"/>
      <c r="Y467">
        <f t="shared" si="10"/>
        <v>50</v>
      </c>
    </row>
    <row r="468" spans="1:25" ht="15.75" customHeight="1">
      <c r="A468" s="5" t="s">
        <v>1087</v>
      </c>
      <c r="B468" s="6">
        <v>80</v>
      </c>
      <c r="C468" s="5" t="s">
        <v>62</v>
      </c>
      <c r="D468" s="7">
        <v>45601</v>
      </c>
      <c r="E468" s="7"/>
      <c r="F468" s="6" t="s">
        <v>422</v>
      </c>
      <c r="G468" s="6">
        <v>3</v>
      </c>
      <c r="H468" s="5" t="s">
        <v>24</v>
      </c>
      <c r="I468" s="6">
        <v>2</v>
      </c>
      <c r="J468" s="5" t="s">
        <v>89</v>
      </c>
      <c r="K468" s="6">
        <v>49135</v>
      </c>
      <c r="L468" s="5" t="s">
        <v>40</v>
      </c>
      <c r="M468" s="5" t="s">
        <v>27</v>
      </c>
      <c r="N468" s="5" t="s">
        <v>47</v>
      </c>
      <c r="O468" s="7">
        <v>45509</v>
      </c>
      <c r="P468" s="7">
        <v>45509.458333333336</v>
      </c>
      <c r="Q468" s="5" t="s">
        <v>31</v>
      </c>
      <c r="R468" s="5" t="s">
        <v>32</v>
      </c>
      <c r="S468" s="5" t="s">
        <v>53</v>
      </c>
      <c r="T468" s="6">
        <v>7</v>
      </c>
      <c r="U468" s="6">
        <v>10</v>
      </c>
      <c r="V468" s="5" t="s">
        <v>54</v>
      </c>
      <c r="W468" s="8"/>
      <c r="Y468">
        <f t="shared" si="10"/>
        <v>70</v>
      </c>
    </row>
    <row r="469" spans="1:25" ht="15.75" customHeight="1">
      <c r="A469" s="5" t="s">
        <v>1088</v>
      </c>
      <c r="B469" s="6">
        <v>2</v>
      </c>
      <c r="C469" s="5" t="s">
        <v>36</v>
      </c>
      <c r="D469" s="7">
        <v>44966</v>
      </c>
      <c r="E469" s="7"/>
      <c r="F469" s="6" t="s">
        <v>363</v>
      </c>
      <c r="G469" s="6">
        <v>13</v>
      </c>
      <c r="H469" s="5" t="s">
        <v>46</v>
      </c>
      <c r="I469" s="6">
        <v>3</v>
      </c>
      <c r="J469" s="5" t="s">
        <v>89</v>
      </c>
      <c r="K469" s="6">
        <v>42067</v>
      </c>
      <c r="L469" s="5" t="s">
        <v>80</v>
      </c>
      <c r="M469" s="5" t="s">
        <v>27</v>
      </c>
      <c r="N469" s="5" t="s">
        <v>28</v>
      </c>
      <c r="O469" s="6" t="s">
        <v>201</v>
      </c>
      <c r="P469" s="6" t="s">
        <v>1089</v>
      </c>
      <c r="Q469" s="5" t="s">
        <v>69</v>
      </c>
      <c r="R469" s="5" t="s">
        <v>44</v>
      </c>
      <c r="S469" s="5" t="s">
        <v>49</v>
      </c>
      <c r="T469" s="6">
        <v>7</v>
      </c>
      <c r="U469" s="6">
        <v>12</v>
      </c>
      <c r="V469" s="5" t="s">
        <v>34</v>
      </c>
      <c r="W469" s="8"/>
      <c r="Y469">
        <f t="shared" si="10"/>
        <v>58.333333333333336</v>
      </c>
    </row>
    <row r="470" spans="1:25" ht="15.75" customHeight="1">
      <c r="A470" s="5" t="s">
        <v>1090</v>
      </c>
      <c r="B470" s="6">
        <v>32</v>
      </c>
      <c r="C470" s="5" t="s">
        <v>36</v>
      </c>
      <c r="D470" s="7">
        <v>45179</v>
      </c>
      <c r="E470" s="7"/>
      <c r="F470" s="6" t="s">
        <v>640</v>
      </c>
      <c r="G470" s="6">
        <v>11</v>
      </c>
      <c r="H470" s="5" t="s">
        <v>58</v>
      </c>
      <c r="I470" s="6">
        <v>4</v>
      </c>
      <c r="J470" s="5" t="s">
        <v>25</v>
      </c>
      <c r="K470" s="6">
        <v>22357</v>
      </c>
      <c r="L470" s="5" t="s">
        <v>80</v>
      </c>
      <c r="M470" s="5" t="s">
        <v>27</v>
      </c>
      <c r="N470" s="5" t="s">
        <v>47</v>
      </c>
      <c r="O470" s="7">
        <v>45148</v>
      </c>
      <c r="P470" s="7">
        <v>45148.375</v>
      </c>
      <c r="Q470" s="5" t="s">
        <v>31</v>
      </c>
      <c r="R470" s="5" t="s">
        <v>32</v>
      </c>
      <c r="S470" s="5" t="s">
        <v>53</v>
      </c>
      <c r="T470" s="6">
        <v>8</v>
      </c>
      <c r="U470" s="6">
        <v>12</v>
      </c>
      <c r="V470" s="5" t="s">
        <v>92</v>
      </c>
      <c r="W470" s="8"/>
      <c r="Y470">
        <f t="shared" si="10"/>
        <v>66.666666666666657</v>
      </c>
    </row>
    <row r="471" spans="1:25" ht="15.75" customHeight="1">
      <c r="A471" s="5" t="s">
        <v>1091</v>
      </c>
      <c r="B471" s="6">
        <v>84</v>
      </c>
      <c r="C471" s="5" t="s">
        <v>22</v>
      </c>
      <c r="D471" s="6" t="s">
        <v>1092</v>
      </c>
      <c r="E471" s="6"/>
      <c r="F471" s="7">
        <v>45355</v>
      </c>
      <c r="G471" s="6">
        <v>8</v>
      </c>
      <c r="H471" s="5" t="s">
        <v>58</v>
      </c>
      <c r="I471" s="6">
        <v>3</v>
      </c>
      <c r="J471" s="5" t="s">
        <v>89</v>
      </c>
      <c r="K471" s="6">
        <v>44851</v>
      </c>
      <c r="L471" s="5" t="s">
        <v>40</v>
      </c>
      <c r="M471" s="5" t="s">
        <v>27</v>
      </c>
      <c r="N471" s="5" t="s">
        <v>47</v>
      </c>
      <c r="O471" s="6" t="s">
        <v>477</v>
      </c>
      <c r="P471" s="6" t="s">
        <v>1093</v>
      </c>
      <c r="Q471" s="5" t="s">
        <v>31</v>
      </c>
      <c r="R471" s="5" t="s">
        <v>44</v>
      </c>
      <c r="S471" s="5" t="s">
        <v>33</v>
      </c>
      <c r="T471" s="6">
        <v>8</v>
      </c>
      <c r="U471" s="6">
        <v>10</v>
      </c>
      <c r="V471" s="5" t="s">
        <v>54</v>
      </c>
      <c r="W471" s="8"/>
      <c r="Y471">
        <f t="shared" si="10"/>
        <v>80</v>
      </c>
    </row>
    <row r="472" spans="1:25" ht="15.75" customHeight="1">
      <c r="A472" s="5" t="s">
        <v>1094</v>
      </c>
      <c r="B472" s="6">
        <v>24</v>
      </c>
      <c r="C472" s="5" t="s">
        <v>36</v>
      </c>
      <c r="D472" s="6" t="s">
        <v>180</v>
      </c>
      <c r="E472" s="6"/>
      <c r="F472" s="6" t="s">
        <v>77</v>
      </c>
      <c r="G472" s="6">
        <v>8</v>
      </c>
      <c r="H472" s="5" t="s">
        <v>73</v>
      </c>
      <c r="I472" s="6">
        <v>5</v>
      </c>
      <c r="J472" s="5" t="s">
        <v>25</v>
      </c>
      <c r="K472" s="6">
        <v>43262</v>
      </c>
      <c r="L472" s="5" t="s">
        <v>90</v>
      </c>
      <c r="M472" s="5" t="s">
        <v>27</v>
      </c>
      <c r="N472" s="5" t="s">
        <v>47</v>
      </c>
      <c r="O472" s="6" t="s">
        <v>595</v>
      </c>
      <c r="P472" s="6" t="s">
        <v>1095</v>
      </c>
      <c r="Q472" s="5" t="s">
        <v>48</v>
      </c>
      <c r="R472" s="5" t="s">
        <v>44</v>
      </c>
      <c r="S472" s="5" t="s">
        <v>33</v>
      </c>
      <c r="T472" s="6">
        <v>9</v>
      </c>
      <c r="U472" s="6">
        <v>10</v>
      </c>
      <c r="V472" s="5" t="s">
        <v>34</v>
      </c>
      <c r="W472" s="8"/>
      <c r="Y472">
        <f t="shared" si="10"/>
        <v>90</v>
      </c>
    </row>
    <row r="473" spans="1:25" ht="15.75" customHeight="1">
      <c r="A473" s="5" t="s">
        <v>1096</v>
      </c>
      <c r="B473" s="6">
        <v>12</v>
      </c>
      <c r="C473" s="5" t="s">
        <v>22</v>
      </c>
      <c r="D473" s="6" t="s">
        <v>640</v>
      </c>
      <c r="E473" s="6"/>
      <c r="F473" s="7">
        <v>44968</v>
      </c>
      <c r="G473" s="6">
        <v>13</v>
      </c>
      <c r="H473" s="5" t="s">
        <v>24</v>
      </c>
      <c r="I473" s="6">
        <v>3</v>
      </c>
      <c r="J473" s="5" t="s">
        <v>89</v>
      </c>
      <c r="K473" s="6">
        <v>16317</v>
      </c>
      <c r="L473" s="5" t="s">
        <v>90</v>
      </c>
      <c r="M473" s="5" t="s">
        <v>66</v>
      </c>
      <c r="N473" s="5" t="s">
        <v>28</v>
      </c>
      <c r="O473" s="6" t="s">
        <v>520</v>
      </c>
      <c r="P473" s="6" t="s">
        <v>1097</v>
      </c>
      <c r="Q473" s="5" t="s">
        <v>69</v>
      </c>
      <c r="R473" s="5" t="s">
        <v>32</v>
      </c>
      <c r="S473" s="5" t="s">
        <v>53</v>
      </c>
      <c r="T473" s="6">
        <v>4</v>
      </c>
      <c r="U473" s="6">
        <v>8</v>
      </c>
      <c r="V473" s="5" t="s">
        <v>54</v>
      </c>
      <c r="W473" s="8"/>
      <c r="Y473">
        <f t="shared" si="10"/>
        <v>50</v>
      </c>
    </row>
    <row r="474" spans="1:25" ht="15.75" customHeight="1">
      <c r="A474" s="5" t="s">
        <v>1098</v>
      </c>
      <c r="B474" s="6">
        <v>50</v>
      </c>
      <c r="C474" s="5" t="s">
        <v>51</v>
      </c>
      <c r="D474" s="6" t="s">
        <v>516</v>
      </c>
      <c r="E474" s="6"/>
      <c r="F474" s="7">
        <v>45147</v>
      </c>
      <c r="G474" s="6">
        <v>10</v>
      </c>
      <c r="H474" s="5" t="s">
        <v>38</v>
      </c>
      <c r="I474" s="6">
        <v>5</v>
      </c>
      <c r="J474" s="5" t="s">
        <v>52</v>
      </c>
      <c r="K474" s="6">
        <v>26534</v>
      </c>
      <c r="L474" s="5" t="s">
        <v>90</v>
      </c>
      <c r="M474" s="5" t="s">
        <v>27</v>
      </c>
      <c r="N474" s="5" t="s">
        <v>47</v>
      </c>
      <c r="O474" s="6" t="s">
        <v>495</v>
      </c>
      <c r="P474" s="6" t="s">
        <v>1099</v>
      </c>
      <c r="Q474" s="5" t="s">
        <v>86</v>
      </c>
      <c r="R474" s="5" t="s">
        <v>32</v>
      </c>
      <c r="S474" s="5" t="s">
        <v>33</v>
      </c>
      <c r="T474" s="6">
        <v>9</v>
      </c>
      <c r="U474" s="6">
        <v>8</v>
      </c>
      <c r="V474" s="5" t="s">
        <v>34</v>
      </c>
      <c r="W474" s="8"/>
      <c r="Y474">
        <f t="shared" si="10"/>
        <v>112.5</v>
      </c>
    </row>
    <row r="475" spans="1:25" ht="15.75" customHeight="1">
      <c r="A475" s="5" t="s">
        <v>1100</v>
      </c>
      <c r="B475" s="6">
        <v>35</v>
      </c>
      <c r="C475" s="5" t="s">
        <v>62</v>
      </c>
      <c r="D475" s="7">
        <v>45087</v>
      </c>
      <c r="E475" s="7"/>
      <c r="F475" s="6" t="s">
        <v>205</v>
      </c>
      <c r="G475" s="6">
        <v>13</v>
      </c>
      <c r="H475" s="5" t="s">
        <v>58</v>
      </c>
      <c r="I475" s="6">
        <v>2</v>
      </c>
      <c r="J475" s="5" t="s">
        <v>52</v>
      </c>
      <c r="K475" s="6">
        <v>30734</v>
      </c>
      <c r="L475" s="5" t="s">
        <v>65</v>
      </c>
      <c r="M475" s="5" t="s">
        <v>66</v>
      </c>
      <c r="N475" s="5" t="s">
        <v>28</v>
      </c>
      <c r="O475" s="7">
        <v>45087</v>
      </c>
      <c r="P475" s="7">
        <v>45087.958333333336</v>
      </c>
      <c r="Q475" s="5" t="s">
        <v>48</v>
      </c>
      <c r="R475" s="5" t="s">
        <v>32</v>
      </c>
      <c r="S475" s="5" t="s">
        <v>53</v>
      </c>
      <c r="T475" s="6">
        <v>5</v>
      </c>
      <c r="U475" s="6">
        <v>10</v>
      </c>
      <c r="V475" s="5" t="s">
        <v>34</v>
      </c>
      <c r="W475" s="8"/>
      <c r="Y475">
        <f t="shared" si="10"/>
        <v>50</v>
      </c>
    </row>
    <row r="476" spans="1:25" ht="15.75" customHeight="1">
      <c r="A476" s="5" t="s">
        <v>1101</v>
      </c>
      <c r="B476" s="6">
        <v>33</v>
      </c>
      <c r="C476" s="5" t="s">
        <v>51</v>
      </c>
      <c r="D476" s="7">
        <v>45211</v>
      </c>
      <c r="E476" s="7"/>
      <c r="F476" s="6" t="s">
        <v>876</v>
      </c>
      <c r="G476" s="6">
        <v>10</v>
      </c>
      <c r="H476" s="5" t="s">
        <v>58</v>
      </c>
      <c r="I476" s="6">
        <v>3</v>
      </c>
      <c r="J476" s="5" t="s">
        <v>25</v>
      </c>
      <c r="K476" s="6">
        <v>40897</v>
      </c>
      <c r="L476" s="5" t="s">
        <v>40</v>
      </c>
      <c r="M476" s="5" t="s">
        <v>66</v>
      </c>
      <c r="N476" s="5" t="s">
        <v>47</v>
      </c>
      <c r="O476" s="7">
        <v>45211</v>
      </c>
      <c r="P476" s="7">
        <v>45242.458333333336</v>
      </c>
      <c r="Q476" s="5" t="s">
        <v>31</v>
      </c>
      <c r="R476" s="5" t="s">
        <v>32</v>
      </c>
      <c r="S476" s="5" t="s">
        <v>49</v>
      </c>
      <c r="T476" s="6">
        <v>9</v>
      </c>
      <c r="U476" s="6">
        <v>10</v>
      </c>
      <c r="V476" s="5" t="s">
        <v>54</v>
      </c>
      <c r="W476" s="8"/>
      <c r="Y476">
        <f t="shared" si="10"/>
        <v>90</v>
      </c>
    </row>
    <row r="477" spans="1:25" ht="15.75" customHeight="1">
      <c r="A477" s="5" t="s">
        <v>1102</v>
      </c>
      <c r="B477" s="6">
        <v>33</v>
      </c>
      <c r="C477" s="5" t="s">
        <v>36</v>
      </c>
      <c r="D477" s="6" t="s">
        <v>657</v>
      </c>
      <c r="E477" s="6"/>
      <c r="F477" s="7">
        <v>44969</v>
      </c>
      <c r="G477" s="6">
        <v>8</v>
      </c>
      <c r="H477" s="5" t="s">
        <v>83</v>
      </c>
      <c r="I477" s="6">
        <v>2</v>
      </c>
      <c r="J477" s="5" t="s">
        <v>52</v>
      </c>
      <c r="K477" s="6">
        <v>37872</v>
      </c>
      <c r="L477" s="5" t="s">
        <v>90</v>
      </c>
      <c r="M477" s="5" t="s">
        <v>27</v>
      </c>
      <c r="N477" s="5" t="s">
        <v>28</v>
      </c>
      <c r="O477" s="6" t="s">
        <v>288</v>
      </c>
      <c r="P477" s="6" t="s">
        <v>1103</v>
      </c>
      <c r="Q477" s="5" t="s">
        <v>86</v>
      </c>
      <c r="R477" s="5" t="s">
        <v>44</v>
      </c>
      <c r="S477" s="5" t="s">
        <v>53</v>
      </c>
      <c r="T477" s="6">
        <v>8</v>
      </c>
      <c r="U477" s="6">
        <v>12</v>
      </c>
      <c r="V477" s="5" t="s">
        <v>54</v>
      </c>
      <c r="W477" s="8"/>
      <c r="Y477">
        <f t="shared" si="10"/>
        <v>66.666666666666657</v>
      </c>
    </row>
    <row r="478" spans="1:25" ht="15.75" customHeight="1">
      <c r="A478" s="5" t="s">
        <v>1104</v>
      </c>
      <c r="B478" s="6">
        <v>61</v>
      </c>
      <c r="C478" s="5" t="s">
        <v>51</v>
      </c>
      <c r="D478" s="6" t="s">
        <v>501</v>
      </c>
      <c r="E478" s="6"/>
      <c r="F478" s="7">
        <v>45020</v>
      </c>
      <c r="G478" s="6">
        <v>11</v>
      </c>
      <c r="H478" s="5" t="s">
        <v>83</v>
      </c>
      <c r="I478" s="6">
        <v>2</v>
      </c>
      <c r="J478" s="5" t="s">
        <v>25</v>
      </c>
      <c r="K478" s="6">
        <v>45201</v>
      </c>
      <c r="L478" s="5" t="s">
        <v>80</v>
      </c>
      <c r="M478" s="5" t="s">
        <v>27</v>
      </c>
      <c r="N478" s="5" t="s">
        <v>47</v>
      </c>
      <c r="O478" s="6" t="s">
        <v>508</v>
      </c>
      <c r="P478" s="6" t="s">
        <v>1105</v>
      </c>
      <c r="Q478" s="5" t="s">
        <v>43</v>
      </c>
      <c r="R478" s="5" t="s">
        <v>32</v>
      </c>
      <c r="S478" s="5" t="s">
        <v>53</v>
      </c>
      <c r="T478" s="6">
        <v>10</v>
      </c>
      <c r="U478" s="6">
        <v>10</v>
      </c>
      <c r="V478" s="5" t="s">
        <v>34</v>
      </c>
      <c r="W478" s="8"/>
      <c r="Y478">
        <f t="shared" si="10"/>
        <v>100</v>
      </c>
    </row>
    <row r="479" spans="1:25" ht="15.75" customHeight="1">
      <c r="A479" s="5" t="s">
        <v>1106</v>
      </c>
      <c r="B479" s="6">
        <v>51</v>
      </c>
      <c r="C479" s="5" t="s">
        <v>51</v>
      </c>
      <c r="D479" s="6" t="s">
        <v>326</v>
      </c>
      <c r="E479" s="6"/>
      <c r="F479" s="7">
        <v>45083</v>
      </c>
      <c r="G479" s="6">
        <v>15</v>
      </c>
      <c r="H479" s="5" t="s">
        <v>58</v>
      </c>
      <c r="I479" s="6">
        <v>1</v>
      </c>
      <c r="J479" s="5" t="s">
        <v>52</v>
      </c>
      <c r="K479" s="6">
        <v>12689</v>
      </c>
      <c r="L479" s="5" t="s">
        <v>26</v>
      </c>
      <c r="M479" s="5" t="s">
        <v>66</v>
      </c>
      <c r="N479" s="5" t="s">
        <v>47</v>
      </c>
      <c r="O479" s="6" t="s">
        <v>756</v>
      </c>
      <c r="P479" s="6" t="s">
        <v>1107</v>
      </c>
      <c r="Q479" s="5" t="s">
        <v>43</v>
      </c>
      <c r="R479" s="5" t="s">
        <v>32</v>
      </c>
      <c r="S479" s="5" t="s">
        <v>53</v>
      </c>
      <c r="T479" s="6">
        <v>9</v>
      </c>
      <c r="U479" s="6">
        <v>8</v>
      </c>
      <c r="V479" s="5" t="s">
        <v>34</v>
      </c>
      <c r="W479" s="8"/>
      <c r="Y479">
        <f t="shared" si="10"/>
        <v>112.5</v>
      </c>
    </row>
    <row r="480" spans="1:25" ht="15.75" customHeight="1">
      <c r="A480" s="5" t="s">
        <v>1108</v>
      </c>
      <c r="B480" s="6">
        <v>43</v>
      </c>
      <c r="C480" s="5" t="s">
        <v>51</v>
      </c>
      <c r="D480" s="7">
        <v>45022</v>
      </c>
      <c r="E480" s="7"/>
      <c r="F480" s="6" t="s">
        <v>345</v>
      </c>
      <c r="G480" s="6">
        <v>15</v>
      </c>
      <c r="H480" s="5" t="s">
        <v>24</v>
      </c>
      <c r="I480" s="6">
        <v>2</v>
      </c>
      <c r="J480" s="5" t="s">
        <v>52</v>
      </c>
      <c r="K480" s="6">
        <v>8567</v>
      </c>
      <c r="L480" s="5" t="s">
        <v>26</v>
      </c>
      <c r="M480" s="5" t="s">
        <v>66</v>
      </c>
      <c r="N480" s="5" t="s">
        <v>28</v>
      </c>
      <c r="O480" s="6" t="s">
        <v>581</v>
      </c>
      <c r="P480" s="6" t="s">
        <v>1109</v>
      </c>
      <c r="Q480" s="5" t="s">
        <v>48</v>
      </c>
      <c r="R480" s="5" t="s">
        <v>32</v>
      </c>
      <c r="S480" s="5" t="s">
        <v>53</v>
      </c>
      <c r="T480" s="6">
        <v>6</v>
      </c>
      <c r="U480" s="6">
        <v>8</v>
      </c>
      <c r="V480" s="5" t="s">
        <v>34</v>
      </c>
      <c r="W480" s="8"/>
      <c r="Y480">
        <f t="shared" si="10"/>
        <v>75</v>
      </c>
    </row>
    <row r="481" spans="1:25" ht="15.75" customHeight="1">
      <c r="A481" s="5" t="s">
        <v>1110</v>
      </c>
      <c r="B481" s="6">
        <v>12</v>
      </c>
      <c r="C481" s="5" t="s">
        <v>36</v>
      </c>
      <c r="D481" s="6" t="s">
        <v>1111</v>
      </c>
      <c r="E481" s="6"/>
      <c r="F481" s="7">
        <v>45025</v>
      </c>
      <c r="G481" s="6">
        <v>10</v>
      </c>
      <c r="H481" s="5" t="s">
        <v>73</v>
      </c>
      <c r="I481" s="6">
        <v>2</v>
      </c>
      <c r="J481" s="5" t="s">
        <v>25</v>
      </c>
      <c r="K481" s="6">
        <v>25732</v>
      </c>
      <c r="L481" s="5" t="s">
        <v>90</v>
      </c>
      <c r="M481" s="5" t="s">
        <v>27</v>
      </c>
      <c r="N481" s="5" t="s">
        <v>47</v>
      </c>
      <c r="O481" s="6" t="s">
        <v>271</v>
      </c>
      <c r="P481" s="6" t="s">
        <v>1112</v>
      </c>
      <c r="Q481" s="5" t="s">
        <v>86</v>
      </c>
      <c r="R481" s="5" t="s">
        <v>32</v>
      </c>
      <c r="S481" s="5" t="s">
        <v>49</v>
      </c>
      <c r="T481" s="6">
        <v>11</v>
      </c>
      <c r="U481" s="6">
        <v>8</v>
      </c>
      <c r="V481" s="5" t="s">
        <v>92</v>
      </c>
      <c r="W481" s="8"/>
      <c r="Y481">
        <f t="shared" si="10"/>
        <v>137.5</v>
      </c>
    </row>
    <row r="482" spans="1:25" ht="15.75" customHeight="1">
      <c r="A482" s="5" t="s">
        <v>1113</v>
      </c>
      <c r="B482" s="6">
        <v>67</v>
      </c>
      <c r="C482" s="5" t="s">
        <v>47</v>
      </c>
      <c r="D482" s="6" t="s">
        <v>926</v>
      </c>
      <c r="E482" s="6"/>
      <c r="F482" s="7">
        <v>45506</v>
      </c>
      <c r="G482" s="6">
        <v>11</v>
      </c>
      <c r="H482" s="5" t="s">
        <v>58</v>
      </c>
      <c r="I482" s="6">
        <v>3</v>
      </c>
      <c r="J482" s="5" t="s">
        <v>97</v>
      </c>
      <c r="K482" s="6">
        <v>25774</v>
      </c>
      <c r="L482" s="5" t="s">
        <v>26</v>
      </c>
      <c r="M482" s="5" t="s">
        <v>66</v>
      </c>
      <c r="N482" s="5" t="s">
        <v>28</v>
      </c>
      <c r="O482" s="6" t="s">
        <v>174</v>
      </c>
      <c r="P482" s="6" t="s">
        <v>1114</v>
      </c>
      <c r="Q482" s="5" t="s">
        <v>69</v>
      </c>
      <c r="R482" s="5" t="s">
        <v>32</v>
      </c>
      <c r="S482" s="5" t="s">
        <v>49</v>
      </c>
      <c r="T482" s="6">
        <v>4</v>
      </c>
      <c r="U482" s="6">
        <v>8</v>
      </c>
      <c r="V482" s="5" t="s">
        <v>34</v>
      </c>
      <c r="W482" s="8"/>
      <c r="Y482">
        <f t="shared" si="10"/>
        <v>50</v>
      </c>
    </row>
    <row r="483" spans="1:25" ht="15.75" customHeight="1">
      <c r="A483" s="5" t="s">
        <v>1115</v>
      </c>
      <c r="B483" s="6">
        <v>65</v>
      </c>
      <c r="C483" s="5" t="s">
        <v>51</v>
      </c>
      <c r="D483" s="7">
        <v>45083</v>
      </c>
      <c r="E483" s="7"/>
      <c r="F483" s="6" t="s">
        <v>251</v>
      </c>
      <c r="G483" s="6">
        <v>11</v>
      </c>
      <c r="H483" s="5" t="s">
        <v>46</v>
      </c>
      <c r="I483" s="6">
        <v>3</v>
      </c>
      <c r="J483" s="5" t="s">
        <v>52</v>
      </c>
      <c r="K483" s="6">
        <v>28195</v>
      </c>
      <c r="L483" s="5" t="s">
        <v>26</v>
      </c>
      <c r="M483" s="5" t="s">
        <v>27</v>
      </c>
      <c r="N483" s="5" t="s">
        <v>28</v>
      </c>
      <c r="O483" s="7">
        <v>45083</v>
      </c>
      <c r="P483" s="7">
        <v>45083.791666666664</v>
      </c>
      <c r="Q483" s="5" t="s">
        <v>86</v>
      </c>
      <c r="R483" s="5" t="s">
        <v>32</v>
      </c>
      <c r="S483" s="5" t="s">
        <v>49</v>
      </c>
      <c r="T483" s="6">
        <v>8</v>
      </c>
      <c r="U483" s="6">
        <v>8</v>
      </c>
      <c r="V483" s="5" t="s">
        <v>92</v>
      </c>
      <c r="W483" s="8"/>
      <c r="Y483">
        <f t="shared" si="10"/>
        <v>100</v>
      </c>
    </row>
    <row r="484" spans="1:25" ht="15.75" customHeight="1">
      <c r="A484" s="5" t="s">
        <v>1116</v>
      </c>
      <c r="B484" s="6">
        <v>33</v>
      </c>
      <c r="C484" s="5" t="s">
        <v>22</v>
      </c>
      <c r="D484" s="7">
        <v>45146</v>
      </c>
      <c r="E484" s="7"/>
      <c r="F484" s="6" t="s">
        <v>57</v>
      </c>
      <c r="G484" s="6">
        <v>10</v>
      </c>
      <c r="H484" s="5" t="s">
        <v>38</v>
      </c>
      <c r="I484" s="6">
        <v>4</v>
      </c>
      <c r="J484" s="5" t="s">
        <v>89</v>
      </c>
      <c r="K484" s="6">
        <v>42412</v>
      </c>
      <c r="L484" s="5" t="s">
        <v>65</v>
      </c>
      <c r="M484" s="5" t="s">
        <v>66</v>
      </c>
      <c r="N484" s="5" t="s">
        <v>47</v>
      </c>
      <c r="O484" s="7">
        <v>45115</v>
      </c>
      <c r="P484" s="7">
        <v>45115.791666666664</v>
      </c>
      <c r="Q484" s="5" t="s">
        <v>48</v>
      </c>
      <c r="R484" s="5" t="s">
        <v>32</v>
      </c>
      <c r="S484" s="5" t="s">
        <v>53</v>
      </c>
      <c r="T484" s="6">
        <v>10</v>
      </c>
      <c r="U484" s="6">
        <v>8</v>
      </c>
      <c r="V484" s="5" t="s">
        <v>34</v>
      </c>
      <c r="W484" s="8"/>
      <c r="Y484">
        <f t="shared" si="10"/>
        <v>125</v>
      </c>
    </row>
    <row r="485" spans="1:25" ht="15.75" customHeight="1">
      <c r="A485" s="5" t="s">
        <v>1117</v>
      </c>
      <c r="B485" s="6">
        <v>40</v>
      </c>
      <c r="C485" s="5" t="s">
        <v>36</v>
      </c>
      <c r="D485" s="7">
        <v>45110</v>
      </c>
      <c r="E485" s="7"/>
      <c r="F485" s="6" t="s">
        <v>192</v>
      </c>
      <c r="G485" s="6">
        <v>6</v>
      </c>
      <c r="H485" s="5" t="s">
        <v>73</v>
      </c>
      <c r="I485" s="6">
        <v>1</v>
      </c>
      <c r="J485" s="5" t="s">
        <v>97</v>
      </c>
      <c r="K485" s="6">
        <v>49098</v>
      </c>
      <c r="L485" s="5" t="s">
        <v>80</v>
      </c>
      <c r="M485" s="5" t="s">
        <v>66</v>
      </c>
      <c r="N485" s="5" t="s">
        <v>28</v>
      </c>
      <c r="O485" s="7">
        <v>45019</v>
      </c>
      <c r="P485" s="7">
        <v>45049.541666666664</v>
      </c>
      <c r="Q485" s="5" t="s">
        <v>69</v>
      </c>
      <c r="R485" s="5" t="s">
        <v>32</v>
      </c>
      <c r="S485" s="5" t="s">
        <v>49</v>
      </c>
      <c r="T485" s="6">
        <v>7</v>
      </c>
      <c r="U485" s="6">
        <v>10</v>
      </c>
      <c r="V485" s="5" t="s">
        <v>92</v>
      </c>
      <c r="W485" s="8"/>
      <c r="Y485">
        <f t="shared" si="10"/>
        <v>70</v>
      </c>
    </row>
    <row r="486" spans="1:25" ht="15.75" customHeight="1">
      <c r="A486" s="5" t="s">
        <v>1118</v>
      </c>
      <c r="B486" s="6">
        <v>74</v>
      </c>
      <c r="C486" s="5" t="s">
        <v>51</v>
      </c>
      <c r="D486" s="6" t="s">
        <v>117</v>
      </c>
      <c r="E486" s="6"/>
      <c r="F486" s="6" t="s">
        <v>317</v>
      </c>
      <c r="G486" s="6">
        <v>14</v>
      </c>
      <c r="H486" s="5" t="s">
        <v>46</v>
      </c>
      <c r="I486" s="6">
        <v>2</v>
      </c>
      <c r="J486" s="5" t="s">
        <v>25</v>
      </c>
      <c r="K486" s="6">
        <v>27257</v>
      </c>
      <c r="L486" s="5" t="s">
        <v>80</v>
      </c>
      <c r="M486" s="5" t="s">
        <v>66</v>
      </c>
      <c r="N486" s="5" t="s">
        <v>47</v>
      </c>
      <c r="O486" s="6" t="s">
        <v>321</v>
      </c>
      <c r="P486" s="6" t="s">
        <v>1119</v>
      </c>
      <c r="Q486" s="5" t="s">
        <v>69</v>
      </c>
      <c r="R486" s="5" t="s">
        <v>44</v>
      </c>
      <c r="S486" s="5" t="s">
        <v>33</v>
      </c>
      <c r="T486" s="6">
        <v>11</v>
      </c>
      <c r="U486" s="6">
        <v>8</v>
      </c>
      <c r="V486" s="5" t="s">
        <v>34</v>
      </c>
      <c r="W486" s="8"/>
      <c r="Y486">
        <f t="shared" si="10"/>
        <v>137.5</v>
      </c>
    </row>
    <row r="487" spans="1:25" ht="15.75" customHeight="1">
      <c r="A487" s="5" t="s">
        <v>1120</v>
      </c>
      <c r="B487" s="6">
        <v>43</v>
      </c>
      <c r="C487" s="5" t="s">
        <v>47</v>
      </c>
      <c r="D487" s="6" t="s">
        <v>846</v>
      </c>
      <c r="E487" s="6"/>
      <c r="F487" s="7">
        <v>45385</v>
      </c>
      <c r="G487" s="6">
        <v>11</v>
      </c>
      <c r="H487" s="5" t="s">
        <v>73</v>
      </c>
      <c r="I487" s="6">
        <v>1</v>
      </c>
      <c r="J487" s="5" t="s">
        <v>97</v>
      </c>
      <c r="K487" s="6">
        <v>9394</v>
      </c>
      <c r="L487" s="5" t="s">
        <v>65</v>
      </c>
      <c r="M487" s="5" t="s">
        <v>66</v>
      </c>
      <c r="N487" s="5" t="s">
        <v>28</v>
      </c>
      <c r="O487" s="6" t="s">
        <v>846</v>
      </c>
      <c r="P487" s="6" t="s">
        <v>1121</v>
      </c>
      <c r="Q487" s="5" t="s">
        <v>43</v>
      </c>
      <c r="R487" s="5" t="s">
        <v>32</v>
      </c>
      <c r="S487" s="5" t="s">
        <v>49</v>
      </c>
      <c r="T487" s="6">
        <v>9</v>
      </c>
      <c r="U487" s="6">
        <v>8</v>
      </c>
      <c r="V487" s="5" t="s">
        <v>34</v>
      </c>
      <c r="W487" s="8"/>
      <c r="Y487">
        <f t="shared" si="10"/>
        <v>112.5</v>
      </c>
    </row>
    <row r="488" spans="1:25" ht="15.75" customHeight="1">
      <c r="A488" s="5" t="s">
        <v>1122</v>
      </c>
      <c r="B488" s="6">
        <v>44</v>
      </c>
      <c r="C488" s="5" t="s">
        <v>36</v>
      </c>
      <c r="D488" s="7">
        <v>45058</v>
      </c>
      <c r="E488" s="7"/>
      <c r="F488" s="7">
        <v>45242</v>
      </c>
      <c r="G488" s="6">
        <v>6</v>
      </c>
      <c r="H488" s="5" t="s">
        <v>46</v>
      </c>
      <c r="I488" s="6">
        <v>5</v>
      </c>
      <c r="J488" s="5" t="s">
        <v>39</v>
      </c>
      <c r="K488" s="6">
        <v>41302</v>
      </c>
      <c r="L488" s="5" t="s">
        <v>65</v>
      </c>
      <c r="M488" s="5" t="s">
        <v>66</v>
      </c>
      <c r="N488" s="5" t="s">
        <v>47</v>
      </c>
      <c r="O488" s="7">
        <v>44969</v>
      </c>
      <c r="P488" s="7">
        <v>44997.833333333336</v>
      </c>
      <c r="Q488" s="5" t="s">
        <v>86</v>
      </c>
      <c r="R488" s="5" t="s">
        <v>32</v>
      </c>
      <c r="S488" s="5" t="s">
        <v>53</v>
      </c>
      <c r="T488" s="6">
        <v>8</v>
      </c>
      <c r="U488" s="6">
        <v>8</v>
      </c>
      <c r="V488" s="5" t="s">
        <v>34</v>
      </c>
      <c r="W488" s="8"/>
      <c r="Y488">
        <f t="shared" si="10"/>
        <v>100</v>
      </c>
    </row>
    <row r="489" spans="1:25" ht="15.75" customHeight="1">
      <c r="A489" s="5" t="s">
        <v>1123</v>
      </c>
      <c r="B489" s="6">
        <v>29</v>
      </c>
      <c r="C489" s="5" t="s">
        <v>82</v>
      </c>
      <c r="D489" s="6" t="s">
        <v>1124</v>
      </c>
      <c r="E489" s="6"/>
      <c r="F489" s="6" t="s">
        <v>1125</v>
      </c>
      <c r="G489" s="6">
        <v>3</v>
      </c>
      <c r="H489" s="5" t="s">
        <v>38</v>
      </c>
      <c r="I489" s="6">
        <v>2</v>
      </c>
      <c r="J489" s="5" t="s">
        <v>39</v>
      </c>
      <c r="K489" s="6">
        <v>27228</v>
      </c>
      <c r="L489" s="5" t="s">
        <v>26</v>
      </c>
      <c r="M489" s="5" t="s">
        <v>27</v>
      </c>
      <c r="N489" s="5" t="s">
        <v>28</v>
      </c>
      <c r="O489" s="6" t="s">
        <v>360</v>
      </c>
      <c r="P489" s="6" t="s">
        <v>1126</v>
      </c>
      <c r="Q489" s="5" t="s">
        <v>69</v>
      </c>
      <c r="R489" s="5" t="s">
        <v>32</v>
      </c>
      <c r="S489" s="5" t="s">
        <v>33</v>
      </c>
      <c r="T489" s="6">
        <v>7</v>
      </c>
      <c r="U489" s="6">
        <v>8</v>
      </c>
      <c r="V489" s="5" t="s">
        <v>54</v>
      </c>
      <c r="W489" s="8"/>
      <c r="Y489">
        <f t="shared" si="10"/>
        <v>87.5</v>
      </c>
    </row>
    <row r="490" spans="1:25" ht="15.75" customHeight="1">
      <c r="A490" s="5" t="s">
        <v>1127</v>
      </c>
      <c r="B490" s="6">
        <v>13</v>
      </c>
      <c r="C490" s="5" t="s">
        <v>47</v>
      </c>
      <c r="D490" s="7">
        <v>45294</v>
      </c>
      <c r="E490" s="7"/>
      <c r="F490" s="7">
        <v>45538</v>
      </c>
      <c r="G490" s="6">
        <v>8</v>
      </c>
      <c r="H490" s="5" t="s">
        <v>38</v>
      </c>
      <c r="I490" s="6">
        <v>1</v>
      </c>
      <c r="J490" s="5" t="s">
        <v>52</v>
      </c>
      <c r="K490" s="6">
        <v>17388</v>
      </c>
      <c r="L490" s="5" t="s">
        <v>40</v>
      </c>
      <c r="M490" s="5" t="s">
        <v>66</v>
      </c>
      <c r="N490" s="5" t="s">
        <v>47</v>
      </c>
      <c r="O490" s="6" t="s">
        <v>117</v>
      </c>
      <c r="P490" s="6" t="s">
        <v>1128</v>
      </c>
      <c r="Q490" s="5" t="s">
        <v>48</v>
      </c>
      <c r="R490" s="5" t="s">
        <v>32</v>
      </c>
      <c r="S490" s="5" t="s">
        <v>53</v>
      </c>
      <c r="T490" s="6">
        <v>7</v>
      </c>
      <c r="U490" s="6">
        <v>10</v>
      </c>
      <c r="V490" s="5" t="s">
        <v>54</v>
      </c>
      <c r="W490" s="8"/>
      <c r="Y490">
        <f t="shared" si="10"/>
        <v>70</v>
      </c>
    </row>
    <row r="491" spans="1:25" ht="15.75" customHeight="1">
      <c r="A491" s="5" t="s">
        <v>1129</v>
      </c>
      <c r="B491" s="6">
        <v>12</v>
      </c>
      <c r="C491" s="5" t="s">
        <v>22</v>
      </c>
      <c r="D491" s="7">
        <v>45049</v>
      </c>
      <c r="E491" s="7"/>
      <c r="F491" s="7">
        <v>45110</v>
      </c>
      <c r="G491" s="6">
        <v>2</v>
      </c>
      <c r="H491" s="5" t="s">
        <v>83</v>
      </c>
      <c r="I491" s="6">
        <v>4</v>
      </c>
      <c r="J491" s="5" t="s">
        <v>52</v>
      </c>
      <c r="K491" s="6">
        <v>16319</v>
      </c>
      <c r="L491" s="5" t="s">
        <v>26</v>
      </c>
      <c r="M491" s="5" t="s">
        <v>66</v>
      </c>
      <c r="N491" s="5" t="s">
        <v>28</v>
      </c>
      <c r="O491" s="6" t="s">
        <v>660</v>
      </c>
      <c r="P491" s="7">
        <v>44929.125</v>
      </c>
      <c r="Q491" s="5" t="s">
        <v>43</v>
      </c>
      <c r="R491" s="5" t="s">
        <v>32</v>
      </c>
      <c r="S491" s="5" t="s">
        <v>33</v>
      </c>
      <c r="T491" s="6">
        <v>5</v>
      </c>
      <c r="U491" s="6">
        <v>12</v>
      </c>
      <c r="V491" s="5" t="s">
        <v>34</v>
      </c>
      <c r="W491" s="8"/>
      <c r="Y491">
        <f t="shared" si="10"/>
        <v>41.666666666666671</v>
      </c>
    </row>
    <row r="492" spans="1:25" ht="15.75" customHeight="1">
      <c r="A492" s="5" t="s">
        <v>1130</v>
      </c>
      <c r="B492" s="6">
        <v>46</v>
      </c>
      <c r="C492" s="5" t="s">
        <v>51</v>
      </c>
      <c r="D492" s="6" t="s">
        <v>404</v>
      </c>
      <c r="E492" s="6"/>
      <c r="F492" s="7">
        <v>45146</v>
      </c>
      <c r="G492" s="6">
        <v>8</v>
      </c>
      <c r="H492" s="5" t="s">
        <v>24</v>
      </c>
      <c r="I492" s="6">
        <v>4</v>
      </c>
      <c r="J492" s="5" t="s">
        <v>89</v>
      </c>
      <c r="K492" s="6">
        <v>11475</v>
      </c>
      <c r="L492" s="5" t="s">
        <v>65</v>
      </c>
      <c r="M492" s="5" t="s">
        <v>66</v>
      </c>
      <c r="N492" s="5" t="s">
        <v>28</v>
      </c>
      <c r="O492" s="6" t="s">
        <v>112</v>
      </c>
      <c r="P492" s="6" t="s">
        <v>1131</v>
      </c>
      <c r="Q492" s="5" t="s">
        <v>69</v>
      </c>
      <c r="R492" s="5" t="s">
        <v>44</v>
      </c>
      <c r="S492" s="5" t="s">
        <v>53</v>
      </c>
      <c r="T492" s="6">
        <v>5</v>
      </c>
      <c r="U492" s="6">
        <v>12</v>
      </c>
      <c r="V492" s="5" t="s">
        <v>92</v>
      </c>
      <c r="W492" s="8"/>
      <c r="Y492">
        <f t="shared" si="10"/>
        <v>41.666666666666671</v>
      </c>
    </row>
    <row r="493" spans="1:25" ht="15.75" customHeight="1">
      <c r="A493" s="5" t="s">
        <v>1132</v>
      </c>
      <c r="B493" s="6">
        <v>2</v>
      </c>
      <c r="C493" s="5" t="s">
        <v>82</v>
      </c>
      <c r="D493" s="7">
        <v>45446</v>
      </c>
      <c r="E493" s="7"/>
      <c r="F493" s="6" t="s">
        <v>317</v>
      </c>
      <c r="G493" s="6">
        <v>8</v>
      </c>
      <c r="H493" s="5" t="s">
        <v>46</v>
      </c>
      <c r="I493" s="6">
        <v>2</v>
      </c>
      <c r="J493" s="5" t="s">
        <v>97</v>
      </c>
      <c r="K493" s="6">
        <v>36555</v>
      </c>
      <c r="L493" s="5" t="s">
        <v>80</v>
      </c>
      <c r="M493" s="5" t="s">
        <v>66</v>
      </c>
      <c r="N493" s="5" t="s">
        <v>28</v>
      </c>
      <c r="O493" s="7">
        <v>45446</v>
      </c>
      <c r="P493" s="7">
        <v>45446.75</v>
      </c>
      <c r="Q493" s="5" t="s">
        <v>86</v>
      </c>
      <c r="R493" s="5" t="s">
        <v>32</v>
      </c>
      <c r="S493" s="5" t="s">
        <v>53</v>
      </c>
      <c r="T493" s="6">
        <v>10</v>
      </c>
      <c r="U493" s="6">
        <v>12</v>
      </c>
      <c r="V493" s="5" t="s">
        <v>92</v>
      </c>
      <c r="W493" s="8"/>
      <c r="Y493">
        <f t="shared" si="10"/>
        <v>83.333333333333343</v>
      </c>
    </row>
    <row r="494" spans="1:25" ht="15.75" customHeight="1">
      <c r="A494" s="5" t="s">
        <v>1133</v>
      </c>
      <c r="B494" s="6">
        <v>35</v>
      </c>
      <c r="C494" s="5" t="s">
        <v>82</v>
      </c>
      <c r="D494" s="7">
        <v>45353</v>
      </c>
      <c r="E494" s="7"/>
      <c r="F494" s="6" t="s">
        <v>297</v>
      </c>
      <c r="G494" s="6">
        <v>11</v>
      </c>
      <c r="H494" s="5" t="s">
        <v>83</v>
      </c>
      <c r="I494" s="6">
        <v>5</v>
      </c>
      <c r="J494" s="5" t="s">
        <v>39</v>
      </c>
      <c r="K494" s="6">
        <v>23158</v>
      </c>
      <c r="L494" s="5" t="s">
        <v>26</v>
      </c>
      <c r="M494" s="5" t="s">
        <v>27</v>
      </c>
      <c r="N494" s="5" t="s">
        <v>28</v>
      </c>
      <c r="O494" s="7">
        <v>45353</v>
      </c>
      <c r="P494" s="7">
        <v>45384.75</v>
      </c>
      <c r="Q494" s="5" t="s">
        <v>43</v>
      </c>
      <c r="R494" s="5" t="s">
        <v>32</v>
      </c>
      <c r="S494" s="5" t="s">
        <v>33</v>
      </c>
      <c r="T494" s="6">
        <v>8</v>
      </c>
      <c r="U494" s="6">
        <v>12</v>
      </c>
      <c r="V494" s="5" t="s">
        <v>34</v>
      </c>
      <c r="W494" s="8"/>
      <c r="Y494">
        <f t="shared" si="10"/>
        <v>66.666666666666657</v>
      </c>
    </row>
    <row r="495" spans="1:25" ht="15.75" customHeight="1">
      <c r="A495" s="5" t="s">
        <v>1134</v>
      </c>
      <c r="B495" s="6">
        <v>87</v>
      </c>
      <c r="C495" s="5" t="s">
        <v>36</v>
      </c>
      <c r="D495" s="6" t="s">
        <v>750</v>
      </c>
      <c r="E495" s="6"/>
      <c r="F495" s="6" t="s">
        <v>37</v>
      </c>
      <c r="G495" s="6">
        <v>5</v>
      </c>
      <c r="H495" s="5" t="s">
        <v>46</v>
      </c>
      <c r="I495" s="6">
        <v>4</v>
      </c>
      <c r="J495" s="5" t="s">
        <v>52</v>
      </c>
      <c r="K495" s="6">
        <v>19728</v>
      </c>
      <c r="L495" s="5" t="s">
        <v>40</v>
      </c>
      <c r="M495" s="5" t="s">
        <v>66</v>
      </c>
      <c r="N495" s="5" t="s">
        <v>28</v>
      </c>
      <c r="O495" s="6" t="s">
        <v>608</v>
      </c>
      <c r="P495" s="6" t="s">
        <v>1135</v>
      </c>
      <c r="Q495" s="5" t="s">
        <v>86</v>
      </c>
      <c r="R495" s="5" t="s">
        <v>32</v>
      </c>
      <c r="S495" s="5" t="s">
        <v>49</v>
      </c>
      <c r="T495" s="6">
        <v>11</v>
      </c>
      <c r="U495" s="6">
        <v>8</v>
      </c>
      <c r="V495" s="5" t="s">
        <v>54</v>
      </c>
      <c r="W495" s="8"/>
      <c r="Y495">
        <f t="shared" si="10"/>
        <v>137.5</v>
      </c>
    </row>
    <row r="496" spans="1:25" ht="15.75" customHeight="1">
      <c r="A496" s="5" t="s">
        <v>1136</v>
      </c>
      <c r="B496" s="6">
        <v>81</v>
      </c>
      <c r="C496" s="5" t="s">
        <v>82</v>
      </c>
      <c r="D496" s="6" t="s">
        <v>152</v>
      </c>
      <c r="E496" s="6"/>
      <c r="F496" s="7">
        <v>45475</v>
      </c>
      <c r="G496" s="6">
        <v>13</v>
      </c>
      <c r="H496" s="5" t="s">
        <v>83</v>
      </c>
      <c r="I496" s="6">
        <v>4</v>
      </c>
      <c r="J496" s="5" t="s">
        <v>97</v>
      </c>
      <c r="K496" s="6">
        <v>49774</v>
      </c>
      <c r="L496" s="5" t="s">
        <v>26</v>
      </c>
      <c r="M496" s="5" t="s">
        <v>27</v>
      </c>
      <c r="N496" s="5" t="s">
        <v>28</v>
      </c>
      <c r="O496" s="6" t="s">
        <v>629</v>
      </c>
      <c r="P496" s="6" t="s">
        <v>1137</v>
      </c>
      <c r="Q496" s="5" t="s">
        <v>86</v>
      </c>
      <c r="R496" s="5" t="s">
        <v>32</v>
      </c>
      <c r="S496" s="5" t="s">
        <v>33</v>
      </c>
      <c r="T496" s="6">
        <v>10</v>
      </c>
      <c r="U496" s="6">
        <v>12</v>
      </c>
      <c r="V496" s="5" t="s">
        <v>92</v>
      </c>
      <c r="W496" s="8"/>
      <c r="Y496">
        <f t="shared" si="10"/>
        <v>83.333333333333343</v>
      </c>
    </row>
    <row r="497" spans="1:25" ht="15.75" customHeight="1">
      <c r="A497" s="5" t="s">
        <v>1138</v>
      </c>
      <c r="B497" s="6">
        <v>8</v>
      </c>
      <c r="C497" s="5" t="s">
        <v>22</v>
      </c>
      <c r="D497" s="7">
        <v>45356</v>
      </c>
      <c r="E497" s="7"/>
      <c r="F497" s="7">
        <v>45509</v>
      </c>
      <c r="G497" s="6">
        <v>5</v>
      </c>
      <c r="H497" s="5" t="s">
        <v>38</v>
      </c>
      <c r="I497" s="6">
        <v>5</v>
      </c>
      <c r="J497" s="5" t="s">
        <v>52</v>
      </c>
      <c r="K497" s="6">
        <v>34545</v>
      </c>
      <c r="L497" s="5" t="s">
        <v>90</v>
      </c>
      <c r="M497" s="5" t="s">
        <v>66</v>
      </c>
      <c r="N497" s="5" t="s">
        <v>47</v>
      </c>
      <c r="O497" s="6" t="s">
        <v>530</v>
      </c>
      <c r="P497" s="6" t="s">
        <v>1139</v>
      </c>
      <c r="Q497" s="5" t="s">
        <v>86</v>
      </c>
      <c r="R497" s="5" t="s">
        <v>32</v>
      </c>
      <c r="S497" s="5" t="s">
        <v>33</v>
      </c>
      <c r="T497" s="6">
        <v>8</v>
      </c>
      <c r="U497" s="6">
        <v>12</v>
      </c>
      <c r="V497" s="5" t="s">
        <v>54</v>
      </c>
      <c r="W497" s="8"/>
      <c r="Y497">
        <f t="shared" si="10"/>
        <v>66.666666666666657</v>
      </c>
    </row>
    <row r="498" spans="1:25" ht="15.75" customHeight="1">
      <c r="A498" s="5" t="s">
        <v>1140</v>
      </c>
      <c r="B498" s="6">
        <v>26</v>
      </c>
      <c r="C498" s="5" t="s">
        <v>22</v>
      </c>
      <c r="D498" s="7">
        <v>45108</v>
      </c>
      <c r="E498" s="7"/>
      <c r="F498" s="6" t="s">
        <v>1141</v>
      </c>
      <c r="G498" s="6">
        <v>10</v>
      </c>
      <c r="H498" s="5" t="s">
        <v>73</v>
      </c>
      <c r="I498" s="6">
        <v>1</v>
      </c>
      <c r="J498" s="5" t="s">
        <v>52</v>
      </c>
      <c r="K498" s="6">
        <v>36100</v>
      </c>
      <c r="L498" s="5" t="s">
        <v>26</v>
      </c>
      <c r="M498" s="5" t="s">
        <v>66</v>
      </c>
      <c r="N498" s="5" t="s">
        <v>47</v>
      </c>
      <c r="O498" s="7">
        <v>45108</v>
      </c>
      <c r="P498" s="7">
        <v>45108.666666666664</v>
      </c>
      <c r="Q498" s="5" t="s">
        <v>43</v>
      </c>
      <c r="R498" s="5" t="s">
        <v>32</v>
      </c>
      <c r="S498" s="5" t="s">
        <v>33</v>
      </c>
      <c r="T498" s="6">
        <v>6</v>
      </c>
      <c r="U498" s="6">
        <v>10</v>
      </c>
      <c r="V498" s="5" t="s">
        <v>92</v>
      </c>
      <c r="W498" s="8"/>
      <c r="Y498">
        <f t="shared" si="10"/>
        <v>60</v>
      </c>
    </row>
    <row r="499" spans="1:25" ht="15.75" customHeight="1">
      <c r="A499" s="5" t="s">
        <v>1142</v>
      </c>
      <c r="B499" s="6">
        <v>74</v>
      </c>
      <c r="C499" s="5" t="s">
        <v>62</v>
      </c>
      <c r="D499" s="6" t="s">
        <v>136</v>
      </c>
      <c r="E499" s="6"/>
      <c r="F499" s="6" t="s">
        <v>824</v>
      </c>
      <c r="G499" s="6">
        <v>1</v>
      </c>
      <c r="H499" s="5" t="s">
        <v>83</v>
      </c>
      <c r="I499" s="6">
        <v>4</v>
      </c>
      <c r="J499" s="5" t="s">
        <v>39</v>
      </c>
      <c r="K499" s="6">
        <v>21150</v>
      </c>
      <c r="L499" s="5" t="s">
        <v>65</v>
      </c>
      <c r="M499" s="5" t="s">
        <v>66</v>
      </c>
      <c r="N499" s="5" t="s">
        <v>47</v>
      </c>
      <c r="O499" s="6" t="s">
        <v>875</v>
      </c>
      <c r="P499" s="6" t="s">
        <v>1143</v>
      </c>
      <c r="Q499" s="5" t="s">
        <v>69</v>
      </c>
      <c r="R499" s="5" t="s">
        <v>32</v>
      </c>
      <c r="S499" s="5" t="s">
        <v>33</v>
      </c>
      <c r="T499" s="6">
        <v>4</v>
      </c>
      <c r="U499" s="6">
        <v>10</v>
      </c>
      <c r="V499" s="5" t="s">
        <v>34</v>
      </c>
      <c r="W499" s="8"/>
      <c r="Y499">
        <f t="shared" si="10"/>
        <v>40</v>
      </c>
    </row>
    <row r="500" spans="1:25" ht="15.75" customHeight="1">
      <c r="A500" s="5" t="s">
        <v>1144</v>
      </c>
      <c r="B500" s="6">
        <v>34</v>
      </c>
      <c r="C500" s="5" t="s">
        <v>22</v>
      </c>
      <c r="D500" s="7">
        <v>44968</v>
      </c>
      <c r="E500" s="7"/>
      <c r="F500" s="7">
        <v>45149</v>
      </c>
      <c r="G500" s="6">
        <v>6</v>
      </c>
      <c r="H500" s="5" t="s">
        <v>46</v>
      </c>
      <c r="I500" s="6">
        <v>3</v>
      </c>
      <c r="J500" s="5" t="s">
        <v>39</v>
      </c>
      <c r="K500" s="6">
        <v>38214</v>
      </c>
      <c r="L500" s="5" t="s">
        <v>80</v>
      </c>
      <c r="M500" s="5" t="s">
        <v>66</v>
      </c>
      <c r="N500" s="5" t="s">
        <v>28</v>
      </c>
      <c r="O500" s="6" t="s">
        <v>649</v>
      </c>
      <c r="P500" s="7">
        <v>44937.916666666664</v>
      </c>
      <c r="Q500" s="5" t="s">
        <v>31</v>
      </c>
      <c r="R500" s="5" t="s">
        <v>32</v>
      </c>
      <c r="S500" s="5" t="s">
        <v>33</v>
      </c>
      <c r="T500" s="6">
        <v>4</v>
      </c>
      <c r="U500" s="6">
        <v>10</v>
      </c>
      <c r="V500" s="5" t="s">
        <v>54</v>
      </c>
      <c r="W500" s="8"/>
      <c r="Y500">
        <f t="shared" si="10"/>
        <v>40</v>
      </c>
    </row>
    <row r="501" spans="1:25" ht="15.75" customHeight="1">
      <c r="A501" s="5" t="s">
        <v>1145</v>
      </c>
      <c r="B501" s="6">
        <v>7</v>
      </c>
      <c r="C501" s="5" t="s">
        <v>47</v>
      </c>
      <c r="D501" s="7">
        <v>45384</v>
      </c>
      <c r="E501" s="7"/>
      <c r="F501" s="6" t="s">
        <v>320</v>
      </c>
      <c r="G501" s="6">
        <v>9</v>
      </c>
      <c r="H501" s="5" t="s">
        <v>46</v>
      </c>
      <c r="I501" s="6">
        <v>4</v>
      </c>
      <c r="J501" s="5" t="s">
        <v>52</v>
      </c>
      <c r="K501" s="6">
        <v>37876</v>
      </c>
      <c r="L501" s="5" t="s">
        <v>80</v>
      </c>
      <c r="M501" s="5" t="s">
        <v>27</v>
      </c>
      <c r="N501" s="5" t="s">
        <v>28</v>
      </c>
      <c r="O501" s="7">
        <v>45293</v>
      </c>
      <c r="P501" s="7">
        <v>45293.875</v>
      </c>
      <c r="Q501" s="5" t="s">
        <v>69</v>
      </c>
      <c r="R501" s="5" t="s">
        <v>32</v>
      </c>
      <c r="S501" s="5" t="s">
        <v>53</v>
      </c>
      <c r="T501" s="6">
        <v>11</v>
      </c>
      <c r="U501" s="6">
        <v>8</v>
      </c>
      <c r="V501" s="5" t="s">
        <v>92</v>
      </c>
      <c r="W501" s="8"/>
      <c r="Y501">
        <f t="shared" si="10"/>
        <v>137.5</v>
      </c>
    </row>
    <row r="502" spans="1:25" ht="15.75" customHeight="1">
      <c r="A502" s="5" t="s">
        <v>1146</v>
      </c>
      <c r="B502" s="6">
        <v>68</v>
      </c>
      <c r="C502" s="5" t="s">
        <v>82</v>
      </c>
      <c r="D502" s="7">
        <v>45415</v>
      </c>
      <c r="E502" s="7"/>
      <c r="F502" s="7">
        <v>45476</v>
      </c>
      <c r="G502" s="6">
        <v>2</v>
      </c>
      <c r="H502" s="5" t="s">
        <v>24</v>
      </c>
      <c r="I502" s="6">
        <v>1</v>
      </c>
      <c r="J502" s="5" t="s">
        <v>25</v>
      </c>
      <c r="K502" s="6">
        <v>8239</v>
      </c>
      <c r="L502" s="5" t="s">
        <v>65</v>
      </c>
      <c r="M502" s="5" t="s">
        <v>66</v>
      </c>
      <c r="N502" s="5" t="s">
        <v>28</v>
      </c>
      <c r="O502" s="6" t="s">
        <v>117</v>
      </c>
      <c r="P502" s="6" t="s">
        <v>1147</v>
      </c>
      <c r="Q502" s="5" t="s">
        <v>43</v>
      </c>
      <c r="R502" s="5" t="s">
        <v>32</v>
      </c>
      <c r="S502" s="5" t="s">
        <v>53</v>
      </c>
      <c r="T502" s="6">
        <v>8</v>
      </c>
      <c r="U502" s="6">
        <v>8</v>
      </c>
      <c r="V502" s="5" t="s">
        <v>34</v>
      </c>
      <c r="W502" s="8"/>
      <c r="Y502">
        <f t="shared" si="10"/>
        <v>100</v>
      </c>
    </row>
    <row r="503" spans="1:25" ht="15.75" customHeight="1">
      <c r="A503" s="5" t="s">
        <v>1148</v>
      </c>
      <c r="B503" s="6">
        <v>58</v>
      </c>
      <c r="C503" s="5" t="s">
        <v>22</v>
      </c>
      <c r="D503" s="6" t="s">
        <v>120</v>
      </c>
      <c r="E503" s="6"/>
      <c r="F503" s="6" t="s">
        <v>486</v>
      </c>
      <c r="G503" s="6">
        <v>5</v>
      </c>
      <c r="H503" s="5" t="s">
        <v>38</v>
      </c>
      <c r="I503" s="6">
        <v>1</v>
      </c>
      <c r="J503" s="5" t="s">
        <v>52</v>
      </c>
      <c r="K503" s="6">
        <v>43699</v>
      </c>
      <c r="L503" s="5" t="s">
        <v>90</v>
      </c>
      <c r="M503" s="5" t="s">
        <v>27</v>
      </c>
      <c r="N503" s="5" t="s">
        <v>47</v>
      </c>
      <c r="O503" s="7">
        <v>45207</v>
      </c>
      <c r="P503" s="7">
        <v>45238.833333333336</v>
      </c>
      <c r="Q503" s="5" t="s">
        <v>31</v>
      </c>
      <c r="R503" s="5" t="s">
        <v>32</v>
      </c>
      <c r="S503" s="5" t="s">
        <v>49</v>
      </c>
      <c r="T503" s="6">
        <v>5</v>
      </c>
      <c r="U503" s="6">
        <v>8</v>
      </c>
      <c r="V503" s="5" t="s">
        <v>34</v>
      </c>
      <c r="W503" s="8"/>
      <c r="Y503">
        <f t="shared" si="10"/>
        <v>62.5</v>
      </c>
    </row>
    <row r="504" spans="1:25" ht="15.75" customHeight="1">
      <c r="A504" s="5" t="s">
        <v>1149</v>
      </c>
      <c r="B504" s="6">
        <v>75</v>
      </c>
      <c r="C504" s="5" t="s">
        <v>36</v>
      </c>
      <c r="D504" s="6" t="s">
        <v>422</v>
      </c>
      <c r="E504" s="6"/>
      <c r="F504" s="6" t="s">
        <v>294</v>
      </c>
      <c r="G504" s="6">
        <v>8</v>
      </c>
      <c r="H504" s="5" t="s">
        <v>46</v>
      </c>
      <c r="I504" s="6">
        <v>2</v>
      </c>
      <c r="J504" s="5" t="s">
        <v>52</v>
      </c>
      <c r="K504" s="6">
        <v>41821</v>
      </c>
      <c r="L504" s="5" t="s">
        <v>65</v>
      </c>
      <c r="M504" s="5" t="s">
        <v>66</v>
      </c>
      <c r="N504" s="5" t="s">
        <v>28</v>
      </c>
      <c r="O504" s="7">
        <v>45570</v>
      </c>
      <c r="P504" s="7">
        <v>45601.083333333336</v>
      </c>
      <c r="Q504" s="5" t="s">
        <v>31</v>
      </c>
      <c r="R504" s="5" t="s">
        <v>32</v>
      </c>
      <c r="S504" s="5" t="s">
        <v>49</v>
      </c>
      <c r="T504" s="6">
        <v>11</v>
      </c>
      <c r="U504" s="6">
        <v>10</v>
      </c>
      <c r="V504" s="5" t="s">
        <v>34</v>
      </c>
      <c r="W504" s="8"/>
      <c r="Y504">
        <f t="shared" si="10"/>
        <v>110.00000000000001</v>
      </c>
    </row>
    <row r="505" spans="1:25" ht="15.75" customHeight="1">
      <c r="A505" s="5" t="s">
        <v>1150</v>
      </c>
      <c r="B505" s="6">
        <v>29</v>
      </c>
      <c r="C505" s="5" t="s">
        <v>62</v>
      </c>
      <c r="D505" s="6" t="s">
        <v>264</v>
      </c>
      <c r="E505" s="6"/>
      <c r="F505" s="6" t="s">
        <v>96</v>
      </c>
      <c r="G505" s="6">
        <v>8</v>
      </c>
      <c r="H505" s="5" t="s">
        <v>58</v>
      </c>
      <c r="I505" s="6">
        <v>3</v>
      </c>
      <c r="J505" s="5" t="s">
        <v>89</v>
      </c>
      <c r="K505" s="6">
        <v>35615</v>
      </c>
      <c r="L505" s="5" t="s">
        <v>26</v>
      </c>
      <c r="M505" s="5" t="s">
        <v>27</v>
      </c>
      <c r="N505" s="5" t="s">
        <v>47</v>
      </c>
      <c r="O505" s="7">
        <v>45207</v>
      </c>
      <c r="P505" s="7">
        <v>45238.333333333336</v>
      </c>
      <c r="Q505" s="5" t="s">
        <v>31</v>
      </c>
      <c r="R505" s="5" t="s">
        <v>44</v>
      </c>
      <c r="S505" s="5" t="s">
        <v>33</v>
      </c>
      <c r="T505" s="6">
        <v>9</v>
      </c>
      <c r="U505" s="6">
        <v>12</v>
      </c>
      <c r="V505" s="5" t="s">
        <v>54</v>
      </c>
      <c r="W505" s="8"/>
      <c r="Y505">
        <f t="shared" si="10"/>
        <v>75</v>
      </c>
    </row>
    <row r="506" spans="1:25" ht="15.75" customHeight="1">
      <c r="A506" s="5" t="s">
        <v>1151</v>
      </c>
      <c r="B506" s="6">
        <v>36</v>
      </c>
      <c r="C506" s="5" t="s">
        <v>82</v>
      </c>
      <c r="D506" s="7">
        <v>45117</v>
      </c>
      <c r="E506" s="7"/>
      <c r="F506" s="7">
        <v>45148</v>
      </c>
      <c r="G506" s="6">
        <v>1</v>
      </c>
      <c r="H506" s="5" t="s">
        <v>73</v>
      </c>
      <c r="I506" s="6">
        <v>1</v>
      </c>
      <c r="J506" s="5" t="s">
        <v>89</v>
      </c>
      <c r="K506" s="6">
        <v>18746</v>
      </c>
      <c r="L506" s="5" t="s">
        <v>65</v>
      </c>
      <c r="M506" s="5" t="s">
        <v>27</v>
      </c>
      <c r="N506" s="5" t="s">
        <v>28</v>
      </c>
      <c r="O506" s="7">
        <v>45087</v>
      </c>
      <c r="P506" s="7">
        <v>45087.416666666664</v>
      </c>
      <c r="Q506" s="5" t="s">
        <v>48</v>
      </c>
      <c r="R506" s="5" t="s">
        <v>32</v>
      </c>
      <c r="S506" s="5" t="s">
        <v>49</v>
      </c>
      <c r="T506" s="6">
        <v>10</v>
      </c>
      <c r="U506" s="6">
        <v>10</v>
      </c>
      <c r="V506" s="5" t="s">
        <v>54</v>
      </c>
      <c r="W506" s="8"/>
      <c r="Y506">
        <f t="shared" si="10"/>
        <v>100</v>
      </c>
    </row>
    <row r="507" spans="1:25" ht="15.75" customHeight="1">
      <c r="A507" s="5" t="s">
        <v>1152</v>
      </c>
      <c r="B507" s="6">
        <v>89</v>
      </c>
      <c r="C507" s="5" t="s">
        <v>62</v>
      </c>
      <c r="D507" s="6" t="s">
        <v>380</v>
      </c>
      <c r="E507" s="6"/>
      <c r="F507" s="6" t="s">
        <v>463</v>
      </c>
      <c r="G507" s="6">
        <v>1</v>
      </c>
      <c r="H507" s="5" t="s">
        <v>83</v>
      </c>
      <c r="I507" s="6">
        <v>5</v>
      </c>
      <c r="J507" s="5" t="s">
        <v>89</v>
      </c>
      <c r="K507" s="6">
        <v>25921</v>
      </c>
      <c r="L507" s="5" t="s">
        <v>65</v>
      </c>
      <c r="M507" s="5" t="s">
        <v>66</v>
      </c>
      <c r="N507" s="5" t="s">
        <v>28</v>
      </c>
      <c r="O507" s="6" t="s">
        <v>1153</v>
      </c>
      <c r="P507" s="6" t="s">
        <v>1154</v>
      </c>
      <c r="Q507" s="5" t="s">
        <v>43</v>
      </c>
      <c r="R507" s="5" t="s">
        <v>32</v>
      </c>
      <c r="S507" s="5" t="s">
        <v>49</v>
      </c>
      <c r="T507" s="6">
        <v>6</v>
      </c>
      <c r="U507" s="6">
        <v>8</v>
      </c>
      <c r="V507" s="5" t="s">
        <v>34</v>
      </c>
      <c r="W507" s="8"/>
      <c r="Y507">
        <f t="shared" si="10"/>
        <v>75</v>
      </c>
    </row>
    <row r="508" spans="1:25" ht="15.75" customHeight="1">
      <c r="A508" s="5" t="s">
        <v>1155</v>
      </c>
      <c r="B508" s="6">
        <v>21</v>
      </c>
      <c r="C508" s="5" t="s">
        <v>82</v>
      </c>
      <c r="D508" s="7">
        <v>45631</v>
      </c>
      <c r="E508" s="7"/>
      <c r="F508" s="6" t="s">
        <v>333</v>
      </c>
      <c r="G508" s="6">
        <v>6</v>
      </c>
      <c r="H508" s="5" t="s">
        <v>24</v>
      </c>
      <c r="I508" s="6">
        <v>3</v>
      </c>
      <c r="J508" s="5" t="s">
        <v>25</v>
      </c>
      <c r="K508" s="6">
        <v>27745</v>
      </c>
      <c r="L508" s="5" t="s">
        <v>90</v>
      </c>
      <c r="M508" s="5" t="s">
        <v>66</v>
      </c>
      <c r="N508" s="5" t="s">
        <v>28</v>
      </c>
      <c r="O508" s="7">
        <v>45540</v>
      </c>
      <c r="P508" s="7">
        <v>45570.708333333336</v>
      </c>
      <c r="Q508" s="5" t="s">
        <v>48</v>
      </c>
      <c r="R508" s="5" t="s">
        <v>44</v>
      </c>
      <c r="S508" s="5" t="s">
        <v>33</v>
      </c>
      <c r="T508" s="6">
        <v>4</v>
      </c>
      <c r="U508" s="6">
        <v>10</v>
      </c>
      <c r="V508" s="5" t="s">
        <v>54</v>
      </c>
      <c r="W508" s="8"/>
      <c r="Y508">
        <f t="shared" si="10"/>
        <v>40</v>
      </c>
    </row>
    <row r="509" spans="1:25" ht="15.75" customHeight="1">
      <c r="A509" s="5" t="s">
        <v>1156</v>
      </c>
      <c r="B509" s="6">
        <v>36</v>
      </c>
      <c r="C509" s="5" t="s">
        <v>36</v>
      </c>
      <c r="D509" s="6" t="s">
        <v>84</v>
      </c>
      <c r="E509" s="6"/>
      <c r="F509" s="6" t="s">
        <v>197</v>
      </c>
      <c r="G509" s="6">
        <v>14</v>
      </c>
      <c r="H509" s="5" t="s">
        <v>73</v>
      </c>
      <c r="I509" s="6">
        <v>3</v>
      </c>
      <c r="J509" s="5" t="s">
        <v>25</v>
      </c>
      <c r="K509" s="6">
        <v>6245</v>
      </c>
      <c r="L509" s="5" t="s">
        <v>26</v>
      </c>
      <c r="M509" s="5" t="s">
        <v>27</v>
      </c>
      <c r="N509" s="5" t="s">
        <v>28</v>
      </c>
      <c r="O509" s="6" t="s">
        <v>107</v>
      </c>
      <c r="P509" s="6" t="s">
        <v>1157</v>
      </c>
      <c r="Q509" s="5" t="s">
        <v>31</v>
      </c>
      <c r="R509" s="5" t="s">
        <v>32</v>
      </c>
      <c r="S509" s="5" t="s">
        <v>53</v>
      </c>
      <c r="T509" s="6">
        <v>8</v>
      </c>
      <c r="U509" s="6">
        <v>12</v>
      </c>
      <c r="V509" s="5" t="s">
        <v>92</v>
      </c>
      <c r="W509" s="8"/>
      <c r="Y509">
        <f t="shared" si="10"/>
        <v>66.666666666666657</v>
      </c>
    </row>
    <row r="510" spans="1:25" ht="15.75" customHeight="1">
      <c r="A510" s="5" t="s">
        <v>1158</v>
      </c>
      <c r="B510" s="6">
        <v>10</v>
      </c>
      <c r="C510" s="5" t="s">
        <v>62</v>
      </c>
      <c r="D510" s="7">
        <v>45353</v>
      </c>
      <c r="E510" s="7"/>
      <c r="F510" s="7">
        <v>45506</v>
      </c>
      <c r="G510" s="6">
        <v>5</v>
      </c>
      <c r="H510" s="5" t="s">
        <v>38</v>
      </c>
      <c r="I510" s="6">
        <v>5</v>
      </c>
      <c r="J510" s="5" t="s">
        <v>52</v>
      </c>
      <c r="K510" s="6">
        <v>29853</v>
      </c>
      <c r="L510" s="5" t="s">
        <v>40</v>
      </c>
      <c r="M510" s="5" t="s">
        <v>66</v>
      </c>
      <c r="N510" s="5" t="s">
        <v>28</v>
      </c>
      <c r="O510" s="7">
        <v>45324</v>
      </c>
      <c r="P510" s="7">
        <v>45353.708333333336</v>
      </c>
      <c r="Q510" s="5" t="s">
        <v>48</v>
      </c>
      <c r="R510" s="5" t="s">
        <v>32</v>
      </c>
      <c r="S510" s="5" t="s">
        <v>53</v>
      </c>
      <c r="T510" s="6">
        <v>5</v>
      </c>
      <c r="U510" s="6">
        <v>8</v>
      </c>
      <c r="V510" s="5" t="s">
        <v>34</v>
      </c>
      <c r="W510" s="8"/>
      <c r="Y510">
        <f t="shared" si="10"/>
        <v>62.5</v>
      </c>
    </row>
    <row r="511" spans="1:25" ht="15.75" customHeight="1">
      <c r="A511" s="5" t="s">
        <v>1159</v>
      </c>
      <c r="B511" s="6">
        <v>73</v>
      </c>
      <c r="C511" s="5" t="s">
        <v>51</v>
      </c>
      <c r="D511" s="7">
        <v>45242</v>
      </c>
      <c r="E511" s="7"/>
      <c r="F511" s="6" t="s">
        <v>490</v>
      </c>
      <c r="G511" s="6">
        <v>2</v>
      </c>
      <c r="H511" s="5" t="s">
        <v>24</v>
      </c>
      <c r="I511" s="6">
        <v>4</v>
      </c>
      <c r="J511" s="5" t="s">
        <v>89</v>
      </c>
      <c r="K511" s="6">
        <v>32632</v>
      </c>
      <c r="L511" s="5" t="s">
        <v>40</v>
      </c>
      <c r="M511" s="5" t="s">
        <v>66</v>
      </c>
      <c r="N511" s="5" t="s">
        <v>47</v>
      </c>
      <c r="O511" s="7">
        <v>45242</v>
      </c>
      <c r="P511" s="7">
        <v>45272.125</v>
      </c>
      <c r="Q511" s="5" t="s">
        <v>48</v>
      </c>
      <c r="R511" s="5" t="s">
        <v>32</v>
      </c>
      <c r="S511" s="5" t="s">
        <v>49</v>
      </c>
      <c r="T511" s="6">
        <v>5</v>
      </c>
      <c r="U511" s="6">
        <v>12</v>
      </c>
      <c r="V511" s="5" t="s">
        <v>34</v>
      </c>
      <c r="W511" s="8"/>
      <c r="Y511">
        <f t="shared" si="10"/>
        <v>41.666666666666671</v>
      </c>
    </row>
    <row r="512" spans="1:25" ht="15.75" customHeight="1">
      <c r="A512" s="5" t="s">
        <v>1160</v>
      </c>
      <c r="B512" s="6">
        <v>24</v>
      </c>
      <c r="C512" s="5" t="s">
        <v>47</v>
      </c>
      <c r="D512" s="6" t="s">
        <v>282</v>
      </c>
      <c r="E512" s="6"/>
      <c r="F512" s="7">
        <v>45294</v>
      </c>
      <c r="G512" s="6">
        <v>11</v>
      </c>
      <c r="H512" s="5" t="s">
        <v>83</v>
      </c>
      <c r="I512" s="6">
        <v>5</v>
      </c>
      <c r="J512" s="5" t="s">
        <v>25</v>
      </c>
      <c r="K512" s="6">
        <v>17856</v>
      </c>
      <c r="L512" s="5" t="s">
        <v>80</v>
      </c>
      <c r="M512" s="5" t="s">
        <v>66</v>
      </c>
      <c r="N512" s="5" t="s">
        <v>28</v>
      </c>
      <c r="O512" s="6" t="s">
        <v>565</v>
      </c>
      <c r="P512" s="6" t="s">
        <v>1161</v>
      </c>
      <c r="Q512" s="5" t="s">
        <v>43</v>
      </c>
      <c r="R512" s="5" t="s">
        <v>32</v>
      </c>
      <c r="S512" s="5" t="s">
        <v>53</v>
      </c>
      <c r="T512" s="6">
        <v>5</v>
      </c>
      <c r="U512" s="6">
        <v>12</v>
      </c>
      <c r="V512" s="5" t="s">
        <v>54</v>
      </c>
      <c r="W512" s="8"/>
      <c r="Y512">
        <f t="shared" si="10"/>
        <v>41.666666666666671</v>
      </c>
    </row>
    <row r="513" spans="1:25" ht="15.75" customHeight="1">
      <c r="A513" s="5" t="s">
        <v>1162</v>
      </c>
      <c r="B513" s="6">
        <v>64</v>
      </c>
      <c r="C513" s="5" t="s">
        <v>47</v>
      </c>
      <c r="D513" s="6" t="s">
        <v>345</v>
      </c>
      <c r="E513" s="6"/>
      <c r="F513" s="7">
        <v>44992</v>
      </c>
      <c r="G513" s="6">
        <v>14</v>
      </c>
      <c r="H513" s="5" t="s">
        <v>83</v>
      </c>
      <c r="I513" s="6">
        <v>5</v>
      </c>
      <c r="J513" s="5" t="s">
        <v>39</v>
      </c>
      <c r="K513" s="6">
        <v>10105</v>
      </c>
      <c r="L513" s="5" t="s">
        <v>65</v>
      </c>
      <c r="M513" s="5" t="s">
        <v>27</v>
      </c>
      <c r="N513" s="5" t="s">
        <v>47</v>
      </c>
      <c r="O513" s="6" t="s">
        <v>226</v>
      </c>
      <c r="P513" s="6" t="s">
        <v>1163</v>
      </c>
      <c r="Q513" s="5" t="s">
        <v>86</v>
      </c>
      <c r="R513" s="5" t="s">
        <v>32</v>
      </c>
      <c r="S513" s="5" t="s">
        <v>53</v>
      </c>
      <c r="T513" s="6">
        <v>10</v>
      </c>
      <c r="U513" s="6">
        <v>8</v>
      </c>
      <c r="V513" s="5" t="s">
        <v>34</v>
      </c>
      <c r="W513" s="8"/>
      <c r="Y513">
        <f t="shared" si="10"/>
        <v>125</v>
      </c>
    </row>
    <row r="514" spans="1:25" ht="15.75" customHeight="1">
      <c r="A514" s="5" t="s">
        <v>1164</v>
      </c>
      <c r="B514" s="6">
        <v>49</v>
      </c>
      <c r="C514" s="5" t="s">
        <v>82</v>
      </c>
      <c r="D514" s="6" t="s">
        <v>557</v>
      </c>
      <c r="E514" s="6"/>
      <c r="F514" s="7">
        <v>45478</v>
      </c>
      <c r="G514" s="6">
        <v>14</v>
      </c>
      <c r="H514" s="5" t="s">
        <v>58</v>
      </c>
      <c r="I514" s="6">
        <v>4</v>
      </c>
      <c r="J514" s="5" t="s">
        <v>52</v>
      </c>
      <c r="K514" s="6">
        <v>40690</v>
      </c>
      <c r="L514" s="5" t="s">
        <v>80</v>
      </c>
      <c r="M514" s="5" t="s">
        <v>27</v>
      </c>
      <c r="N514" s="5" t="s">
        <v>28</v>
      </c>
      <c r="O514" s="6" t="s">
        <v>256</v>
      </c>
      <c r="P514" s="6" t="s">
        <v>558</v>
      </c>
      <c r="Q514" s="5" t="s">
        <v>48</v>
      </c>
      <c r="R514" s="5" t="s">
        <v>32</v>
      </c>
      <c r="S514" s="5" t="s">
        <v>49</v>
      </c>
      <c r="T514" s="6">
        <v>9</v>
      </c>
      <c r="U514" s="6">
        <v>12</v>
      </c>
      <c r="V514" s="5" t="s">
        <v>92</v>
      </c>
      <c r="W514" s="8"/>
      <c r="Y514">
        <f t="shared" si="10"/>
        <v>75</v>
      </c>
    </row>
    <row r="515" spans="1:25" ht="15.75" customHeight="1">
      <c r="A515" s="5" t="s">
        <v>1165</v>
      </c>
      <c r="B515" s="6">
        <v>36</v>
      </c>
      <c r="C515" s="5" t="s">
        <v>51</v>
      </c>
      <c r="D515" s="7">
        <v>45235</v>
      </c>
      <c r="E515" s="7"/>
      <c r="F515" s="6" t="s">
        <v>689</v>
      </c>
      <c r="G515" s="6">
        <v>2</v>
      </c>
      <c r="H515" s="5" t="s">
        <v>38</v>
      </c>
      <c r="I515" s="6">
        <v>4</v>
      </c>
      <c r="J515" s="5" t="s">
        <v>97</v>
      </c>
      <c r="K515" s="6">
        <v>7513</v>
      </c>
      <c r="L515" s="5" t="s">
        <v>90</v>
      </c>
      <c r="M515" s="5" t="s">
        <v>66</v>
      </c>
      <c r="N515" s="5" t="s">
        <v>28</v>
      </c>
      <c r="O515" s="7">
        <v>45143</v>
      </c>
      <c r="P515" s="7">
        <v>45174.708333333336</v>
      </c>
      <c r="Q515" s="5" t="s">
        <v>48</v>
      </c>
      <c r="R515" s="5" t="s">
        <v>32</v>
      </c>
      <c r="S515" s="5" t="s">
        <v>33</v>
      </c>
      <c r="T515" s="6">
        <v>7</v>
      </c>
      <c r="U515" s="6">
        <v>10</v>
      </c>
      <c r="V515" s="5" t="s">
        <v>54</v>
      </c>
      <c r="W515" s="8"/>
      <c r="Y515">
        <f t="shared" ref="Y515:Y578" si="11">(T515/U515*100)</f>
        <v>70</v>
      </c>
    </row>
    <row r="516" spans="1:25" ht="15.75" customHeight="1">
      <c r="A516" s="5" t="s">
        <v>1166</v>
      </c>
      <c r="B516" s="6">
        <v>82</v>
      </c>
      <c r="C516" s="5" t="s">
        <v>62</v>
      </c>
      <c r="D516" s="6" t="s">
        <v>107</v>
      </c>
      <c r="E516" s="6"/>
      <c r="F516" s="7">
        <v>45109</v>
      </c>
      <c r="G516" s="6">
        <v>10</v>
      </c>
      <c r="H516" s="5" t="s">
        <v>24</v>
      </c>
      <c r="I516" s="6">
        <v>4</v>
      </c>
      <c r="J516" s="5" t="s">
        <v>52</v>
      </c>
      <c r="K516" s="6">
        <v>7801</v>
      </c>
      <c r="L516" s="5" t="s">
        <v>40</v>
      </c>
      <c r="M516" s="5" t="s">
        <v>66</v>
      </c>
      <c r="N516" s="5" t="s">
        <v>47</v>
      </c>
      <c r="O516" s="6" t="s">
        <v>724</v>
      </c>
      <c r="P516" s="6" t="s">
        <v>1167</v>
      </c>
      <c r="Q516" s="5" t="s">
        <v>31</v>
      </c>
      <c r="R516" s="5" t="s">
        <v>32</v>
      </c>
      <c r="S516" s="5" t="s">
        <v>49</v>
      </c>
      <c r="T516" s="6">
        <v>11</v>
      </c>
      <c r="U516" s="6">
        <v>12</v>
      </c>
      <c r="V516" s="5" t="s">
        <v>54</v>
      </c>
      <c r="W516" s="8"/>
      <c r="Y516">
        <f t="shared" si="11"/>
        <v>91.666666666666657</v>
      </c>
    </row>
    <row r="517" spans="1:25" ht="15.75" customHeight="1">
      <c r="A517" s="5" t="s">
        <v>1168</v>
      </c>
      <c r="B517" s="6">
        <v>24</v>
      </c>
      <c r="C517" s="5" t="s">
        <v>51</v>
      </c>
      <c r="D517" s="7">
        <v>45506</v>
      </c>
      <c r="E517" s="7"/>
      <c r="F517" s="6" t="s">
        <v>538</v>
      </c>
      <c r="G517" s="6">
        <v>10</v>
      </c>
      <c r="H517" s="5" t="s">
        <v>24</v>
      </c>
      <c r="I517" s="6">
        <v>4</v>
      </c>
      <c r="J517" s="5" t="s">
        <v>97</v>
      </c>
      <c r="K517" s="6">
        <v>37345</v>
      </c>
      <c r="L517" s="5" t="s">
        <v>65</v>
      </c>
      <c r="M517" s="5" t="s">
        <v>27</v>
      </c>
      <c r="N517" s="5" t="s">
        <v>47</v>
      </c>
      <c r="O517" s="7">
        <v>45445</v>
      </c>
      <c r="P517" s="7">
        <v>45475.083333333336</v>
      </c>
      <c r="Q517" s="5" t="s">
        <v>31</v>
      </c>
      <c r="R517" s="5" t="s">
        <v>44</v>
      </c>
      <c r="S517" s="5" t="s">
        <v>49</v>
      </c>
      <c r="T517" s="6">
        <v>10</v>
      </c>
      <c r="U517" s="6">
        <v>12</v>
      </c>
      <c r="V517" s="5" t="s">
        <v>34</v>
      </c>
      <c r="W517" s="8"/>
      <c r="Y517">
        <f t="shared" si="11"/>
        <v>83.333333333333343</v>
      </c>
    </row>
    <row r="518" spans="1:25" ht="15.75" customHeight="1">
      <c r="A518" s="5" t="s">
        <v>1169</v>
      </c>
      <c r="B518" s="6">
        <v>23</v>
      </c>
      <c r="C518" s="5" t="s">
        <v>51</v>
      </c>
      <c r="D518" s="6" t="s">
        <v>107</v>
      </c>
      <c r="E518" s="6"/>
      <c r="F518" s="7">
        <v>45079</v>
      </c>
      <c r="G518" s="6">
        <v>9</v>
      </c>
      <c r="H518" s="5" t="s">
        <v>46</v>
      </c>
      <c r="I518" s="6">
        <v>4</v>
      </c>
      <c r="J518" s="5" t="s">
        <v>89</v>
      </c>
      <c r="K518" s="6">
        <v>18895</v>
      </c>
      <c r="L518" s="5" t="s">
        <v>90</v>
      </c>
      <c r="M518" s="5" t="s">
        <v>66</v>
      </c>
      <c r="N518" s="5" t="s">
        <v>28</v>
      </c>
      <c r="O518" s="6" t="s">
        <v>724</v>
      </c>
      <c r="P518" s="6" t="s">
        <v>1170</v>
      </c>
      <c r="Q518" s="5" t="s">
        <v>31</v>
      </c>
      <c r="R518" s="5" t="s">
        <v>32</v>
      </c>
      <c r="S518" s="5" t="s">
        <v>49</v>
      </c>
      <c r="T518" s="6">
        <v>9</v>
      </c>
      <c r="U518" s="6">
        <v>12</v>
      </c>
      <c r="V518" s="5" t="s">
        <v>34</v>
      </c>
      <c r="W518" s="8"/>
      <c r="Y518">
        <f t="shared" si="11"/>
        <v>75</v>
      </c>
    </row>
    <row r="519" spans="1:25" ht="15.75" customHeight="1">
      <c r="A519" s="5" t="s">
        <v>1171</v>
      </c>
      <c r="B519" s="6">
        <v>62</v>
      </c>
      <c r="C519" s="5" t="s">
        <v>62</v>
      </c>
      <c r="D519" s="6" t="s">
        <v>1172</v>
      </c>
      <c r="E519" s="6"/>
      <c r="F519" s="7">
        <v>44989</v>
      </c>
      <c r="G519" s="6">
        <v>7</v>
      </c>
      <c r="H519" s="5" t="s">
        <v>58</v>
      </c>
      <c r="I519" s="6">
        <v>5</v>
      </c>
      <c r="J519" s="5" t="s">
        <v>97</v>
      </c>
      <c r="K519" s="6">
        <v>44749</v>
      </c>
      <c r="L519" s="5" t="s">
        <v>90</v>
      </c>
      <c r="M519" s="5" t="s">
        <v>66</v>
      </c>
      <c r="N519" s="5" t="s">
        <v>28</v>
      </c>
      <c r="O519" s="6" t="s">
        <v>242</v>
      </c>
      <c r="P519" s="6" t="s">
        <v>694</v>
      </c>
      <c r="Q519" s="5" t="s">
        <v>69</v>
      </c>
      <c r="R519" s="5" t="s">
        <v>32</v>
      </c>
      <c r="S519" s="5" t="s">
        <v>33</v>
      </c>
      <c r="T519" s="6">
        <v>5</v>
      </c>
      <c r="U519" s="6">
        <v>10</v>
      </c>
      <c r="V519" s="5" t="s">
        <v>34</v>
      </c>
      <c r="W519" s="8"/>
      <c r="Y519">
        <f t="shared" si="11"/>
        <v>50</v>
      </c>
    </row>
    <row r="520" spans="1:25" ht="15.75" customHeight="1">
      <c r="A520" s="5" t="s">
        <v>1173</v>
      </c>
      <c r="B520" s="6">
        <v>37</v>
      </c>
      <c r="C520" s="5" t="s">
        <v>36</v>
      </c>
      <c r="D520" s="6" t="s">
        <v>317</v>
      </c>
      <c r="E520" s="6"/>
      <c r="F520" s="6" t="s">
        <v>380</v>
      </c>
      <c r="G520" s="6">
        <v>8</v>
      </c>
      <c r="H520" s="5" t="s">
        <v>58</v>
      </c>
      <c r="I520" s="6">
        <v>2</v>
      </c>
      <c r="J520" s="5" t="s">
        <v>89</v>
      </c>
      <c r="K520" s="6">
        <v>13221</v>
      </c>
      <c r="L520" s="5" t="s">
        <v>65</v>
      </c>
      <c r="M520" s="5" t="s">
        <v>66</v>
      </c>
      <c r="N520" s="5" t="s">
        <v>28</v>
      </c>
      <c r="O520" s="6" t="s">
        <v>317</v>
      </c>
      <c r="P520" s="6" t="s">
        <v>1174</v>
      </c>
      <c r="Q520" s="5" t="s">
        <v>48</v>
      </c>
      <c r="R520" s="5" t="s">
        <v>32</v>
      </c>
      <c r="S520" s="5" t="s">
        <v>33</v>
      </c>
      <c r="T520" s="6">
        <v>8</v>
      </c>
      <c r="U520" s="6">
        <v>12</v>
      </c>
      <c r="V520" s="5" t="s">
        <v>54</v>
      </c>
      <c r="W520" s="8"/>
      <c r="Y520">
        <f t="shared" si="11"/>
        <v>66.666666666666657</v>
      </c>
    </row>
    <row r="521" spans="1:25" ht="15.75" customHeight="1">
      <c r="A521" s="5" t="s">
        <v>1175</v>
      </c>
      <c r="B521" s="6">
        <v>12</v>
      </c>
      <c r="C521" s="5" t="s">
        <v>51</v>
      </c>
      <c r="D521" s="6" t="s">
        <v>1061</v>
      </c>
      <c r="E521" s="6"/>
      <c r="F521" s="6" t="s">
        <v>307</v>
      </c>
      <c r="G521" s="6">
        <v>10</v>
      </c>
      <c r="H521" s="5" t="s">
        <v>24</v>
      </c>
      <c r="I521" s="6">
        <v>2</v>
      </c>
      <c r="J521" s="5" t="s">
        <v>39</v>
      </c>
      <c r="K521" s="6">
        <v>11038</v>
      </c>
      <c r="L521" s="5" t="s">
        <v>90</v>
      </c>
      <c r="M521" s="5" t="s">
        <v>27</v>
      </c>
      <c r="N521" s="5" t="s">
        <v>47</v>
      </c>
      <c r="O521" s="6" t="s">
        <v>448</v>
      </c>
      <c r="P521" s="6" t="s">
        <v>1176</v>
      </c>
      <c r="Q521" s="5" t="s">
        <v>31</v>
      </c>
      <c r="R521" s="5" t="s">
        <v>32</v>
      </c>
      <c r="S521" s="5" t="s">
        <v>33</v>
      </c>
      <c r="T521" s="6">
        <v>11</v>
      </c>
      <c r="U521" s="6">
        <v>12</v>
      </c>
      <c r="V521" s="5" t="s">
        <v>34</v>
      </c>
      <c r="W521" s="8"/>
      <c r="Y521">
        <f t="shared" si="11"/>
        <v>91.666666666666657</v>
      </c>
    </row>
    <row r="522" spans="1:25" ht="15.75" customHeight="1">
      <c r="A522" s="5" t="s">
        <v>1177</v>
      </c>
      <c r="B522" s="6">
        <v>55</v>
      </c>
      <c r="C522" s="5" t="s">
        <v>51</v>
      </c>
      <c r="D522" s="6" t="s">
        <v>589</v>
      </c>
      <c r="E522" s="6"/>
      <c r="F522" s="6" t="s">
        <v>531</v>
      </c>
      <c r="G522" s="6">
        <v>9</v>
      </c>
      <c r="H522" s="5" t="s">
        <v>24</v>
      </c>
      <c r="I522" s="6">
        <v>1</v>
      </c>
      <c r="J522" s="5" t="s">
        <v>97</v>
      </c>
      <c r="K522" s="6">
        <v>37031</v>
      </c>
      <c r="L522" s="5" t="s">
        <v>65</v>
      </c>
      <c r="M522" s="5" t="s">
        <v>66</v>
      </c>
      <c r="N522" s="5" t="s">
        <v>47</v>
      </c>
      <c r="O522" s="6" t="s">
        <v>170</v>
      </c>
      <c r="P522" s="6" t="s">
        <v>124</v>
      </c>
      <c r="Q522" s="5" t="s">
        <v>43</v>
      </c>
      <c r="R522" s="5" t="s">
        <v>32</v>
      </c>
      <c r="S522" s="5" t="s">
        <v>33</v>
      </c>
      <c r="T522" s="6">
        <v>6</v>
      </c>
      <c r="U522" s="6">
        <v>10</v>
      </c>
      <c r="V522" s="5" t="s">
        <v>92</v>
      </c>
      <c r="W522" s="8"/>
      <c r="Y522">
        <f t="shared" si="11"/>
        <v>60</v>
      </c>
    </row>
    <row r="523" spans="1:25" ht="15.75" customHeight="1">
      <c r="A523" s="5" t="s">
        <v>1178</v>
      </c>
      <c r="B523" s="6">
        <v>13</v>
      </c>
      <c r="C523" s="5" t="s">
        <v>36</v>
      </c>
      <c r="D523" s="7">
        <v>45084</v>
      </c>
      <c r="E523" s="7"/>
      <c r="F523" s="6" t="s">
        <v>586</v>
      </c>
      <c r="G523" s="6">
        <v>13</v>
      </c>
      <c r="H523" s="5" t="s">
        <v>73</v>
      </c>
      <c r="I523" s="6">
        <v>2</v>
      </c>
      <c r="J523" s="5" t="s">
        <v>52</v>
      </c>
      <c r="K523" s="6">
        <v>20082</v>
      </c>
      <c r="L523" s="5" t="s">
        <v>65</v>
      </c>
      <c r="M523" s="5" t="s">
        <v>27</v>
      </c>
      <c r="N523" s="5" t="s">
        <v>28</v>
      </c>
      <c r="O523" s="7">
        <v>45023</v>
      </c>
      <c r="P523" s="7">
        <v>45053.25</v>
      </c>
      <c r="Q523" s="5" t="s">
        <v>69</v>
      </c>
      <c r="R523" s="5" t="s">
        <v>44</v>
      </c>
      <c r="S523" s="5" t="s">
        <v>49</v>
      </c>
      <c r="T523" s="6">
        <v>9</v>
      </c>
      <c r="U523" s="6">
        <v>8</v>
      </c>
      <c r="V523" s="5" t="s">
        <v>34</v>
      </c>
      <c r="W523" s="8"/>
      <c r="Y523">
        <f t="shared" si="11"/>
        <v>112.5</v>
      </c>
    </row>
    <row r="524" spans="1:25" ht="15.75" customHeight="1">
      <c r="A524" s="5" t="s">
        <v>1179</v>
      </c>
      <c r="B524" s="6">
        <v>23</v>
      </c>
      <c r="C524" s="5" t="s">
        <v>51</v>
      </c>
      <c r="D524" s="6" t="s">
        <v>603</v>
      </c>
      <c r="E524" s="6"/>
      <c r="F524" s="7">
        <v>45049</v>
      </c>
      <c r="G524" s="6">
        <v>12</v>
      </c>
      <c r="H524" s="5" t="s">
        <v>73</v>
      </c>
      <c r="I524" s="6">
        <v>2</v>
      </c>
      <c r="J524" s="5" t="s">
        <v>89</v>
      </c>
      <c r="K524" s="6">
        <v>19648</v>
      </c>
      <c r="L524" s="5" t="s">
        <v>26</v>
      </c>
      <c r="M524" s="5" t="s">
        <v>66</v>
      </c>
      <c r="N524" s="5" t="s">
        <v>28</v>
      </c>
      <c r="O524" s="6" t="s">
        <v>604</v>
      </c>
      <c r="P524" s="6" t="s">
        <v>1180</v>
      </c>
      <c r="Q524" s="5" t="s">
        <v>86</v>
      </c>
      <c r="R524" s="5" t="s">
        <v>32</v>
      </c>
      <c r="S524" s="5" t="s">
        <v>53</v>
      </c>
      <c r="T524" s="6">
        <v>8</v>
      </c>
      <c r="U524" s="6">
        <v>8</v>
      </c>
      <c r="V524" s="5" t="s">
        <v>34</v>
      </c>
      <c r="W524" s="8"/>
      <c r="Y524">
        <f t="shared" si="11"/>
        <v>100</v>
      </c>
    </row>
    <row r="525" spans="1:25" ht="15.75" customHeight="1">
      <c r="A525" s="5" t="s">
        <v>1181</v>
      </c>
      <c r="B525" s="6">
        <v>89</v>
      </c>
      <c r="C525" s="5" t="s">
        <v>51</v>
      </c>
      <c r="D525" s="6" t="s">
        <v>314</v>
      </c>
      <c r="E525" s="6"/>
      <c r="F525" s="7">
        <v>45179</v>
      </c>
      <c r="G525" s="6">
        <v>15</v>
      </c>
      <c r="H525" s="5" t="s">
        <v>73</v>
      </c>
      <c r="I525" s="6">
        <v>5</v>
      </c>
      <c r="J525" s="5" t="s">
        <v>52</v>
      </c>
      <c r="K525" s="6">
        <v>5364</v>
      </c>
      <c r="L525" s="5" t="s">
        <v>80</v>
      </c>
      <c r="M525" s="5" t="s">
        <v>27</v>
      </c>
      <c r="N525" s="5" t="s">
        <v>47</v>
      </c>
      <c r="O525" s="6" t="s">
        <v>249</v>
      </c>
      <c r="P525" s="6" t="s">
        <v>1182</v>
      </c>
      <c r="Q525" s="5" t="s">
        <v>48</v>
      </c>
      <c r="R525" s="5" t="s">
        <v>32</v>
      </c>
      <c r="S525" s="5" t="s">
        <v>49</v>
      </c>
      <c r="T525" s="6">
        <v>10</v>
      </c>
      <c r="U525" s="6">
        <v>8</v>
      </c>
      <c r="V525" s="5" t="s">
        <v>54</v>
      </c>
      <c r="W525" s="8"/>
      <c r="Y525">
        <f t="shared" si="11"/>
        <v>125</v>
      </c>
    </row>
    <row r="526" spans="1:25" ht="15.75" customHeight="1">
      <c r="A526" s="5" t="s">
        <v>1183</v>
      </c>
      <c r="B526" s="6">
        <v>30</v>
      </c>
      <c r="C526" s="5" t="s">
        <v>51</v>
      </c>
      <c r="D526" s="6" t="s">
        <v>260</v>
      </c>
      <c r="E526" s="6"/>
      <c r="F526" s="6" t="s">
        <v>152</v>
      </c>
      <c r="G526" s="6">
        <v>1</v>
      </c>
      <c r="H526" s="5" t="s">
        <v>58</v>
      </c>
      <c r="I526" s="6">
        <v>4</v>
      </c>
      <c r="J526" s="5" t="s">
        <v>25</v>
      </c>
      <c r="K526" s="6">
        <v>39568</v>
      </c>
      <c r="L526" s="5" t="s">
        <v>90</v>
      </c>
      <c r="M526" s="5" t="s">
        <v>27</v>
      </c>
      <c r="N526" s="5" t="s">
        <v>28</v>
      </c>
      <c r="O526" s="6" t="s">
        <v>174</v>
      </c>
      <c r="P526" s="6" t="s">
        <v>1184</v>
      </c>
      <c r="Q526" s="5" t="s">
        <v>48</v>
      </c>
      <c r="R526" s="5" t="s">
        <v>32</v>
      </c>
      <c r="S526" s="5" t="s">
        <v>33</v>
      </c>
      <c r="T526" s="6">
        <v>10</v>
      </c>
      <c r="U526" s="6">
        <v>12</v>
      </c>
      <c r="V526" s="5" t="s">
        <v>34</v>
      </c>
      <c r="W526" s="8"/>
      <c r="Y526">
        <f t="shared" si="11"/>
        <v>83.333333333333343</v>
      </c>
    </row>
    <row r="527" spans="1:25" ht="15.75" customHeight="1">
      <c r="A527" s="5" t="s">
        <v>1185</v>
      </c>
      <c r="B527" s="6">
        <v>17</v>
      </c>
      <c r="C527" s="5" t="s">
        <v>47</v>
      </c>
      <c r="D527" s="7">
        <v>44969</v>
      </c>
      <c r="E527" s="7"/>
      <c r="F527" s="7">
        <v>45211</v>
      </c>
      <c r="G527" s="6">
        <v>8</v>
      </c>
      <c r="H527" s="5" t="s">
        <v>46</v>
      </c>
      <c r="I527" s="6">
        <v>4</v>
      </c>
      <c r="J527" s="5" t="s">
        <v>89</v>
      </c>
      <c r="K527" s="6">
        <v>19110</v>
      </c>
      <c r="L527" s="5" t="s">
        <v>90</v>
      </c>
      <c r="M527" s="5" t="s">
        <v>66</v>
      </c>
      <c r="N527" s="5" t="s">
        <v>47</v>
      </c>
      <c r="O527" s="7">
        <v>44938</v>
      </c>
      <c r="P527" s="7">
        <v>44938.041666666664</v>
      </c>
      <c r="Q527" s="5" t="s">
        <v>43</v>
      </c>
      <c r="R527" s="5" t="s">
        <v>32</v>
      </c>
      <c r="S527" s="5" t="s">
        <v>53</v>
      </c>
      <c r="T527" s="6">
        <v>11</v>
      </c>
      <c r="U527" s="6">
        <v>8</v>
      </c>
      <c r="V527" s="5" t="s">
        <v>54</v>
      </c>
      <c r="W527" s="8"/>
      <c r="Y527">
        <f t="shared" si="11"/>
        <v>137.5</v>
      </c>
    </row>
    <row r="528" spans="1:25" ht="15.75" customHeight="1">
      <c r="A528" s="5" t="s">
        <v>1186</v>
      </c>
      <c r="B528" s="6">
        <v>62</v>
      </c>
      <c r="C528" s="5" t="s">
        <v>22</v>
      </c>
      <c r="D528" s="7">
        <v>45054</v>
      </c>
      <c r="E528" s="7"/>
      <c r="F528" s="6" t="s">
        <v>271</v>
      </c>
      <c r="G528" s="6">
        <v>15</v>
      </c>
      <c r="H528" s="5" t="s">
        <v>83</v>
      </c>
      <c r="I528" s="6">
        <v>5</v>
      </c>
      <c r="J528" s="5" t="s">
        <v>97</v>
      </c>
      <c r="K528" s="6">
        <v>10958</v>
      </c>
      <c r="L528" s="5" t="s">
        <v>26</v>
      </c>
      <c r="M528" s="5" t="s">
        <v>66</v>
      </c>
      <c r="N528" s="5" t="s">
        <v>28</v>
      </c>
      <c r="O528" s="7">
        <v>44934</v>
      </c>
      <c r="P528" s="7">
        <v>44965.958333333336</v>
      </c>
      <c r="Q528" s="5" t="s">
        <v>86</v>
      </c>
      <c r="R528" s="5" t="s">
        <v>32</v>
      </c>
      <c r="S528" s="5" t="s">
        <v>49</v>
      </c>
      <c r="T528" s="6">
        <v>5</v>
      </c>
      <c r="U528" s="6">
        <v>10</v>
      </c>
      <c r="V528" s="5" t="s">
        <v>34</v>
      </c>
      <c r="W528" s="8"/>
      <c r="Y528">
        <f t="shared" si="11"/>
        <v>50</v>
      </c>
    </row>
    <row r="529" spans="1:25" ht="15.75" customHeight="1">
      <c r="A529" s="5" t="s">
        <v>1187</v>
      </c>
      <c r="B529" s="6">
        <v>84</v>
      </c>
      <c r="C529" s="5" t="s">
        <v>36</v>
      </c>
      <c r="D529" s="7">
        <v>45569</v>
      </c>
      <c r="E529" s="7"/>
      <c r="F529" s="6" t="s">
        <v>557</v>
      </c>
      <c r="G529" s="6">
        <v>13</v>
      </c>
      <c r="H529" s="5" t="s">
        <v>73</v>
      </c>
      <c r="I529" s="6">
        <v>2</v>
      </c>
      <c r="J529" s="5" t="s">
        <v>89</v>
      </c>
      <c r="K529" s="6">
        <v>14096</v>
      </c>
      <c r="L529" s="5" t="s">
        <v>26</v>
      </c>
      <c r="M529" s="5" t="s">
        <v>66</v>
      </c>
      <c r="N529" s="5" t="s">
        <v>28</v>
      </c>
      <c r="O529" s="7">
        <v>45416</v>
      </c>
      <c r="P529" s="7">
        <v>45416.25</v>
      </c>
      <c r="Q529" s="5" t="s">
        <v>86</v>
      </c>
      <c r="R529" s="5" t="s">
        <v>32</v>
      </c>
      <c r="S529" s="5" t="s">
        <v>53</v>
      </c>
      <c r="T529" s="6">
        <v>6</v>
      </c>
      <c r="U529" s="6">
        <v>12</v>
      </c>
      <c r="V529" s="5" t="s">
        <v>92</v>
      </c>
      <c r="W529" s="8"/>
      <c r="Y529">
        <f t="shared" si="11"/>
        <v>50</v>
      </c>
    </row>
    <row r="530" spans="1:25" ht="15.75" customHeight="1">
      <c r="A530" s="5" t="s">
        <v>1188</v>
      </c>
      <c r="B530" s="6">
        <v>89</v>
      </c>
      <c r="C530" s="5" t="s">
        <v>51</v>
      </c>
      <c r="D530" s="7">
        <v>44938</v>
      </c>
      <c r="E530" s="7"/>
      <c r="F530" s="7">
        <v>45242</v>
      </c>
      <c r="G530" s="6">
        <v>10</v>
      </c>
      <c r="H530" s="5" t="s">
        <v>46</v>
      </c>
      <c r="I530" s="6">
        <v>5</v>
      </c>
      <c r="J530" s="5" t="s">
        <v>52</v>
      </c>
      <c r="K530" s="6">
        <v>12436</v>
      </c>
      <c r="L530" s="5" t="s">
        <v>26</v>
      </c>
      <c r="M530" s="5" t="s">
        <v>66</v>
      </c>
      <c r="N530" s="5" t="s">
        <v>28</v>
      </c>
      <c r="O530" s="6" t="s">
        <v>267</v>
      </c>
      <c r="P530" s="6" t="s">
        <v>1189</v>
      </c>
      <c r="Q530" s="5" t="s">
        <v>69</v>
      </c>
      <c r="R530" s="5" t="s">
        <v>32</v>
      </c>
      <c r="S530" s="5" t="s">
        <v>33</v>
      </c>
      <c r="T530" s="6">
        <v>4</v>
      </c>
      <c r="U530" s="6">
        <v>12</v>
      </c>
      <c r="V530" s="5" t="s">
        <v>92</v>
      </c>
      <c r="W530" s="8"/>
      <c r="Y530">
        <f t="shared" si="11"/>
        <v>33.333333333333329</v>
      </c>
    </row>
    <row r="531" spans="1:25" ht="15.75" customHeight="1">
      <c r="A531" s="5" t="s">
        <v>1190</v>
      </c>
      <c r="B531" s="6">
        <v>86</v>
      </c>
      <c r="C531" s="5" t="s">
        <v>47</v>
      </c>
      <c r="D531" s="7">
        <v>45272</v>
      </c>
      <c r="E531" s="7"/>
      <c r="F531" s="6" t="s">
        <v>491</v>
      </c>
      <c r="G531" s="6">
        <v>11</v>
      </c>
      <c r="H531" s="5" t="s">
        <v>38</v>
      </c>
      <c r="I531" s="6">
        <v>1</v>
      </c>
      <c r="J531" s="5" t="s">
        <v>39</v>
      </c>
      <c r="K531" s="6">
        <v>26177</v>
      </c>
      <c r="L531" s="5" t="s">
        <v>40</v>
      </c>
      <c r="M531" s="5" t="s">
        <v>27</v>
      </c>
      <c r="N531" s="5" t="s">
        <v>28</v>
      </c>
      <c r="O531" s="7">
        <v>45181</v>
      </c>
      <c r="P531" s="7">
        <v>45211.25</v>
      </c>
      <c r="Q531" s="5" t="s">
        <v>48</v>
      </c>
      <c r="R531" s="5" t="s">
        <v>32</v>
      </c>
      <c r="S531" s="5" t="s">
        <v>53</v>
      </c>
      <c r="T531" s="6">
        <v>4</v>
      </c>
      <c r="U531" s="6">
        <v>12</v>
      </c>
      <c r="V531" s="5" t="s">
        <v>54</v>
      </c>
      <c r="W531" s="8"/>
      <c r="Y531">
        <f t="shared" si="11"/>
        <v>33.333333333333329</v>
      </c>
    </row>
    <row r="532" spans="1:25" ht="15.75" customHeight="1">
      <c r="A532" s="5" t="s">
        <v>1191</v>
      </c>
      <c r="B532" s="6">
        <v>13</v>
      </c>
      <c r="C532" s="5" t="s">
        <v>36</v>
      </c>
      <c r="D532" s="6" t="s">
        <v>260</v>
      </c>
      <c r="E532" s="6"/>
      <c r="F532" s="6" t="s">
        <v>926</v>
      </c>
      <c r="G532" s="6">
        <v>4</v>
      </c>
      <c r="H532" s="5" t="s">
        <v>73</v>
      </c>
      <c r="I532" s="6">
        <v>4</v>
      </c>
      <c r="J532" s="5" t="s">
        <v>89</v>
      </c>
      <c r="K532" s="6">
        <v>31754</v>
      </c>
      <c r="L532" s="5" t="s">
        <v>40</v>
      </c>
      <c r="M532" s="5" t="s">
        <v>66</v>
      </c>
      <c r="N532" s="5" t="s">
        <v>28</v>
      </c>
      <c r="O532" s="6" t="s">
        <v>153</v>
      </c>
      <c r="P532" s="6" t="s">
        <v>1192</v>
      </c>
      <c r="Q532" s="5" t="s">
        <v>31</v>
      </c>
      <c r="R532" s="5" t="s">
        <v>32</v>
      </c>
      <c r="S532" s="5" t="s">
        <v>53</v>
      </c>
      <c r="T532" s="6">
        <v>10</v>
      </c>
      <c r="U532" s="6">
        <v>8</v>
      </c>
      <c r="V532" s="5" t="s">
        <v>54</v>
      </c>
      <c r="W532" s="8"/>
      <c r="Y532">
        <f t="shared" si="11"/>
        <v>125</v>
      </c>
    </row>
    <row r="533" spans="1:25" ht="15.75" customHeight="1">
      <c r="A533" s="5" t="s">
        <v>1193</v>
      </c>
      <c r="B533" s="6">
        <v>59</v>
      </c>
      <c r="C533" s="5" t="s">
        <v>82</v>
      </c>
      <c r="D533" s="7">
        <v>45270</v>
      </c>
      <c r="E533" s="7"/>
      <c r="F533" s="6" t="s">
        <v>520</v>
      </c>
      <c r="G533" s="6">
        <v>6</v>
      </c>
      <c r="H533" s="5" t="s">
        <v>83</v>
      </c>
      <c r="I533" s="6">
        <v>3</v>
      </c>
      <c r="J533" s="5" t="s">
        <v>97</v>
      </c>
      <c r="K533" s="6">
        <v>29544</v>
      </c>
      <c r="L533" s="5" t="s">
        <v>40</v>
      </c>
      <c r="M533" s="5" t="s">
        <v>27</v>
      </c>
      <c r="N533" s="5" t="s">
        <v>47</v>
      </c>
      <c r="O533" s="7">
        <v>45209</v>
      </c>
      <c r="P533" s="7">
        <v>45240.791666666664</v>
      </c>
      <c r="Q533" s="5" t="s">
        <v>43</v>
      </c>
      <c r="R533" s="5" t="s">
        <v>32</v>
      </c>
      <c r="S533" s="5" t="s">
        <v>33</v>
      </c>
      <c r="T533" s="6">
        <v>8</v>
      </c>
      <c r="U533" s="6">
        <v>8</v>
      </c>
      <c r="V533" s="5" t="s">
        <v>34</v>
      </c>
      <c r="W533" s="8"/>
      <c r="Y533">
        <f t="shared" si="11"/>
        <v>100</v>
      </c>
    </row>
    <row r="534" spans="1:25" ht="15.75" customHeight="1">
      <c r="A534" s="5" t="s">
        <v>1194</v>
      </c>
      <c r="B534" s="6">
        <v>19</v>
      </c>
      <c r="C534" s="5" t="s">
        <v>82</v>
      </c>
      <c r="D534" s="7">
        <v>45476</v>
      </c>
      <c r="E534" s="7"/>
      <c r="F534" s="6" t="s">
        <v>381</v>
      </c>
      <c r="G534" s="6">
        <v>10</v>
      </c>
      <c r="H534" s="5" t="s">
        <v>38</v>
      </c>
      <c r="I534" s="6">
        <v>1</v>
      </c>
      <c r="J534" s="5" t="s">
        <v>25</v>
      </c>
      <c r="K534" s="6">
        <v>17638</v>
      </c>
      <c r="L534" s="5" t="s">
        <v>65</v>
      </c>
      <c r="M534" s="5" t="s">
        <v>66</v>
      </c>
      <c r="N534" s="5" t="s">
        <v>47</v>
      </c>
      <c r="O534" s="7">
        <v>45476</v>
      </c>
      <c r="P534" s="7">
        <v>45507.875</v>
      </c>
      <c r="Q534" s="5" t="s">
        <v>43</v>
      </c>
      <c r="R534" s="5" t="s">
        <v>32</v>
      </c>
      <c r="S534" s="5" t="s">
        <v>53</v>
      </c>
      <c r="T534" s="6">
        <v>6</v>
      </c>
      <c r="U534" s="6">
        <v>8</v>
      </c>
      <c r="V534" s="5" t="s">
        <v>34</v>
      </c>
      <c r="W534" s="8"/>
      <c r="Y534">
        <f t="shared" si="11"/>
        <v>75</v>
      </c>
    </row>
    <row r="535" spans="1:25" ht="15.75" customHeight="1">
      <c r="A535" s="5" t="s">
        <v>1195</v>
      </c>
      <c r="B535" s="6">
        <v>49</v>
      </c>
      <c r="C535" s="5" t="s">
        <v>51</v>
      </c>
      <c r="D535" s="6" t="s">
        <v>364</v>
      </c>
      <c r="E535" s="6"/>
      <c r="F535" s="6" t="s">
        <v>314</v>
      </c>
      <c r="G535" s="6">
        <v>8</v>
      </c>
      <c r="H535" s="5" t="s">
        <v>38</v>
      </c>
      <c r="I535" s="6">
        <v>1</v>
      </c>
      <c r="J535" s="5" t="s">
        <v>39</v>
      </c>
      <c r="K535" s="6">
        <v>5179</v>
      </c>
      <c r="L535" s="5" t="s">
        <v>90</v>
      </c>
      <c r="M535" s="5" t="s">
        <v>66</v>
      </c>
      <c r="N535" s="5" t="s">
        <v>28</v>
      </c>
      <c r="O535" s="6" t="s">
        <v>591</v>
      </c>
      <c r="P535" s="6" t="s">
        <v>1196</v>
      </c>
      <c r="Q535" s="5" t="s">
        <v>43</v>
      </c>
      <c r="R535" s="5" t="s">
        <v>32</v>
      </c>
      <c r="S535" s="5" t="s">
        <v>49</v>
      </c>
      <c r="T535" s="6">
        <v>8</v>
      </c>
      <c r="U535" s="6">
        <v>12</v>
      </c>
      <c r="V535" s="5" t="s">
        <v>92</v>
      </c>
      <c r="W535" s="8"/>
      <c r="Y535">
        <f t="shared" si="11"/>
        <v>66.666666666666657</v>
      </c>
    </row>
    <row r="536" spans="1:25" ht="15.75" customHeight="1">
      <c r="A536" s="5" t="s">
        <v>1197</v>
      </c>
      <c r="B536" s="6">
        <v>12</v>
      </c>
      <c r="C536" s="5" t="s">
        <v>47</v>
      </c>
      <c r="D536" s="6" t="s">
        <v>443</v>
      </c>
      <c r="E536" s="6"/>
      <c r="F536" s="7">
        <v>44989</v>
      </c>
      <c r="G536" s="6">
        <v>9</v>
      </c>
      <c r="H536" s="5" t="s">
        <v>83</v>
      </c>
      <c r="I536" s="6">
        <v>5</v>
      </c>
      <c r="J536" s="5" t="s">
        <v>25</v>
      </c>
      <c r="K536" s="6">
        <v>8873</v>
      </c>
      <c r="L536" s="5" t="s">
        <v>80</v>
      </c>
      <c r="M536" s="5" t="s">
        <v>66</v>
      </c>
      <c r="N536" s="5" t="s">
        <v>28</v>
      </c>
      <c r="O536" s="6" t="s">
        <v>508</v>
      </c>
      <c r="P536" s="6" t="s">
        <v>1198</v>
      </c>
      <c r="Q536" s="5" t="s">
        <v>43</v>
      </c>
      <c r="R536" s="5" t="s">
        <v>32</v>
      </c>
      <c r="S536" s="5" t="s">
        <v>53</v>
      </c>
      <c r="T536" s="6">
        <v>6</v>
      </c>
      <c r="U536" s="6">
        <v>10</v>
      </c>
      <c r="V536" s="5" t="s">
        <v>34</v>
      </c>
      <c r="W536" s="8"/>
      <c r="Y536">
        <f t="shared" si="11"/>
        <v>60</v>
      </c>
    </row>
    <row r="537" spans="1:25" ht="15.75" customHeight="1">
      <c r="A537" s="5" t="s">
        <v>1199</v>
      </c>
      <c r="B537" s="6">
        <v>61</v>
      </c>
      <c r="C537" s="5" t="s">
        <v>47</v>
      </c>
      <c r="D537" s="6" t="s">
        <v>531</v>
      </c>
      <c r="E537" s="6"/>
      <c r="F537" s="6" t="s">
        <v>530</v>
      </c>
      <c r="G537" s="6">
        <v>3</v>
      </c>
      <c r="H537" s="5" t="s">
        <v>73</v>
      </c>
      <c r="I537" s="6">
        <v>2</v>
      </c>
      <c r="J537" s="5" t="s">
        <v>89</v>
      </c>
      <c r="K537" s="6">
        <v>22570</v>
      </c>
      <c r="L537" s="5" t="s">
        <v>65</v>
      </c>
      <c r="M537" s="5" t="s">
        <v>66</v>
      </c>
      <c r="N537" s="5" t="s">
        <v>28</v>
      </c>
      <c r="O537" s="6" t="s">
        <v>531</v>
      </c>
      <c r="P537" s="6" t="s">
        <v>1200</v>
      </c>
      <c r="Q537" s="5" t="s">
        <v>31</v>
      </c>
      <c r="R537" s="5" t="s">
        <v>32</v>
      </c>
      <c r="S537" s="5" t="s">
        <v>49</v>
      </c>
      <c r="T537" s="6">
        <v>6</v>
      </c>
      <c r="U537" s="6">
        <v>12</v>
      </c>
      <c r="V537" s="5" t="s">
        <v>92</v>
      </c>
      <c r="W537" s="8"/>
      <c r="Y537">
        <f t="shared" si="11"/>
        <v>50</v>
      </c>
    </row>
    <row r="538" spans="1:25" ht="15.75" customHeight="1">
      <c r="A538" s="5" t="s">
        <v>1201</v>
      </c>
      <c r="B538" s="6">
        <v>19</v>
      </c>
      <c r="C538" s="5" t="s">
        <v>36</v>
      </c>
      <c r="D538" s="6" t="s">
        <v>425</v>
      </c>
      <c r="E538" s="6"/>
      <c r="F538" s="6" t="s">
        <v>750</v>
      </c>
      <c r="G538" s="6">
        <v>1</v>
      </c>
      <c r="H538" s="5" t="s">
        <v>58</v>
      </c>
      <c r="I538" s="6">
        <v>4</v>
      </c>
      <c r="J538" s="5" t="s">
        <v>52</v>
      </c>
      <c r="K538" s="6">
        <v>22157</v>
      </c>
      <c r="L538" s="5" t="s">
        <v>90</v>
      </c>
      <c r="M538" s="5" t="s">
        <v>66</v>
      </c>
      <c r="N538" s="5" t="s">
        <v>28</v>
      </c>
      <c r="O538" s="6" t="s">
        <v>608</v>
      </c>
      <c r="P538" s="6" t="s">
        <v>1202</v>
      </c>
      <c r="Q538" s="5" t="s">
        <v>31</v>
      </c>
      <c r="R538" s="5" t="s">
        <v>32</v>
      </c>
      <c r="S538" s="5" t="s">
        <v>53</v>
      </c>
      <c r="T538" s="6">
        <v>10</v>
      </c>
      <c r="U538" s="6">
        <v>10</v>
      </c>
      <c r="V538" s="5" t="s">
        <v>54</v>
      </c>
      <c r="W538" s="8"/>
      <c r="Y538">
        <f t="shared" si="11"/>
        <v>100</v>
      </c>
    </row>
    <row r="539" spans="1:25" ht="15.75" customHeight="1">
      <c r="A539" s="5" t="s">
        <v>1203</v>
      </c>
      <c r="B539" s="6">
        <v>76</v>
      </c>
      <c r="C539" s="5" t="s">
        <v>36</v>
      </c>
      <c r="D539" s="6" t="s">
        <v>560</v>
      </c>
      <c r="E539" s="6"/>
      <c r="F539" s="7">
        <v>44988</v>
      </c>
      <c r="G539" s="6">
        <v>8</v>
      </c>
      <c r="H539" s="5" t="s">
        <v>83</v>
      </c>
      <c r="I539" s="6">
        <v>3</v>
      </c>
      <c r="J539" s="5" t="s">
        <v>52</v>
      </c>
      <c r="K539" s="6">
        <v>9460</v>
      </c>
      <c r="L539" s="5" t="s">
        <v>90</v>
      </c>
      <c r="M539" s="5" t="s">
        <v>27</v>
      </c>
      <c r="N539" s="5" t="s">
        <v>28</v>
      </c>
      <c r="O539" s="6" t="s">
        <v>786</v>
      </c>
      <c r="P539" s="6" t="s">
        <v>1204</v>
      </c>
      <c r="Q539" s="5" t="s">
        <v>69</v>
      </c>
      <c r="R539" s="5" t="s">
        <v>32</v>
      </c>
      <c r="S539" s="5" t="s">
        <v>53</v>
      </c>
      <c r="T539" s="6">
        <v>8</v>
      </c>
      <c r="U539" s="6">
        <v>12</v>
      </c>
      <c r="V539" s="5" t="s">
        <v>34</v>
      </c>
      <c r="W539" s="8"/>
      <c r="Y539">
        <f t="shared" si="11"/>
        <v>66.666666666666657</v>
      </c>
    </row>
    <row r="540" spans="1:25" ht="15.75" customHeight="1">
      <c r="A540" s="5" t="s">
        <v>1205</v>
      </c>
      <c r="B540" s="6">
        <v>9</v>
      </c>
      <c r="C540" s="5" t="s">
        <v>47</v>
      </c>
      <c r="D540" s="6" t="s">
        <v>875</v>
      </c>
      <c r="E540" s="6"/>
      <c r="F540" s="6" t="s">
        <v>136</v>
      </c>
      <c r="G540" s="6">
        <v>2</v>
      </c>
      <c r="H540" s="5" t="s">
        <v>83</v>
      </c>
      <c r="I540" s="6">
        <v>1</v>
      </c>
      <c r="J540" s="5" t="s">
        <v>97</v>
      </c>
      <c r="K540" s="6">
        <v>5352</v>
      </c>
      <c r="L540" s="5" t="s">
        <v>26</v>
      </c>
      <c r="M540" s="5" t="s">
        <v>66</v>
      </c>
      <c r="N540" s="5" t="s">
        <v>47</v>
      </c>
      <c r="O540" s="6" t="s">
        <v>144</v>
      </c>
      <c r="P540" s="6" t="s">
        <v>1206</v>
      </c>
      <c r="Q540" s="5" t="s">
        <v>48</v>
      </c>
      <c r="R540" s="5" t="s">
        <v>32</v>
      </c>
      <c r="S540" s="5" t="s">
        <v>33</v>
      </c>
      <c r="T540" s="6">
        <v>10</v>
      </c>
      <c r="U540" s="6">
        <v>10</v>
      </c>
      <c r="V540" s="5" t="s">
        <v>54</v>
      </c>
      <c r="W540" s="8"/>
      <c r="Y540">
        <f t="shared" si="11"/>
        <v>100</v>
      </c>
    </row>
    <row r="541" spans="1:25" ht="15.75" customHeight="1">
      <c r="A541" s="5" t="s">
        <v>1207</v>
      </c>
      <c r="B541" s="6">
        <v>71</v>
      </c>
      <c r="C541" s="5" t="s">
        <v>36</v>
      </c>
      <c r="D541" s="6" t="s">
        <v>57</v>
      </c>
      <c r="E541" s="6"/>
      <c r="F541" s="6" t="s">
        <v>612</v>
      </c>
      <c r="G541" s="6">
        <v>13</v>
      </c>
      <c r="H541" s="5" t="s">
        <v>83</v>
      </c>
      <c r="I541" s="6">
        <v>3</v>
      </c>
      <c r="J541" s="5" t="s">
        <v>52</v>
      </c>
      <c r="K541" s="6">
        <v>26586</v>
      </c>
      <c r="L541" s="5" t="s">
        <v>26</v>
      </c>
      <c r="M541" s="5" t="s">
        <v>66</v>
      </c>
      <c r="N541" s="5" t="s">
        <v>28</v>
      </c>
      <c r="O541" s="6" t="s">
        <v>59</v>
      </c>
      <c r="P541" s="6" t="s">
        <v>1208</v>
      </c>
      <c r="Q541" s="5" t="s">
        <v>31</v>
      </c>
      <c r="R541" s="5" t="s">
        <v>32</v>
      </c>
      <c r="S541" s="5" t="s">
        <v>33</v>
      </c>
      <c r="T541" s="6">
        <v>11</v>
      </c>
      <c r="U541" s="6">
        <v>12</v>
      </c>
      <c r="V541" s="5" t="s">
        <v>34</v>
      </c>
      <c r="W541" s="8"/>
      <c r="Y541">
        <f t="shared" si="11"/>
        <v>91.666666666666657</v>
      </c>
    </row>
    <row r="542" spans="1:25" ht="15.75" customHeight="1">
      <c r="A542" s="5" t="s">
        <v>1209</v>
      </c>
      <c r="B542" s="6">
        <v>28</v>
      </c>
      <c r="C542" s="5" t="s">
        <v>47</v>
      </c>
      <c r="D542" s="7">
        <v>45263</v>
      </c>
      <c r="E542" s="7"/>
      <c r="F542" s="6" t="s">
        <v>1172</v>
      </c>
      <c r="G542" s="6">
        <v>15</v>
      </c>
      <c r="H542" s="5" t="s">
        <v>38</v>
      </c>
      <c r="I542" s="6">
        <v>2</v>
      </c>
      <c r="J542" s="5" t="s">
        <v>39</v>
      </c>
      <c r="K542" s="6">
        <v>10344</v>
      </c>
      <c r="L542" s="5" t="s">
        <v>65</v>
      </c>
      <c r="M542" s="5" t="s">
        <v>27</v>
      </c>
      <c r="N542" s="5" t="s">
        <v>28</v>
      </c>
      <c r="O542" s="7">
        <v>45233</v>
      </c>
      <c r="P542" s="7">
        <v>45263.333333333336</v>
      </c>
      <c r="Q542" s="5" t="s">
        <v>69</v>
      </c>
      <c r="R542" s="5" t="s">
        <v>44</v>
      </c>
      <c r="S542" s="5" t="s">
        <v>49</v>
      </c>
      <c r="T542" s="6">
        <v>6</v>
      </c>
      <c r="U542" s="6">
        <v>12</v>
      </c>
      <c r="V542" s="5" t="s">
        <v>92</v>
      </c>
      <c r="W542" s="8"/>
      <c r="Y542">
        <f t="shared" si="11"/>
        <v>50</v>
      </c>
    </row>
    <row r="543" spans="1:25" ht="15.75" customHeight="1">
      <c r="A543" s="5" t="s">
        <v>1210</v>
      </c>
      <c r="B543" s="6">
        <v>78</v>
      </c>
      <c r="C543" s="5" t="s">
        <v>22</v>
      </c>
      <c r="D543" s="7">
        <v>45232</v>
      </c>
      <c r="E543" s="7"/>
      <c r="F543" s="6" t="s">
        <v>435</v>
      </c>
      <c r="G543" s="6">
        <v>14</v>
      </c>
      <c r="H543" s="5" t="s">
        <v>46</v>
      </c>
      <c r="I543" s="6">
        <v>2</v>
      </c>
      <c r="J543" s="5" t="s">
        <v>52</v>
      </c>
      <c r="K543" s="6">
        <v>9507</v>
      </c>
      <c r="L543" s="5" t="s">
        <v>26</v>
      </c>
      <c r="M543" s="5" t="s">
        <v>27</v>
      </c>
      <c r="N543" s="5" t="s">
        <v>28</v>
      </c>
      <c r="O543" s="7">
        <v>45232</v>
      </c>
      <c r="P543" s="7">
        <v>45232.75</v>
      </c>
      <c r="Q543" s="5" t="s">
        <v>86</v>
      </c>
      <c r="R543" s="5" t="s">
        <v>32</v>
      </c>
      <c r="S543" s="5" t="s">
        <v>33</v>
      </c>
      <c r="T543" s="6">
        <v>9</v>
      </c>
      <c r="U543" s="6">
        <v>10</v>
      </c>
      <c r="V543" s="5" t="s">
        <v>54</v>
      </c>
      <c r="W543" s="8"/>
      <c r="Y543">
        <f t="shared" si="11"/>
        <v>90</v>
      </c>
    </row>
    <row r="544" spans="1:25" ht="15.75" customHeight="1">
      <c r="A544" s="5" t="s">
        <v>1211</v>
      </c>
      <c r="B544" s="6">
        <v>52</v>
      </c>
      <c r="C544" s="5" t="s">
        <v>47</v>
      </c>
      <c r="D544" s="7">
        <v>44928</v>
      </c>
      <c r="E544" s="7"/>
      <c r="F544" s="7">
        <v>45109</v>
      </c>
      <c r="G544" s="6">
        <v>6</v>
      </c>
      <c r="H544" s="5" t="s">
        <v>58</v>
      </c>
      <c r="I544" s="6">
        <v>3</v>
      </c>
      <c r="J544" s="5" t="s">
        <v>97</v>
      </c>
      <c r="K544" s="6">
        <v>42598</v>
      </c>
      <c r="L544" s="5" t="s">
        <v>90</v>
      </c>
      <c r="M544" s="5" t="s">
        <v>66</v>
      </c>
      <c r="N544" s="5" t="s">
        <v>28</v>
      </c>
      <c r="O544" s="6" t="s">
        <v>84</v>
      </c>
      <c r="P544" s="6" t="s">
        <v>1212</v>
      </c>
      <c r="Q544" s="5" t="s">
        <v>48</v>
      </c>
      <c r="R544" s="5" t="s">
        <v>32</v>
      </c>
      <c r="S544" s="5" t="s">
        <v>33</v>
      </c>
      <c r="T544" s="6">
        <v>5</v>
      </c>
      <c r="U544" s="6">
        <v>10</v>
      </c>
      <c r="V544" s="5" t="s">
        <v>54</v>
      </c>
      <c r="W544" s="8"/>
      <c r="Y544">
        <f t="shared" si="11"/>
        <v>50</v>
      </c>
    </row>
    <row r="545" spans="1:25" ht="15.75" customHeight="1">
      <c r="A545" s="5" t="s">
        <v>1213</v>
      </c>
      <c r="B545" s="6">
        <v>83</v>
      </c>
      <c r="C545" s="5" t="s">
        <v>82</v>
      </c>
      <c r="D545" s="7">
        <v>45239</v>
      </c>
      <c r="E545" s="7"/>
      <c r="F545" s="6" t="s">
        <v>310</v>
      </c>
      <c r="G545" s="6">
        <v>12</v>
      </c>
      <c r="H545" s="5" t="s">
        <v>73</v>
      </c>
      <c r="I545" s="6">
        <v>4</v>
      </c>
      <c r="J545" s="5" t="s">
        <v>89</v>
      </c>
      <c r="K545" s="6">
        <v>48988</v>
      </c>
      <c r="L545" s="5" t="s">
        <v>26</v>
      </c>
      <c r="M545" s="5" t="s">
        <v>66</v>
      </c>
      <c r="N545" s="5" t="s">
        <v>47</v>
      </c>
      <c r="O545" s="7">
        <v>45147</v>
      </c>
      <c r="P545" s="7">
        <v>45147.791666666664</v>
      </c>
      <c r="Q545" s="5" t="s">
        <v>31</v>
      </c>
      <c r="R545" s="5" t="s">
        <v>32</v>
      </c>
      <c r="S545" s="5" t="s">
        <v>33</v>
      </c>
      <c r="T545" s="6">
        <v>11</v>
      </c>
      <c r="U545" s="6">
        <v>10</v>
      </c>
      <c r="V545" s="5" t="s">
        <v>34</v>
      </c>
      <c r="W545" s="8"/>
      <c r="Y545">
        <f t="shared" si="11"/>
        <v>110.00000000000001</v>
      </c>
    </row>
    <row r="546" spans="1:25" ht="15.75" customHeight="1">
      <c r="A546" s="5" t="s">
        <v>1214</v>
      </c>
      <c r="B546" s="6">
        <v>16</v>
      </c>
      <c r="C546" s="5" t="s">
        <v>36</v>
      </c>
      <c r="D546" s="6" t="s">
        <v>776</v>
      </c>
      <c r="E546" s="6"/>
      <c r="F546" s="6" t="s">
        <v>777</v>
      </c>
      <c r="G546" s="6">
        <v>2</v>
      </c>
      <c r="H546" s="5" t="s">
        <v>73</v>
      </c>
      <c r="I546" s="6">
        <v>2</v>
      </c>
      <c r="J546" s="5" t="s">
        <v>89</v>
      </c>
      <c r="K546" s="6">
        <v>37885</v>
      </c>
      <c r="L546" s="5" t="s">
        <v>40</v>
      </c>
      <c r="M546" s="5" t="s">
        <v>66</v>
      </c>
      <c r="N546" s="5" t="s">
        <v>28</v>
      </c>
      <c r="O546" s="6" t="s">
        <v>111</v>
      </c>
      <c r="P546" s="6" t="s">
        <v>1215</v>
      </c>
      <c r="Q546" s="5" t="s">
        <v>86</v>
      </c>
      <c r="R546" s="5" t="s">
        <v>32</v>
      </c>
      <c r="S546" s="5" t="s">
        <v>33</v>
      </c>
      <c r="T546" s="6">
        <v>6</v>
      </c>
      <c r="U546" s="6">
        <v>10</v>
      </c>
      <c r="V546" s="5" t="s">
        <v>54</v>
      </c>
      <c r="W546" s="8"/>
      <c r="Y546">
        <f t="shared" si="11"/>
        <v>60</v>
      </c>
    </row>
    <row r="547" spans="1:25" ht="15.75" customHeight="1">
      <c r="A547" s="5" t="s">
        <v>1216</v>
      </c>
      <c r="B547" s="6">
        <v>69</v>
      </c>
      <c r="C547" s="5" t="s">
        <v>47</v>
      </c>
      <c r="D547" s="6" t="s">
        <v>750</v>
      </c>
      <c r="E547" s="6"/>
      <c r="F547" s="6" t="s">
        <v>84</v>
      </c>
      <c r="G547" s="6">
        <v>9</v>
      </c>
      <c r="H547" s="5" t="s">
        <v>46</v>
      </c>
      <c r="I547" s="6">
        <v>3</v>
      </c>
      <c r="J547" s="5" t="s">
        <v>52</v>
      </c>
      <c r="K547" s="6">
        <v>21865</v>
      </c>
      <c r="L547" s="5" t="s">
        <v>26</v>
      </c>
      <c r="M547" s="5" t="s">
        <v>27</v>
      </c>
      <c r="N547" s="5" t="s">
        <v>28</v>
      </c>
      <c r="O547" s="6" t="s">
        <v>366</v>
      </c>
      <c r="P547" s="6" t="s">
        <v>1217</v>
      </c>
      <c r="Q547" s="5" t="s">
        <v>69</v>
      </c>
      <c r="R547" s="5" t="s">
        <v>32</v>
      </c>
      <c r="S547" s="5" t="s">
        <v>33</v>
      </c>
      <c r="T547" s="6">
        <v>9</v>
      </c>
      <c r="U547" s="6">
        <v>10</v>
      </c>
      <c r="V547" s="5" t="s">
        <v>92</v>
      </c>
      <c r="W547" s="8"/>
      <c r="Y547">
        <f t="shared" si="11"/>
        <v>90</v>
      </c>
    </row>
    <row r="548" spans="1:25" ht="15.75" customHeight="1">
      <c r="A548" s="5" t="s">
        <v>1218</v>
      </c>
      <c r="B548" s="6">
        <v>12</v>
      </c>
      <c r="C548" s="5" t="s">
        <v>47</v>
      </c>
      <c r="D548" s="7">
        <v>45083</v>
      </c>
      <c r="E548" s="7"/>
      <c r="F548" s="6" t="s">
        <v>251</v>
      </c>
      <c r="G548" s="6">
        <v>11</v>
      </c>
      <c r="H548" s="5" t="s">
        <v>83</v>
      </c>
      <c r="I548" s="6">
        <v>1</v>
      </c>
      <c r="J548" s="5" t="s">
        <v>25</v>
      </c>
      <c r="K548" s="6">
        <v>42055</v>
      </c>
      <c r="L548" s="5" t="s">
        <v>90</v>
      </c>
      <c r="M548" s="5" t="s">
        <v>27</v>
      </c>
      <c r="N548" s="5" t="s">
        <v>28</v>
      </c>
      <c r="O548" s="7">
        <v>45022</v>
      </c>
      <c r="P548" s="7">
        <v>45052.541666666664</v>
      </c>
      <c r="Q548" s="5" t="s">
        <v>31</v>
      </c>
      <c r="R548" s="5" t="s">
        <v>32</v>
      </c>
      <c r="S548" s="5" t="s">
        <v>49</v>
      </c>
      <c r="T548" s="6">
        <v>6</v>
      </c>
      <c r="U548" s="6">
        <v>10</v>
      </c>
      <c r="V548" s="5" t="s">
        <v>54</v>
      </c>
      <c r="W548" s="8"/>
      <c r="Y548">
        <f t="shared" si="11"/>
        <v>60</v>
      </c>
    </row>
    <row r="549" spans="1:25" ht="15.75" customHeight="1">
      <c r="A549" s="5" t="s">
        <v>1219</v>
      </c>
      <c r="B549" s="6">
        <v>25</v>
      </c>
      <c r="C549" s="5" t="s">
        <v>36</v>
      </c>
      <c r="D549" s="7">
        <v>44966</v>
      </c>
      <c r="E549" s="7"/>
      <c r="F549" s="7">
        <v>45055</v>
      </c>
      <c r="G549" s="6">
        <v>3</v>
      </c>
      <c r="H549" s="5" t="s">
        <v>58</v>
      </c>
      <c r="I549" s="6">
        <v>3</v>
      </c>
      <c r="J549" s="5" t="s">
        <v>89</v>
      </c>
      <c r="K549" s="6">
        <v>32213</v>
      </c>
      <c r="L549" s="5" t="s">
        <v>65</v>
      </c>
      <c r="M549" s="5" t="s">
        <v>27</v>
      </c>
      <c r="N549" s="5" t="s">
        <v>47</v>
      </c>
      <c r="O549" s="6" t="s">
        <v>612</v>
      </c>
      <c r="P549" s="6" t="s">
        <v>1220</v>
      </c>
      <c r="Q549" s="5" t="s">
        <v>31</v>
      </c>
      <c r="R549" s="5" t="s">
        <v>32</v>
      </c>
      <c r="S549" s="5" t="s">
        <v>49</v>
      </c>
      <c r="T549" s="6">
        <v>9</v>
      </c>
      <c r="U549" s="6">
        <v>10</v>
      </c>
      <c r="V549" s="5" t="s">
        <v>54</v>
      </c>
      <c r="W549" s="8"/>
      <c r="Y549">
        <f t="shared" si="11"/>
        <v>90</v>
      </c>
    </row>
    <row r="550" spans="1:25" ht="15.75" customHeight="1">
      <c r="A550" s="5" t="s">
        <v>1221</v>
      </c>
      <c r="B550" s="6">
        <v>52</v>
      </c>
      <c r="C550" s="5" t="s">
        <v>22</v>
      </c>
      <c r="D550" s="7">
        <v>45204</v>
      </c>
      <c r="E550" s="7"/>
      <c r="F550" s="7">
        <v>45235</v>
      </c>
      <c r="G550" s="6">
        <v>1</v>
      </c>
      <c r="H550" s="5" t="s">
        <v>73</v>
      </c>
      <c r="I550" s="6">
        <v>3</v>
      </c>
      <c r="J550" s="5" t="s">
        <v>52</v>
      </c>
      <c r="K550" s="6">
        <v>9477</v>
      </c>
      <c r="L550" s="5" t="s">
        <v>80</v>
      </c>
      <c r="M550" s="5" t="s">
        <v>27</v>
      </c>
      <c r="N550" s="5" t="s">
        <v>47</v>
      </c>
      <c r="O550" s="7">
        <v>45143</v>
      </c>
      <c r="P550" s="7">
        <v>45174.541666666664</v>
      </c>
      <c r="Q550" s="5" t="s">
        <v>86</v>
      </c>
      <c r="R550" s="5" t="s">
        <v>44</v>
      </c>
      <c r="S550" s="5" t="s">
        <v>33</v>
      </c>
      <c r="T550" s="6">
        <v>8</v>
      </c>
      <c r="U550" s="6">
        <v>10</v>
      </c>
      <c r="V550" s="5" t="s">
        <v>34</v>
      </c>
      <c r="W550" s="8"/>
      <c r="Y550">
        <f t="shared" si="11"/>
        <v>80</v>
      </c>
    </row>
    <row r="551" spans="1:25" ht="15.75" customHeight="1">
      <c r="A551" s="5" t="s">
        <v>1222</v>
      </c>
      <c r="B551" s="6">
        <v>85</v>
      </c>
      <c r="C551" s="5" t="s">
        <v>22</v>
      </c>
      <c r="D551" s="6" t="s">
        <v>530</v>
      </c>
      <c r="E551" s="6"/>
      <c r="F551" s="7">
        <v>45356</v>
      </c>
      <c r="G551" s="6">
        <v>4</v>
      </c>
      <c r="H551" s="5" t="s">
        <v>24</v>
      </c>
      <c r="I551" s="6">
        <v>5</v>
      </c>
      <c r="J551" s="5" t="s">
        <v>97</v>
      </c>
      <c r="K551" s="6">
        <v>11533</v>
      </c>
      <c r="L551" s="5" t="s">
        <v>26</v>
      </c>
      <c r="M551" s="5" t="s">
        <v>66</v>
      </c>
      <c r="N551" s="5" t="s">
        <v>47</v>
      </c>
      <c r="O551" s="6" t="s">
        <v>1125</v>
      </c>
      <c r="P551" s="6" t="s">
        <v>1223</v>
      </c>
      <c r="Q551" s="5" t="s">
        <v>31</v>
      </c>
      <c r="R551" s="5" t="s">
        <v>32</v>
      </c>
      <c r="S551" s="5" t="s">
        <v>33</v>
      </c>
      <c r="T551" s="6">
        <v>4</v>
      </c>
      <c r="U551" s="6">
        <v>12</v>
      </c>
      <c r="V551" s="5" t="s">
        <v>54</v>
      </c>
      <c r="W551" s="8"/>
      <c r="Y551">
        <f t="shared" si="11"/>
        <v>33.333333333333329</v>
      </c>
    </row>
    <row r="552" spans="1:25" ht="15.75" customHeight="1">
      <c r="A552" s="5" t="s">
        <v>1224</v>
      </c>
      <c r="B552" s="6">
        <v>53</v>
      </c>
      <c r="C552" s="5" t="s">
        <v>36</v>
      </c>
      <c r="D552" s="6" t="s">
        <v>342</v>
      </c>
      <c r="E552" s="6"/>
      <c r="F552" s="7">
        <v>45204</v>
      </c>
      <c r="G552" s="6">
        <v>12</v>
      </c>
      <c r="H552" s="5" t="s">
        <v>73</v>
      </c>
      <c r="I552" s="6">
        <v>2</v>
      </c>
      <c r="J552" s="5" t="s">
        <v>52</v>
      </c>
      <c r="K552" s="6">
        <v>28396</v>
      </c>
      <c r="L552" s="5" t="s">
        <v>90</v>
      </c>
      <c r="M552" s="5" t="s">
        <v>27</v>
      </c>
      <c r="N552" s="5" t="s">
        <v>47</v>
      </c>
      <c r="O552" s="6" t="s">
        <v>341</v>
      </c>
      <c r="P552" s="6" t="s">
        <v>1225</v>
      </c>
      <c r="Q552" s="5" t="s">
        <v>43</v>
      </c>
      <c r="R552" s="5" t="s">
        <v>32</v>
      </c>
      <c r="S552" s="5" t="s">
        <v>49</v>
      </c>
      <c r="T552" s="6">
        <v>7</v>
      </c>
      <c r="U552" s="6">
        <v>10</v>
      </c>
      <c r="V552" s="5" t="s">
        <v>34</v>
      </c>
      <c r="W552" s="8"/>
      <c r="Y552">
        <f t="shared" si="11"/>
        <v>70</v>
      </c>
    </row>
    <row r="553" spans="1:25" ht="15.75" customHeight="1">
      <c r="A553" s="5" t="s">
        <v>1226</v>
      </c>
      <c r="B553" s="6">
        <v>23</v>
      </c>
      <c r="C553" s="5" t="s">
        <v>62</v>
      </c>
      <c r="D553" s="7">
        <v>45268</v>
      </c>
      <c r="E553" s="7"/>
      <c r="F553" s="6" t="s">
        <v>271</v>
      </c>
      <c r="G553" s="6">
        <v>8</v>
      </c>
      <c r="H553" s="5" t="s">
        <v>83</v>
      </c>
      <c r="I553" s="6">
        <v>4</v>
      </c>
      <c r="J553" s="5" t="s">
        <v>89</v>
      </c>
      <c r="K553" s="6">
        <v>17755</v>
      </c>
      <c r="L553" s="5" t="s">
        <v>80</v>
      </c>
      <c r="M553" s="5" t="s">
        <v>66</v>
      </c>
      <c r="N553" s="5" t="s">
        <v>28</v>
      </c>
      <c r="O553" s="7">
        <v>45146</v>
      </c>
      <c r="P553" s="7">
        <v>45177.833333333336</v>
      </c>
      <c r="Q553" s="5" t="s">
        <v>31</v>
      </c>
      <c r="R553" s="5" t="s">
        <v>32</v>
      </c>
      <c r="S553" s="5" t="s">
        <v>53</v>
      </c>
      <c r="T553" s="6">
        <v>11</v>
      </c>
      <c r="U553" s="6">
        <v>10</v>
      </c>
      <c r="V553" s="5" t="s">
        <v>34</v>
      </c>
      <c r="W553" s="8"/>
      <c r="Y553">
        <f t="shared" si="11"/>
        <v>110.00000000000001</v>
      </c>
    </row>
    <row r="554" spans="1:25" ht="15.75" customHeight="1">
      <c r="A554" s="5" t="s">
        <v>1227</v>
      </c>
      <c r="B554" s="6">
        <v>16</v>
      </c>
      <c r="C554" s="5" t="s">
        <v>36</v>
      </c>
      <c r="D554" s="6" t="s">
        <v>171</v>
      </c>
      <c r="E554" s="6"/>
      <c r="F554" s="6" t="s">
        <v>530</v>
      </c>
      <c r="G554" s="6">
        <v>8</v>
      </c>
      <c r="H554" s="5" t="s">
        <v>24</v>
      </c>
      <c r="I554" s="6">
        <v>4</v>
      </c>
      <c r="J554" s="5" t="s">
        <v>97</v>
      </c>
      <c r="K554" s="6">
        <v>5865</v>
      </c>
      <c r="L554" s="5" t="s">
        <v>80</v>
      </c>
      <c r="M554" s="5" t="s">
        <v>66</v>
      </c>
      <c r="N554" s="5" t="s">
        <v>28</v>
      </c>
      <c r="O554" s="6" t="s">
        <v>171</v>
      </c>
      <c r="P554" s="6" t="s">
        <v>1228</v>
      </c>
      <c r="Q554" s="5" t="s">
        <v>48</v>
      </c>
      <c r="R554" s="5" t="s">
        <v>32</v>
      </c>
      <c r="S554" s="5" t="s">
        <v>49</v>
      </c>
      <c r="T554" s="6">
        <v>6</v>
      </c>
      <c r="U554" s="6">
        <v>12</v>
      </c>
      <c r="V554" s="5" t="s">
        <v>54</v>
      </c>
      <c r="W554" s="8"/>
      <c r="Y554">
        <f t="shared" si="11"/>
        <v>50</v>
      </c>
    </row>
    <row r="555" spans="1:25" ht="15.75" customHeight="1">
      <c r="A555" s="5" t="s">
        <v>1229</v>
      </c>
      <c r="B555" s="6">
        <v>57</v>
      </c>
      <c r="C555" s="5" t="s">
        <v>36</v>
      </c>
      <c r="D555" s="6" t="s">
        <v>592</v>
      </c>
      <c r="E555" s="6"/>
      <c r="F555" s="6" t="s">
        <v>163</v>
      </c>
      <c r="G555" s="6">
        <v>9</v>
      </c>
      <c r="H555" s="5" t="s">
        <v>46</v>
      </c>
      <c r="I555" s="6">
        <v>5</v>
      </c>
      <c r="J555" s="5" t="s">
        <v>52</v>
      </c>
      <c r="K555" s="6">
        <v>16173</v>
      </c>
      <c r="L555" s="5" t="s">
        <v>40</v>
      </c>
      <c r="M555" s="5" t="s">
        <v>66</v>
      </c>
      <c r="N555" s="5" t="s">
        <v>28</v>
      </c>
      <c r="O555" s="6" t="s">
        <v>931</v>
      </c>
      <c r="P555" s="6" t="s">
        <v>1230</v>
      </c>
      <c r="Q555" s="5" t="s">
        <v>86</v>
      </c>
      <c r="R555" s="5" t="s">
        <v>32</v>
      </c>
      <c r="S555" s="5" t="s">
        <v>53</v>
      </c>
      <c r="T555" s="6">
        <v>7</v>
      </c>
      <c r="U555" s="6">
        <v>12</v>
      </c>
      <c r="V555" s="5" t="s">
        <v>92</v>
      </c>
      <c r="W555" s="8"/>
      <c r="Y555">
        <f t="shared" si="11"/>
        <v>58.333333333333336</v>
      </c>
    </row>
    <row r="556" spans="1:25" ht="15.75" customHeight="1">
      <c r="A556" s="5" t="s">
        <v>1231</v>
      </c>
      <c r="B556" s="6">
        <v>39</v>
      </c>
      <c r="C556" s="5" t="s">
        <v>22</v>
      </c>
      <c r="D556" s="6" t="s">
        <v>223</v>
      </c>
      <c r="E556" s="6"/>
      <c r="F556" s="6" t="s">
        <v>355</v>
      </c>
      <c r="G556" s="6">
        <v>9</v>
      </c>
      <c r="H556" s="5" t="s">
        <v>58</v>
      </c>
      <c r="I556" s="6">
        <v>4</v>
      </c>
      <c r="J556" s="5" t="s">
        <v>39</v>
      </c>
      <c r="K556" s="6">
        <v>43097</v>
      </c>
      <c r="L556" s="5" t="s">
        <v>80</v>
      </c>
      <c r="M556" s="5" t="s">
        <v>27</v>
      </c>
      <c r="N556" s="5" t="s">
        <v>28</v>
      </c>
      <c r="O556" s="7">
        <v>45505</v>
      </c>
      <c r="P556" s="7">
        <v>45505.291666666664</v>
      </c>
      <c r="Q556" s="5" t="s">
        <v>48</v>
      </c>
      <c r="R556" s="5" t="s">
        <v>32</v>
      </c>
      <c r="S556" s="5" t="s">
        <v>33</v>
      </c>
      <c r="T556" s="6">
        <v>6</v>
      </c>
      <c r="U556" s="6">
        <v>8</v>
      </c>
      <c r="V556" s="5" t="s">
        <v>34</v>
      </c>
      <c r="W556" s="8"/>
      <c r="Y556">
        <f t="shared" si="11"/>
        <v>75</v>
      </c>
    </row>
    <row r="557" spans="1:25" ht="15.75" customHeight="1">
      <c r="A557" s="5" t="s">
        <v>1232</v>
      </c>
      <c r="B557" s="6">
        <v>53</v>
      </c>
      <c r="C557" s="5" t="s">
        <v>22</v>
      </c>
      <c r="D557" s="6" t="s">
        <v>412</v>
      </c>
      <c r="E557" s="6"/>
      <c r="F557" s="7">
        <v>44933</v>
      </c>
      <c r="G557" s="6">
        <v>10</v>
      </c>
      <c r="H557" s="5" t="s">
        <v>46</v>
      </c>
      <c r="I557" s="6">
        <v>3</v>
      </c>
      <c r="J557" s="5" t="s">
        <v>97</v>
      </c>
      <c r="K557" s="6">
        <v>38371</v>
      </c>
      <c r="L557" s="5" t="s">
        <v>90</v>
      </c>
      <c r="M557" s="5" t="s">
        <v>27</v>
      </c>
      <c r="N557" s="5" t="s">
        <v>28</v>
      </c>
      <c r="O557" s="6" t="s">
        <v>345</v>
      </c>
      <c r="P557" s="6" t="s">
        <v>1233</v>
      </c>
      <c r="Q557" s="5" t="s">
        <v>69</v>
      </c>
      <c r="R557" s="5" t="s">
        <v>32</v>
      </c>
      <c r="S557" s="5" t="s">
        <v>33</v>
      </c>
      <c r="T557" s="6">
        <v>8</v>
      </c>
      <c r="U557" s="6">
        <v>8</v>
      </c>
      <c r="V557" s="5" t="s">
        <v>54</v>
      </c>
      <c r="W557" s="8"/>
      <c r="Y557">
        <f t="shared" si="11"/>
        <v>100</v>
      </c>
    </row>
    <row r="558" spans="1:25" ht="15.75" customHeight="1">
      <c r="A558" s="5" t="s">
        <v>1234</v>
      </c>
      <c r="B558" s="6">
        <v>42</v>
      </c>
      <c r="C558" s="5" t="s">
        <v>36</v>
      </c>
      <c r="D558" s="6" t="s">
        <v>342</v>
      </c>
      <c r="E558" s="6"/>
      <c r="F558" s="7">
        <v>44931</v>
      </c>
      <c r="G558" s="6">
        <v>3</v>
      </c>
      <c r="H558" s="5" t="s">
        <v>46</v>
      </c>
      <c r="I558" s="6">
        <v>5</v>
      </c>
      <c r="J558" s="5" t="s">
        <v>39</v>
      </c>
      <c r="K558" s="6">
        <v>43524</v>
      </c>
      <c r="L558" s="5" t="s">
        <v>90</v>
      </c>
      <c r="M558" s="5" t="s">
        <v>66</v>
      </c>
      <c r="N558" s="5" t="s">
        <v>47</v>
      </c>
      <c r="O558" s="6" t="s">
        <v>341</v>
      </c>
      <c r="P558" s="6" t="s">
        <v>1235</v>
      </c>
      <c r="Q558" s="5" t="s">
        <v>48</v>
      </c>
      <c r="R558" s="5" t="s">
        <v>32</v>
      </c>
      <c r="S558" s="5" t="s">
        <v>49</v>
      </c>
      <c r="T558" s="6">
        <v>8</v>
      </c>
      <c r="U558" s="6">
        <v>10</v>
      </c>
      <c r="V558" s="5" t="s">
        <v>34</v>
      </c>
      <c r="W558" s="8"/>
      <c r="Y558">
        <f t="shared" si="11"/>
        <v>80</v>
      </c>
    </row>
    <row r="559" spans="1:25" ht="15.75" customHeight="1">
      <c r="A559" s="5" t="s">
        <v>1236</v>
      </c>
      <c r="B559" s="6">
        <v>58</v>
      </c>
      <c r="C559" s="5" t="s">
        <v>36</v>
      </c>
      <c r="D559" s="6" t="s">
        <v>251</v>
      </c>
      <c r="E559" s="6"/>
      <c r="F559" s="6" t="s">
        <v>131</v>
      </c>
      <c r="G559" s="6">
        <v>6</v>
      </c>
      <c r="H559" s="5" t="s">
        <v>58</v>
      </c>
      <c r="I559" s="6">
        <v>1</v>
      </c>
      <c r="J559" s="5" t="s">
        <v>25</v>
      </c>
      <c r="K559" s="6">
        <v>16254</v>
      </c>
      <c r="L559" s="5" t="s">
        <v>26</v>
      </c>
      <c r="M559" s="5" t="s">
        <v>27</v>
      </c>
      <c r="N559" s="5" t="s">
        <v>28</v>
      </c>
      <c r="O559" s="6" t="s">
        <v>225</v>
      </c>
      <c r="P559" s="6" t="s">
        <v>1237</v>
      </c>
      <c r="Q559" s="5" t="s">
        <v>43</v>
      </c>
      <c r="R559" s="5" t="s">
        <v>32</v>
      </c>
      <c r="S559" s="5" t="s">
        <v>33</v>
      </c>
      <c r="T559" s="6">
        <v>9</v>
      </c>
      <c r="U559" s="6">
        <v>10</v>
      </c>
      <c r="V559" s="5" t="s">
        <v>92</v>
      </c>
      <c r="W559" s="8"/>
      <c r="Y559">
        <f t="shared" si="11"/>
        <v>90</v>
      </c>
    </row>
    <row r="560" spans="1:25" ht="15.75" customHeight="1">
      <c r="A560" s="5" t="s">
        <v>1238</v>
      </c>
      <c r="B560" s="6">
        <v>39</v>
      </c>
      <c r="C560" s="5" t="s">
        <v>36</v>
      </c>
      <c r="D560" s="6" t="s">
        <v>289</v>
      </c>
      <c r="E560" s="6"/>
      <c r="F560" s="6" t="s">
        <v>432</v>
      </c>
      <c r="G560" s="6">
        <v>6</v>
      </c>
      <c r="H560" s="5" t="s">
        <v>58</v>
      </c>
      <c r="I560" s="6">
        <v>2</v>
      </c>
      <c r="J560" s="5" t="s">
        <v>97</v>
      </c>
      <c r="K560" s="6">
        <v>9018</v>
      </c>
      <c r="L560" s="5" t="s">
        <v>26</v>
      </c>
      <c r="M560" s="5" t="s">
        <v>27</v>
      </c>
      <c r="N560" s="5" t="s">
        <v>28</v>
      </c>
      <c r="O560" s="6" t="s">
        <v>289</v>
      </c>
      <c r="P560" s="6" t="s">
        <v>1239</v>
      </c>
      <c r="Q560" s="5" t="s">
        <v>43</v>
      </c>
      <c r="R560" s="5" t="s">
        <v>44</v>
      </c>
      <c r="S560" s="5" t="s">
        <v>53</v>
      </c>
      <c r="T560" s="6">
        <v>6</v>
      </c>
      <c r="U560" s="6">
        <v>8</v>
      </c>
      <c r="V560" s="5" t="s">
        <v>92</v>
      </c>
      <c r="W560" s="8"/>
      <c r="Y560">
        <f t="shared" si="11"/>
        <v>75</v>
      </c>
    </row>
    <row r="561" spans="1:25" ht="15.75" customHeight="1">
      <c r="A561" s="5" t="s">
        <v>1240</v>
      </c>
      <c r="B561" s="6">
        <v>14</v>
      </c>
      <c r="C561" s="5" t="s">
        <v>22</v>
      </c>
      <c r="D561" s="6" t="s">
        <v>94</v>
      </c>
      <c r="E561" s="6"/>
      <c r="F561" s="7">
        <v>45082</v>
      </c>
      <c r="G561" s="6">
        <v>15</v>
      </c>
      <c r="H561" s="5" t="s">
        <v>73</v>
      </c>
      <c r="I561" s="6">
        <v>2</v>
      </c>
      <c r="J561" s="5" t="s">
        <v>39</v>
      </c>
      <c r="K561" s="6">
        <v>10192</v>
      </c>
      <c r="L561" s="5" t="s">
        <v>26</v>
      </c>
      <c r="M561" s="5" t="s">
        <v>66</v>
      </c>
      <c r="N561" s="5" t="s">
        <v>47</v>
      </c>
      <c r="O561" s="6" t="s">
        <v>601</v>
      </c>
      <c r="P561" s="6" t="s">
        <v>1241</v>
      </c>
      <c r="Q561" s="5" t="s">
        <v>48</v>
      </c>
      <c r="R561" s="5" t="s">
        <v>32</v>
      </c>
      <c r="S561" s="5" t="s">
        <v>53</v>
      </c>
      <c r="T561" s="6">
        <v>8</v>
      </c>
      <c r="U561" s="6">
        <v>8</v>
      </c>
      <c r="V561" s="5" t="s">
        <v>34</v>
      </c>
      <c r="W561" s="8"/>
      <c r="Y561">
        <f t="shared" si="11"/>
        <v>100</v>
      </c>
    </row>
    <row r="562" spans="1:25" ht="15.75" customHeight="1">
      <c r="A562" s="5" t="s">
        <v>1242</v>
      </c>
      <c r="B562" s="6">
        <v>5</v>
      </c>
      <c r="C562" s="5" t="s">
        <v>36</v>
      </c>
      <c r="D562" s="6" t="s">
        <v>1243</v>
      </c>
      <c r="E562" s="6"/>
      <c r="F562" s="7">
        <v>44928</v>
      </c>
      <c r="G562" s="6">
        <v>5</v>
      </c>
      <c r="H562" s="5" t="s">
        <v>73</v>
      </c>
      <c r="I562" s="6">
        <v>2</v>
      </c>
      <c r="J562" s="5" t="s">
        <v>89</v>
      </c>
      <c r="K562" s="6">
        <v>7015</v>
      </c>
      <c r="L562" s="5" t="s">
        <v>80</v>
      </c>
      <c r="M562" s="5" t="s">
        <v>66</v>
      </c>
      <c r="N562" s="5" t="s">
        <v>47</v>
      </c>
      <c r="O562" s="6" t="s">
        <v>1243</v>
      </c>
      <c r="P562" s="6" t="s">
        <v>1244</v>
      </c>
      <c r="Q562" s="5" t="s">
        <v>69</v>
      </c>
      <c r="R562" s="5" t="s">
        <v>32</v>
      </c>
      <c r="S562" s="5" t="s">
        <v>49</v>
      </c>
      <c r="T562" s="6">
        <v>8</v>
      </c>
      <c r="U562" s="6">
        <v>10</v>
      </c>
      <c r="V562" s="5" t="s">
        <v>92</v>
      </c>
      <c r="W562" s="8"/>
      <c r="Y562">
        <f t="shared" si="11"/>
        <v>80</v>
      </c>
    </row>
    <row r="563" spans="1:25" ht="15.75" customHeight="1">
      <c r="A563" s="5" t="s">
        <v>1245</v>
      </c>
      <c r="B563" s="6">
        <v>35</v>
      </c>
      <c r="C563" s="5" t="s">
        <v>36</v>
      </c>
      <c r="D563" s="6" t="s">
        <v>469</v>
      </c>
      <c r="E563" s="6"/>
      <c r="F563" s="6" t="s">
        <v>1246</v>
      </c>
      <c r="G563" s="6">
        <v>7</v>
      </c>
      <c r="H563" s="5" t="s">
        <v>58</v>
      </c>
      <c r="I563" s="6">
        <v>3</v>
      </c>
      <c r="J563" s="5" t="s">
        <v>89</v>
      </c>
      <c r="K563" s="6">
        <v>47618</v>
      </c>
      <c r="L563" s="5" t="s">
        <v>80</v>
      </c>
      <c r="M563" s="5" t="s">
        <v>27</v>
      </c>
      <c r="N563" s="5" t="s">
        <v>28</v>
      </c>
      <c r="O563" s="6" t="s">
        <v>917</v>
      </c>
      <c r="P563" s="6" t="s">
        <v>1247</v>
      </c>
      <c r="Q563" s="5" t="s">
        <v>31</v>
      </c>
      <c r="R563" s="5" t="s">
        <v>32</v>
      </c>
      <c r="S563" s="5" t="s">
        <v>53</v>
      </c>
      <c r="T563" s="6">
        <v>6</v>
      </c>
      <c r="U563" s="6">
        <v>8</v>
      </c>
      <c r="V563" s="5" t="s">
        <v>54</v>
      </c>
      <c r="W563" s="8"/>
      <c r="Y563">
        <f t="shared" si="11"/>
        <v>75</v>
      </c>
    </row>
    <row r="564" spans="1:25" ht="15.75" customHeight="1">
      <c r="A564" s="5" t="s">
        <v>1248</v>
      </c>
      <c r="B564" s="6">
        <v>87</v>
      </c>
      <c r="C564" s="5" t="s">
        <v>51</v>
      </c>
      <c r="D564" s="6" t="s">
        <v>153</v>
      </c>
      <c r="E564" s="6"/>
      <c r="F564" s="6" t="s">
        <v>354</v>
      </c>
      <c r="G564" s="6">
        <v>7</v>
      </c>
      <c r="H564" s="5" t="s">
        <v>24</v>
      </c>
      <c r="I564" s="6">
        <v>1</v>
      </c>
      <c r="J564" s="5" t="s">
        <v>25</v>
      </c>
      <c r="K564" s="6">
        <v>8380</v>
      </c>
      <c r="L564" s="5" t="s">
        <v>40</v>
      </c>
      <c r="M564" s="5" t="s">
        <v>66</v>
      </c>
      <c r="N564" s="5" t="s">
        <v>28</v>
      </c>
      <c r="O564" s="6" t="s">
        <v>408</v>
      </c>
      <c r="P564" s="6" t="s">
        <v>1249</v>
      </c>
      <c r="Q564" s="5" t="s">
        <v>43</v>
      </c>
      <c r="R564" s="5" t="s">
        <v>32</v>
      </c>
      <c r="S564" s="5" t="s">
        <v>49</v>
      </c>
      <c r="T564" s="6">
        <v>9</v>
      </c>
      <c r="U564" s="6">
        <v>10</v>
      </c>
      <c r="V564" s="5" t="s">
        <v>54</v>
      </c>
      <c r="W564" s="8"/>
      <c r="Y564">
        <f t="shared" si="11"/>
        <v>90</v>
      </c>
    </row>
    <row r="565" spans="1:25" ht="15.75" customHeight="1">
      <c r="A565" s="5" t="s">
        <v>1250</v>
      </c>
      <c r="B565" s="6">
        <v>75</v>
      </c>
      <c r="C565" s="5" t="s">
        <v>62</v>
      </c>
      <c r="D565" s="7">
        <v>45598</v>
      </c>
      <c r="E565" s="7"/>
      <c r="F565" s="6" t="s">
        <v>1251</v>
      </c>
      <c r="G565" s="6">
        <v>13</v>
      </c>
      <c r="H565" s="5" t="s">
        <v>38</v>
      </c>
      <c r="I565" s="6">
        <v>5</v>
      </c>
      <c r="J565" s="5" t="s">
        <v>97</v>
      </c>
      <c r="K565" s="6">
        <v>33343</v>
      </c>
      <c r="L565" s="5" t="s">
        <v>26</v>
      </c>
      <c r="M565" s="5" t="s">
        <v>66</v>
      </c>
      <c r="N565" s="5" t="s">
        <v>28</v>
      </c>
      <c r="O565" s="7">
        <v>45567</v>
      </c>
      <c r="P565" s="7">
        <v>45598.166666666664</v>
      </c>
      <c r="Q565" s="5" t="s">
        <v>48</v>
      </c>
      <c r="R565" s="5" t="s">
        <v>32</v>
      </c>
      <c r="S565" s="5" t="s">
        <v>49</v>
      </c>
      <c r="T565" s="6">
        <v>9</v>
      </c>
      <c r="U565" s="6">
        <v>12</v>
      </c>
      <c r="V565" s="5" t="s">
        <v>34</v>
      </c>
      <c r="W565" s="8"/>
      <c r="Y565">
        <f t="shared" si="11"/>
        <v>75</v>
      </c>
    </row>
    <row r="566" spans="1:25" ht="15.75" customHeight="1">
      <c r="A566" s="5" t="s">
        <v>1252</v>
      </c>
      <c r="B566" s="6">
        <v>18</v>
      </c>
      <c r="C566" s="5" t="s">
        <v>82</v>
      </c>
      <c r="D566" s="6" t="s">
        <v>111</v>
      </c>
      <c r="E566" s="6"/>
      <c r="F566" s="6" t="s">
        <v>112</v>
      </c>
      <c r="G566" s="6">
        <v>6</v>
      </c>
      <c r="H566" s="5" t="s">
        <v>73</v>
      </c>
      <c r="I566" s="6">
        <v>5</v>
      </c>
      <c r="J566" s="5" t="s">
        <v>97</v>
      </c>
      <c r="K566" s="6">
        <v>8770</v>
      </c>
      <c r="L566" s="5" t="s">
        <v>65</v>
      </c>
      <c r="M566" s="5" t="s">
        <v>27</v>
      </c>
      <c r="N566" s="5" t="s">
        <v>47</v>
      </c>
      <c r="O566" s="6" t="s">
        <v>1018</v>
      </c>
      <c r="P566" s="6" t="s">
        <v>1253</v>
      </c>
      <c r="Q566" s="5" t="s">
        <v>48</v>
      </c>
      <c r="R566" s="5" t="s">
        <v>32</v>
      </c>
      <c r="S566" s="5" t="s">
        <v>53</v>
      </c>
      <c r="T566" s="6">
        <v>9</v>
      </c>
      <c r="U566" s="6">
        <v>12</v>
      </c>
      <c r="V566" s="5" t="s">
        <v>92</v>
      </c>
      <c r="W566" s="8"/>
      <c r="Y566">
        <f t="shared" si="11"/>
        <v>75</v>
      </c>
    </row>
    <row r="567" spans="1:25" ht="15.75" customHeight="1">
      <c r="A567" s="5" t="s">
        <v>1254</v>
      </c>
      <c r="B567" s="6">
        <v>76</v>
      </c>
      <c r="C567" s="5" t="s">
        <v>62</v>
      </c>
      <c r="D567" s="6" t="s">
        <v>595</v>
      </c>
      <c r="E567" s="6"/>
      <c r="F567" s="6" t="s">
        <v>179</v>
      </c>
      <c r="G567" s="6">
        <v>11</v>
      </c>
      <c r="H567" s="5" t="s">
        <v>38</v>
      </c>
      <c r="I567" s="6">
        <v>2</v>
      </c>
      <c r="J567" s="5" t="s">
        <v>97</v>
      </c>
      <c r="K567" s="6">
        <v>10829</v>
      </c>
      <c r="L567" s="5" t="s">
        <v>40</v>
      </c>
      <c r="M567" s="5" t="s">
        <v>27</v>
      </c>
      <c r="N567" s="5" t="s">
        <v>28</v>
      </c>
      <c r="O567" s="6" t="s">
        <v>500</v>
      </c>
      <c r="P567" s="6" t="s">
        <v>1255</v>
      </c>
      <c r="Q567" s="5" t="s">
        <v>48</v>
      </c>
      <c r="R567" s="5" t="s">
        <v>32</v>
      </c>
      <c r="S567" s="5" t="s">
        <v>53</v>
      </c>
      <c r="T567" s="6">
        <v>9</v>
      </c>
      <c r="U567" s="6">
        <v>8</v>
      </c>
      <c r="V567" s="5" t="s">
        <v>54</v>
      </c>
      <c r="W567" s="8"/>
      <c r="Y567">
        <f t="shared" si="11"/>
        <v>112.5</v>
      </c>
    </row>
    <row r="568" spans="1:25" ht="15.75" customHeight="1">
      <c r="A568" s="5" t="s">
        <v>1256</v>
      </c>
      <c r="B568" s="6">
        <v>9</v>
      </c>
      <c r="C568" s="5" t="s">
        <v>51</v>
      </c>
      <c r="D568" s="7">
        <v>45086</v>
      </c>
      <c r="E568" s="7"/>
      <c r="F568" s="6" t="s">
        <v>364</v>
      </c>
      <c r="G568" s="6">
        <v>10</v>
      </c>
      <c r="H568" s="5" t="s">
        <v>24</v>
      </c>
      <c r="I568" s="6">
        <v>1</v>
      </c>
      <c r="J568" s="5" t="s">
        <v>25</v>
      </c>
      <c r="K568" s="6">
        <v>39381</v>
      </c>
      <c r="L568" s="5" t="s">
        <v>65</v>
      </c>
      <c r="M568" s="5" t="s">
        <v>27</v>
      </c>
      <c r="N568" s="5" t="s">
        <v>28</v>
      </c>
      <c r="O568" s="7">
        <v>44966</v>
      </c>
      <c r="P568" s="7">
        <v>44966.375</v>
      </c>
      <c r="Q568" s="5" t="s">
        <v>31</v>
      </c>
      <c r="R568" s="5" t="s">
        <v>32</v>
      </c>
      <c r="S568" s="5" t="s">
        <v>53</v>
      </c>
      <c r="T568" s="6">
        <v>4</v>
      </c>
      <c r="U568" s="6">
        <v>12</v>
      </c>
      <c r="V568" s="5" t="s">
        <v>54</v>
      </c>
      <c r="W568" s="8"/>
      <c r="Y568">
        <f t="shared" si="11"/>
        <v>33.333333333333329</v>
      </c>
    </row>
    <row r="569" spans="1:25" ht="15.75" customHeight="1">
      <c r="A569" s="5" t="s">
        <v>1257</v>
      </c>
      <c r="B569" s="6">
        <v>74</v>
      </c>
      <c r="C569" s="5" t="s">
        <v>82</v>
      </c>
      <c r="D569" s="6" t="s">
        <v>71</v>
      </c>
      <c r="E569" s="6"/>
      <c r="F569" s="6" t="s">
        <v>601</v>
      </c>
      <c r="G569" s="6">
        <v>1</v>
      </c>
      <c r="H569" s="5" t="s">
        <v>58</v>
      </c>
      <c r="I569" s="6">
        <v>1</v>
      </c>
      <c r="J569" s="5" t="s">
        <v>97</v>
      </c>
      <c r="K569" s="6">
        <v>20545</v>
      </c>
      <c r="L569" s="5" t="s">
        <v>80</v>
      </c>
      <c r="M569" s="5" t="s">
        <v>27</v>
      </c>
      <c r="N569" s="5" t="s">
        <v>47</v>
      </c>
      <c r="O569" s="7">
        <v>45203</v>
      </c>
      <c r="P569" s="7">
        <v>45234.75</v>
      </c>
      <c r="Q569" s="5" t="s">
        <v>86</v>
      </c>
      <c r="R569" s="5" t="s">
        <v>32</v>
      </c>
      <c r="S569" s="5" t="s">
        <v>53</v>
      </c>
      <c r="T569" s="6">
        <v>6</v>
      </c>
      <c r="U569" s="6">
        <v>12</v>
      </c>
      <c r="V569" s="5" t="s">
        <v>54</v>
      </c>
      <c r="W569" s="8"/>
      <c r="Y569">
        <f t="shared" si="11"/>
        <v>50</v>
      </c>
    </row>
    <row r="570" spans="1:25" ht="15.75" customHeight="1">
      <c r="A570" s="5" t="s">
        <v>1258</v>
      </c>
      <c r="B570" s="6">
        <v>58</v>
      </c>
      <c r="C570" s="5" t="s">
        <v>36</v>
      </c>
      <c r="D570" s="7">
        <v>45057</v>
      </c>
      <c r="E570" s="7"/>
      <c r="F570" s="6" t="s">
        <v>278</v>
      </c>
      <c r="G570" s="6">
        <v>13</v>
      </c>
      <c r="H570" s="5" t="s">
        <v>24</v>
      </c>
      <c r="I570" s="6">
        <v>1</v>
      </c>
      <c r="J570" s="5" t="s">
        <v>89</v>
      </c>
      <c r="K570" s="6">
        <v>23263</v>
      </c>
      <c r="L570" s="5" t="s">
        <v>40</v>
      </c>
      <c r="M570" s="5" t="s">
        <v>66</v>
      </c>
      <c r="N570" s="5" t="s">
        <v>28</v>
      </c>
      <c r="O570" s="7">
        <v>44996</v>
      </c>
      <c r="P570" s="7">
        <v>44996.833333333336</v>
      </c>
      <c r="Q570" s="5" t="s">
        <v>69</v>
      </c>
      <c r="R570" s="5" t="s">
        <v>32</v>
      </c>
      <c r="S570" s="5" t="s">
        <v>53</v>
      </c>
      <c r="T570" s="6">
        <v>10</v>
      </c>
      <c r="U570" s="6">
        <v>12</v>
      </c>
      <c r="V570" s="5" t="s">
        <v>34</v>
      </c>
      <c r="W570" s="8"/>
      <c r="Y570">
        <f t="shared" si="11"/>
        <v>83.333333333333343</v>
      </c>
    </row>
    <row r="571" spans="1:25" ht="15.75" customHeight="1">
      <c r="A571" s="5" t="s">
        <v>1259</v>
      </c>
      <c r="B571" s="6">
        <v>17</v>
      </c>
      <c r="C571" s="5" t="s">
        <v>51</v>
      </c>
      <c r="D571" s="7">
        <v>45021</v>
      </c>
      <c r="E571" s="7"/>
      <c r="F571" s="6" t="s">
        <v>527</v>
      </c>
      <c r="G571" s="6">
        <v>11</v>
      </c>
      <c r="H571" s="5" t="s">
        <v>73</v>
      </c>
      <c r="I571" s="6">
        <v>4</v>
      </c>
      <c r="J571" s="5" t="s">
        <v>39</v>
      </c>
      <c r="K571" s="6">
        <v>43140</v>
      </c>
      <c r="L571" s="5" t="s">
        <v>40</v>
      </c>
      <c r="M571" s="5" t="s">
        <v>66</v>
      </c>
      <c r="N571" s="5" t="s">
        <v>47</v>
      </c>
      <c r="O571" s="6" t="s">
        <v>761</v>
      </c>
      <c r="P571" s="6" t="s">
        <v>1260</v>
      </c>
      <c r="Q571" s="5" t="s">
        <v>86</v>
      </c>
      <c r="R571" s="5" t="s">
        <v>44</v>
      </c>
      <c r="S571" s="5" t="s">
        <v>53</v>
      </c>
      <c r="T571" s="6">
        <v>4</v>
      </c>
      <c r="U571" s="6">
        <v>12</v>
      </c>
      <c r="V571" s="5" t="s">
        <v>34</v>
      </c>
      <c r="W571" s="8"/>
      <c r="Y571">
        <f t="shared" si="11"/>
        <v>33.333333333333329</v>
      </c>
    </row>
    <row r="572" spans="1:25" ht="15.75" customHeight="1">
      <c r="A572" s="5" t="s">
        <v>1261</v>
      </c>
      <c r="B572" s="6">
        <v>7</v>
      </c>
      <c r="C572" s="5" t="s">
        <v>36</v>
      </c>
      <c r="D572" s="7">
        <v>45262</v>
      </c>
      <c r="E572" s="7"/>
      <c r="F572" s="6" t="s">
        <v>560</v>
      </c>
      <c r="G572" s="6">
        <v>11</v>
      </c>
      <c r="H572" s="5" t="s">
        <v>46</v>
      </c>
      <c r="I572" s="6">
        <v>4</v>
      </c>
      <c r="J572" s="5" t="s">
        <v>89</v>
      </c>
      <c r="K572" s="6">
        <v>48306</v>
      </c>
      <c r="L572" s="5" t="s">
        <v>90</v>
      </c>
      <c r="M572" s="5" t="s">
        <v>66</v>
      </c>
      <c r="N572" s="5" t="s">
        <v>28</v>
      </c>
      <c r="O572" s="7">
        <v>45262</v>
      </c>
      <c r="P572" s="7">
        <v>45262.75</v>
      </c>
      <c r="Q572" s="5" t="s">
        <v>69</v>
      </c>
      <c r="R572" s="5" t="s">
        <v>32</v>
      </c>
      <c r="S572" s="5" t="s">
        <v>53</v>
      </c>
      <c r="T572" s="6">
        <v>8</v>
      </c>
      <c r="U572" s="6">
        <v>10</v>
      </c>
      <c r="V572" s="5" t="s">
        <v>54</v>
      </c>
      <c r="W572" s="8"/>
      <c r="Y572">
        <f t="shared" si="11"/>
        <v>80</v>
      </c>
    </row>
    <row r="573" spans="1:25" ht="15.75" customHeight="1">
      <c r="A573" s="5" t="s">
        <v>1262</v>
      </c>
      <c r="B573" s="6">
        <v>46</v>
      </c>
      <c r="C573" s="5" t="s">
        <v>22</v>
      </c>
      <c r="D573" s="6" t="s">
        <v>144</v>
      </c>
      <c r="E573" s="6"/>
      <c r="F573" s="6" t="s">
        <v>824</v>
      </c>
      <c r="G573" s="6">
        <v>6</v>
      </c>
      <c r="H573" s="5" t="s">
        <v>58</v>
      </c>
      <c r="I573" s="6">
        <v>2</v>
      </c>
      <c r="J573" s="5" t="s">
        <v>89</v>
      </c>
      <c r="K573" s="6">
        <v>30675</v>
      </c>
      <c r="L573" s="5" t="s">
        <v>80</v>
      </c>
      <c r="M573" s="5" t="s">
        <v>66</v>
      </c>
      <c r="N573" s="5" t="s">
        <v>47</v>
      </c>
      <c r="O573" s="6" t="s">
        <v>773</v>
      </c>
      <c r="P573" s="6" t="s">
        <v>1263</v>
      </c>
      <c r="Q573" s="5" t="s">
        <v>69</v>
      </c>
      <c r="R573" s="5" t="s">
        <v>32</v>
      </c>
      <c r="S573" s="5" t="s">
        <v>33</v>
      </c>
      <c r="T573" s="6">
        <v>4</v>
      </c>
      <c r="U573" s="6">
        <v>10</v>
      </c>
      <c r="V573" s="5" t="s">
        <v>54</v>
      </c>
      <c r="W573" s="8"/>
      <c r="Y573">
        <f t="shared" si="11"/>
        <v>40</v>
      </c>
    </row>
    <row r="574" spans="1:25" ht="15.75" customHeight="1">
      <c r="A574" s="5" t="s">
        <v>1264</v>
      </c>
      <c r="B574" s="6">
        <v>13</v>
      </c>
      <c r="C574" s="5" t="s">
        <v>47</v>
      </c>
      <c r="D574" s="6" t="s">
        <v>317</v>
      </c>
      <c r="E574" s="6"/>
      <c r="F574" s="6" t="s">
        <v>116</v>
      </c>
      <c r="G574" s="6">
        <v>2</v>
      </c>
      <c r="H574" s="5" t="s">
        <v>83</v>
      </c>
      <c r="I574" s="6">
        <v>1</v>
      </c>
      <c r="J574" s="5" t="s">
        <v>39</v>
      </c>
      <c r="K574" s="6">
        <v>30362</v>
      </c>
      <c r="L574" s="5" t="s">
        <v>80</v>
      </c>
      <c r="M574" s="5" t="s">
        <v>27</v>
      </c>
      <c r="N574" s="5" t="s">
        <v>47</v>
      </c>
      <c r="O574" s="7">
        <v>45629</v>
      </c>
      <c r="P574" s="6" t="s">
        <v>1265</v>
      </c>
      <c r="Q574" s="5" t="s">
        <v>48</v>
      </c>
      <c r="R574" s="5" t="s">
        <v>32</v>
      </c>
      <c r="S574" s="5" t="s">
        <v>49</v>
      </c>
      <c r="T574" s="6">
        <v>11</v>
      </c>
      <c r="U574" s="6">
        <v>8</v>
      </c>
      <c r="V574" s="5" t="s">
        <v>92</v>
      </c>
      <c r="W574" s="8"/>
      <c r="Y574">
        <f t="shared" si="11"/>
        <v>137.5</v>
      </c>
    </row>
    <row r="575" spans="1:25" ht="15.75" customHeight="1">
      <c r="A575" s="5" t="s">
        <v>1266</v>
      </c>
      <c r="B575" s="6">
        <v>40</v>
      </c>
      <c r="C575" s="5" t="s">
        <v>51</v>
      </c>
      <c r="D575" s="6" t="s">
        <v>230</v>
      </c>
      <c r="E575" s="6"/>
      <c r="F575" s="6" t="s">
        <v>629</v>
      </c>
      <c r="G575" s="6">
        <v>6</v>
      </c>
      <c r="H575" s="5" t="s">
        <v>38</v>
      </c>
      <c r="I575" s="6">
        <v>1</v>
      </c>
      <c r="J575" s="5" t="s">
        <v>89</v>
      </c>
      <c r="K575" s="6">
        <v>5148</v>
      </c>
      <c r="L575" s="5" t="s">
        <v>40</v>
      </c>
      <c r="M575" s="5" t="s">
        <v>66</v>
      </c>
      <c r="N575" s="5" t="s">
        <v>47</v>
      </c>
      <c r="O575" s="6" t="s">
        <v>223</v>
      </c>
      <c r="P575" s="6" t="s">
        <v>741</v>
      </c>
      <c r="Q575" s="5" t="s">
        <v>43</v>
      </c>
      <c r="R575" s="5" t="s">
        <v>32</v>
      </c>
      <c r="S575" s="5" t="s">
        <v>49</v>
      </c>
      <c r="T575" s="6">
        <v>10</v>
      </c>
      <c r="U575" s="6">
        <v>12</v>
      </c>
      <c r="V575" s="5" t="s">
        <v>92</v>
      </c>
      <c r="W575" s="8"/>
      <c r="Y575">
        <f t="shared" si="11"/>
        <v>83.333333333333343</v>
      </c>
    </row>
    <row r="576" spans="1:25" ht="15.75" customHeight="1">
      <c r="A576" s="5" t="s">
        <v>1267</v>
      </c>
      <c r="B576" s="6">
        <v>42</v>
      </c>
      <c r="C576" s="5" t="s">
        <v>22</v>
      </c>
      <c r="D576" s="7">
        <v>45263</v>
      </c>
      <c r="E576" s="7"/>
      <c r="F576" s="6" t="s">
        <v>500</v>
      </c>
      <c r="G576" s="6">
        <v>2</v>
      </c>
      <c r="H576" s="5" t="s">
        <v>24</v>
      </c>
      <c r="I576" s="6">
        <v>5</v>
      </c>
      <c r="J576" s="5" t="s">
        <v>25</v>
      </c>
      <c r="K576" s="6">
        <v>6754</v>
      </c>
      <c r="L576" s="5" t="s">
        <v>80</v>
      </c>
      <c r="M576" s="5" t="s">
        <v>66</v>
      </c>
      <c r="N576" s="5" t="s">
        <v>47</v>
      </c>
      <c r="O576" s="7">
        <v>45141</v>
      </c>
      <c r="P576" s="7">
        <v>45141.708333333336</v>
      </c>
      <c r="Q576" s="5" t="s">
        <v>48</v>
      </c>
      <c r="R576" s="5" t="s">
        <v>32</v>
      </c>
      <c r="S576" s="5" t="s">
        <v>53</v>
      </c>
      <c r="T576" s="6">
        <v>10</v>
      </c>
      <c r="U576" s="6">
        <v>12</v>
      </c>
      <c r="V576" s="5" t="s">
        <v>92</v>
      </c>
      <c r="W576" s="8"/>
      <c r="Y576">
        <f t="shared" si="11"/>
        <v>83.333333333333343</v>
      </c>
    </row>
    <row r="577" spans="1:25" ht="15.75" customHeight="1">
      <c r="A577" s="5" t="s">
        <v>1268</v>
      </c>
      <c r="B577" s="6">
        <v>9</v>
      </c>
      <c r="C577" s="5" t="s">
        <v>51</v>
      </c>
      <c r="D577" s="7">
        <v>45328</v>
      </c>
      <c r="E577" s="7"/>
      <c r="F577" s="7">
        <v>45602</v>
      </c>
      <c r="G577" s="6">
        <v>9</v>
      </c>
      <c r="H577" s="5" t="s">
        <v>58</v>
      </c>
      <c r="I577" s="6">
        <v>5</v>
      </c>
      <c r="J577" s="5" t="s">
        <v>39</v>
      </c>
      <c r="K577" s="6">
        <v>31745</v>
      </c>
      <c r="L577" s="5" t="s">
        <v>40</v>
      </c>
      <c r="M577" s="5" t="s">
        <v>66</v>
      </c>
      <c r="N577" s="5" t="s">
        <v>28</v>
      </c>
      <c r="O577" s="7">
        <v>45297</v>
      </c>
      <c r="P577" s="7">
        <v>45297.25</v>
      </c>
      <c r="Q577" s="5" t="s">
        <v>31</v>
      </c>
      <c r="R577" s="5" t="s">
        <v>44</v>
      </c>
      <c r="S577" s="5" t="s">
        <v>49</v>
      </c>
      <c r="T577" s="6">
        <v>10</v>
      </c>
      <c r="U577" s="6">
        <v>12</v>
      </c>
      <c r="V577" s="5" t="s">
        <v>34</v>
      </c>
      <c r="W577" s="8"/>
      <c r="Y577">
        <f t="shared" si="11"/>
        <v>83.333333333333343</v>
      </c>
    </row>
    <row r="578" spans="1:25" ht="15.75" customHeight="1">
      <c r="A578" s="5" t="s">
        <v>1269</v>
      </c>
      <c r="B578" s="6">
        <v>50</v>
      </c>
      <c r="C578" s="5" t="s">
        <v>51</v>
      </c>
      <c r="D578" s="6" t="s">
        <v>962</v>
      </c>
      <c r="E578" s="6"/>
      <c r="F578" s="6" t="s">
        <v>136</v>
      </c>
      <c r="G578" s="6">
        <v>11</v>
      </c>
      <c r="H578" s="5" t="s">
        <v>24</v>
      </c>
      <c r="I578" s="6">
        <v>2</v>
      </c>
      <c r="J578" s="5" t="s">
        <v>89</v>
      </c>
      <c r="K578" s="6">
        <v>12378</v>
      </c>
      <c r="L578" s="5" t="s">
        <v>90</v>
      </c>
      <c r="M578" s="5" t="s">
        <v>27</v>
      </c>
      <c r="N578" s="5" t="s">
        <v>47</v>
      </c>
      <c r="O578" s="6" t="s">
        <v>135</v>
      </c>
      <c r="P578" s="6" t="s">
        <v>962</v>
      </c>
      <c r="Q578" s="5" t="s">
        <v>69</v>
      </c>
      <c r="R578" s="5" t="s">
        <v>32</v>
      </c>
      <c r="S578" s="5" t="s">
        <v>53</v>
      </c>
      <c r="T578" s="6">
        <v>9</v>
      </c>
      <c r="U578" s="6">
        <v>8</v>
      </c>
      <c r="V578" s="5" t="s">
        <v>54</v>
      </c>
      <c r="W578" s="8"/>
      <c r="Y578">
        <f t="shared" si="11"/>
        <v>112.5</v>
      </c>
    </row>
    <row r="579" spans="1:25" ht="15.75" customHeight="1">
      <c r="A579" s="5" t="s">
        <v>1270</v>
      </c>
      <c r="B579" s="6">
        <v>27</v>
      </c>
      <c r="C579" s="5" t="s">
        <v>22</v>
      </c>
      <c r="D579" s="6" t="s">
        <v>498</v>
      </c>
      <c r="E579" s="6"/>
      <c r="F579" s="6" t="s">
        <v>425</v>
      </c>
      <c r="G579" s="6">
        <v>7</v>
      </c>
      <c r="H579" s="5" t="s">
        <v>58</v>
      </c>
      <c r="I579" s="6">
        <v>1</v>
      </c>
      <c r="J579" s="5" t="s">
        <v>52</v>
      </c>
      <c r="K579" s="6">
        <v>25140</v>
      </c>
      <c r="L579" s="5" t="s">
        <v>40</v>
      </c>
      <c r="M579" s="5" t="s">
        <v>66</v>
      </c>
      <c r="N579" s="5" t="s">
        <v>28</v>
      </c>
      <c r="O579" s="7">
        <v>45261</v>
      </c>
      <c r="P579" s="6" t="s">
        <v>1271</v>
      </c>
      <c r="Q579" s="5" t="s">
        <v>43</v>
      </c>
      <c r="R579" s="5" t="s">
        <v>32</v>
      </c>
      <c r="S579" s="5" t="s">
        <v>33</v>
      </c>
      <c r="T579" s="6">
        <v>8</v>
      </c>
      <c r="U579" s="6">
        <v>10</v>
      </c>
      <c r="V579" s="5" t="s">
        <v>34</v>
      </c>
      <c r="W579" s="8"/>
      <c r="Y579">
        <f t="shared" ref="Y579:Y642" si="12">(T579/U579*100)</f>
        <v>80</v>
      </c>
    </row>
    <row r="580" spans="1:25" ht="15.75" customHeight="1">
      <c r="A580" s="5" t="s">
        <v>1272</v>
      </c>
      <c r="B580" s="6">
        <v>66</v>
      </c>
      <c r="C580" s="5" t="s">
        <v>82</v>
      </c>
      <c r="D580" s="7">
        <v>45446</v>
      </c>
      <c r="E580" s="7"/>
      <c r="F580" s="7">
        <v>45599</v>
      </c>
      <c r="G580" s="6">
        <v>5</v>
      </c>
      <c r="H580" s="5" t="s">
        <v>73</v>
      </c>
      <c r="I580" s="6">
        <v>2</v>
      </c>
      <c r="J580" s="5" t="s">
        <v>89</v>
      </c>
      <c r="K580" s="6">
        <v>14371</v>
      </c>
      <c r="L580" s="5" t="s">
        <v>80</v>
      </c>
      <c r="M580" s="5" t="s">
        <v>66</v>
      </c>
      <c r="N580" s="5" t="s">
        <v>47</v>
      </c>
      <c r="O580" s="7">
        <v>45354</v>
      </c>
      <c r="P580" s="7">
        <v>45385.75</v>
      </c>
      <c r="Q580" s="5" t="s">
        <v>69</v>
      </c>
      <c r="R580" s="5" t="s">
        <v>32</v>
      </c>
      <c r="S580" s="5" t="s">
        <v>49</v>
      </c>
      <c r="T580" s="6">
        <v>4</v>
      </c>
      <c r="U580" s="6">
        <v>12</v>
      </c>
      <c r="V580" s="5" t="s">
        <v>54</v>
      </c>
      <c r="W580" s="8"/>
      <c r="Y580">
        <f t="shared" si="12"/>
        <v>33.333333333333329</v>
      </c>
    </row>
    <row r="581" spans="1:25" ht="15.75" customHeight="1">
      <c r="A581" s="5" t="s">
        <v>1273</v>
      </c>
      <c r="B581" s="6">
        <v>5</v>
      </c>
      <c r="C581" s="5" t="s">
        <v>62</v>
      </c>
      <c r="D581" s="6" t="s">
        <v>665</v>
      </c>
      <c r="E581" s="6"/>
      <c r="F581" s="6" t="s">
        <v>620</v>
      </c>
      <c r="G581" s="6">
        <v>5</v>
      </c>
      <c r="H581" s="5" t="s">
        <v>73</v>
      </c>
      <c r="I581" s="6">
        <v>5</v>
      </c>
      <c r="J581" s="5" t="s">
        <v>25</v>
      </c>
      <c r="K581" s="6">
        <v>31999</v>
      </c>
      <c r="L581" s="5" t="s">
        <v>80</v>
      </c>
      <c r="M581" s="5" t="s">
        <v>66</v>
      </c>
      <c r="N581" s="5" t="s">
        <v>28</v>
      </c>
      <c r="O581" s="6" t="s">
        <v>420</v>
      </c>
      <c r="P581" s="6" t="s">
        <v>1274</v>
      </c>
      <c r="Q581" s="5" t="s">
        <v>69</v>
      </c>
      <c r="R581" s="5" t="s">
        <v>32</v>
      </c>
      <c r="S581" s="5" t="s">
        <v>49</v>
      </c>
      <c r="T581" s="6">
        <v>4</v>
      </c>
      <c r="U581" s="6">
        <v>10</v>
      </c>
      <c r="V581" s="5" t="s">
        <v>92</v>
      </c>
      <c r="W581" s="8"/>
      <c r="Y581">
        <f t="shared" si="12"/>
        <v>40</v>
      </c>
    </row>
    <row r="582" spans="1:25" ht="15.75" customHeight="1">
      <c r="A582" s="5" t="s">
        <v>1275</v>
      </c>
      <c r="B582" s="6">
        <v>29</v>
      </c>
      <c r="C582" s="5" t="s">
        <v>36</v>
      </c>
      <c r="D582" s="6" t="s">
        <v>150</v>
      </c>
      <c r="E582" s="6"/>
      <c r="F582" s="7">
        <v>44931</v>
      </c>
      <c r="G582" s="6">
        <v>12</v>
      </c>
      <c r="H582" s="5" t="s">
        <v>73</v>
      </c>
      <c r="I582" s="6">
        <v>5</v>
      </c>
      <c r="J582" s="5" t="s">
        <v>97</v>
      </c>
      <c r="K582" s="6">
        <v>17779</v>
      </c>
      <c r="L582" s="5" t="s">
        <v>40</v>
      </c>
      <c r="M582" s="5" t="s">
        <v>27</v>
      </c>
      <c r="N582" s="5" t="s">
        <v>28</v>
      </c>
      <c r="O582" s="6" t="s">
        <v>601</v>
      </c>
      <c r="P582" s="6" t="s">
        <v>1276</v>
      </c>
      <c r="Q582" s="5" t="s">
        <v>48</v>
      </c>
      <c r="R582" s="5" t="s">
        <v>32</v>
      </c>
      <c r="S582" s="5" t="s">
        <v>33</v>
      </c>
      <c r="T582" s="6">
        <v>11</v>
      </c>
      <c r="U582" s="6">
        <v>8</v>
      </c>
      <c r="V582" s="5" t="s">
        <v>92</v>
      </c>
      <c r="W582" s="8"/>
      <c r="Y582">
        <f t="shared" si="12"/>
        <v>137.5</v>
      </c>
    </row>
    <row r="583" spans="1:25" ht="15.75" customHeight="1">
      <c r="A583" s="5" t="s">
        <v>1277</v>
      </c>
      <c r="B583" s="6">
        <v>37</v>
      </c>
      <c r="C583" s="5" t="s">
        <v>51</v>
      </c>
      <c r="D583" s="6" t="s">
        <v>920</v>
      </c>
      <c r="E583" s="6"/>
      <c r="F583" s="7">
        <v>45326</v>
      </c>
      <c r="G583" s="6">
        <v>14</v>
      </c>
      <c r="H583" s="5" t="s">
        <v>24</v>
      </c>
      <c r="I583" s="6">
        <v>4</v>
      </c>
      <c r="J583" s="5" t="s">
        <v>89</v>
      </c>
      <c r="K583" s="6">
        <v>36075</v>
      </c>
      <c r="L583" s="5" t="s">
        <v>40</v>
      </c>
      <c r="M583" s="5" t="s">
        <v>66</v>
      </c>
      <c r="N583" s="5" t="s">
        <v>47</v>
      </c>
      <c r="O583" s="6" t="s">
        <v>317</v>
      </c>
      <c r="P583" s="6" t="s">
        <v>1278</v>
      </c>
      <c r="Q583" s="5" t="s">
        <v>43</v>
      </c>
      <c r="R583" s="5" t="s">
        <v>32</v>
      </c>
      <c r="S583" s="5" t="s">
        <v>33</v>
      </c>
      <c r="T583" s="6">
        <v>6</v>
      </c>
      <c r="U583" s="6">
        <v>10</v>
      </c>
      <c r="V583" s="5" t="s">
        <v>92</v>
      </c>
      <c r="W583" s="8"/>
      <c r="Y583">
        <f t="shared" si="12"/>
        <v>60</v>
      </c>
    </row>
    <row r="584" spans="1:25" ht="15.75" customHeight="1">
      <c r="A584" s="5" t="s">
        <v>1279</v>
      </c>
      <c r="B584" s="6">
        <v>38</v>
      </c>
      <c r="C584" s="5" t="s">
        <v>36</v>
      </c>
      <c r="D584" s="7">
        <v>45444</v>
      </c>
      <c r="E584" s="7"/>
      <c r="F584" s="6" t="s">
        <v>409</v>
      </c>
      <c r="G584" s="6">
        <v>11</v>
      </c>
      <c r="H584" s="5" t="s">
        <v>83</v>
      </c>
      <c r="I584" s="6">
        <v>2</v>
      </c>
      <c r="J584" s="5" t="s">
        <v>97</v>
      </c>
      <c r="K584" s="6">
        <v>35697</v>
      </c>
      <c r="L584" s="5" t="s">
        <v>40</v>
      </c>
      <c r="M584" s="5" t="s">
        <v>66</v>
      </c>
      <c r="N584" s="5" t="s">
        <v>28</v>
      </c>
      <c r="O584" s="7">
        <v>45323</v>
      </c>
      <c r="P584" s="7">
        <v>45352.708333333336</v>
      </c>
      <c r="Q584" s="5" t="s">
        <v>43</v>
      </c>
      <c r="R584" s="5" t="s">
        <v>32</v>
      </c>
      <c r="S584" s="5" t="s">
        <v>33</v>
      </c>
      <c r="T584" s="6">
        <v>4</v>
      </c>
      <c r="U584" s="6">
        <v>12</v>
      </c>
      <c r="V584" s="5" t="s">
        <v>92</v>
      </c>
      <c r="W584" s="8"/>
      <c r="Y584">
        <f t="shared" si="12"/>
        <v>33.333333333333329</v>
      </c>
    </row>
    <row r="585" spans="1:25" ht="15.75" customHeight="1">
      <c r="A585" s="5" t="s">
        <v>1280</v>
      </c>
      <c r="B585" s="6">
        <v>83</v>
      </c>
      <c r="C585" s="5" t="s">
        <v>47</v>
      </c>
      <c r="D585" s="6" t="s">
        <v>170</v>
      </c>
      <c r="E585" s="6"/>
      <c r="F585" s="6" t="s">
        <v>1029</v>
      </c>
      <c r="G585" s="6">
        <v>15</v>
      </c>
      <c r="H585" s="5" t="s">
        <v>73</v>
      </c>
      <c r="I585" s="6">
        <v>2</v>
      </c>
      <c r="J585" s="5" t="s">
        <v>52</v>
      </c>
      <c r="K585" s="6">
        <v>14795</v>
      </c>
      <c r="L585" s="5" t="s">
        <v>26</v>
      </c>
      <c r="M585" s="5" t="s">
        <v>66</v>
      </c>
      <c r="N585" s="5" t="s">
        <v>47</v>
      </c>
      <c r="O585" s="6" t="s">
        <v>638</v>
      </c>
      <c r="P585" s="6" t="s">
        <v>1281</v>
      </c>
      <c r="Q585" s="5" t="s">
        <v>69</v>
      </c>
      <c r="R585" s="5" t="s">
        <v>32</v>
      </c>
      <c r="S585" s="5" t="s">
        <v>49</v>
      </c>
      <c r="T585" s="6">
        <v>11</v>
      </c>
      <c r="U585" s="6">
        <v>10</v>
      </c>
      <c r="V585" s="5" t="s">
        <v>54</v>
      </c>
      <c r="W585" s="8"/>
      <c r="Y585">
        <f t="shared" si="12"/>
        <v>110.00000000000001</v>
      </c>
    </row>
    <row r="586" spans="1:25" ht="15.75" customHeight="1">
      <c r="A586" s="5" t="s">
        <v>1282</v>
      </c>
      <c r="B586" s="6">
        <v>8</v>
      </c>
      <c r="C586" s="5" t="s">
        <v>22</v>
      </c>
      <c r="D586" s="7">
        <v>45083</v>
      </c>
      <c r="E586" s="7"/>
      <c r="F586" s="6" t="s">
        <v>225</v>
      </c>
      <c r="G586" s="6">
        <v>10</v>
      </c>
      <c r="H586" s="5" t="s">
        <v>58</v>
      </c>
      <c r="I586" s="6">
        <v>1</v>
      </c>
      <c r="J586" s="5" t="s">
        <v>89</v>
      </c>
      <c r="K586" s="6">
        <v>43460</v>
      </c>
      <c r="L586" s="5" t="s">
        <v>80</v>
      </c>
      <c r="M586" s="5" t="s">
        <v>27</v>
      </c>
      <c r="N586" s="5" t="s">
        <v>28</v>
      </c>
      <c r="O586" s="7">
        <v>44991</v>
      </c>
      <c r="P586" s="7">
        <v>45022.958333333336</v>
      </c>
      <c r="Q586" s="5" t="s">
        <v>43</v>
      </c>
      <c r="R586" s="5" t="s">
        <v>32</v>
      </c>
      <c r="S586" s="5" t="s">
        <v>49</v>
      </c>
      <c r="T586" s="6">
        <v>8</v>
      </c>
      <c r="U586" s="6">
        <v>10</v>
      </c>
      <c r="V586" s="5" t="s">
        <v>92</v>
      </c>
      <c r="W586" s="8"/>
      <c r="Y586">
        <f t="shared" si="12"/>
        <v>80</v>
      </c>
    </row>
    <row r="587" spans="1:25" ht="15.75" customHeight="1">
      <c r="A587" s="5" t="s">
        <v>1283</v>
      </c>
      <c r="B587" s="6">
        <v>65</v>
      </c>
      <c r="C587" s="5" t="s">
        <v>36</v>
      </c>
      <c r="D587" s="6" t="s">
        <v>379</v>
      </c>
      <c r="E587" s="6"/>
      <c r="F587" s="7">
        <v>45386</v>
      </c>
      <c r="G587" s="6">
        <v>14</v>
      </c>
      <c r="H587" s="5" t="s">
        <v>73</v>
      </c>
      <c r="I587" s="6">
        <v>1</v>
      </c>
      <c r="J587" s="5" t="s">
        <v>39</v>
      </c>
      <c r="K587" s="6">
        <v>9218</v>
      </c>
      <c r="L587" s="5" t="s">
        <v>80</v>
      </c>
      <c r="M587" s="5" t="s">
        <v>66</v>
      </c>
      <c r="N587" s="5" t="s">
        <v>28</v>
      </c>
      <c r="O587" s="6" t="s">
        <v>116</v>
      </c>
      <c r="P587" s="6" t="s">
        <v>1284</v>
      </c>
      <c r="Q587" s="5" t="s">
        <v>43</v>
      </c>
      <c r="R587" s="5" t="s">
        <v>32</v>
      </c>
      <c r="S587" s="5" t="s">
        <v>33</v>
      </c>
      <c r="T587" s="6">
        <v>9</v>
      </c>
      <c r="U587" s="6">
        <v>8</v>
      </c>
      <c r="V587" s="5" t="s">
        <v>54</v>
      </c>
      <c r="W587" s="8"/>
      <c r="Y587">
        <f t="shared" si="12"/>
        <v>112.5</v>
      </c>
    </row>
    <row r="588" spans="1:25" ht="15.75" customHeight="1">
      <c r="A588" s="5" t="s">
        <v>1285</v>
      </c>
      <c r="B588" s="6">
        <v>86</v>
      </c>
      <c r="C588" s="5" t="s">
        <v>22</v>
      </c>
      <c r="D588" s="6" t="s">
        <v>842</v>
      </c>
      <c r="E588" s="6"/>
      <c r="F588" s="7">
        <v>44992</v>
      </c>
      <c r="G588" s="6">
        <v>3</v>
      </c>
      <c r="H588" s="5" t="s">
        <v>46</v>
      </c>
      <c r="I588" s="6">
        <v>4</v>
      </c>
      <c r="J588" s="5" t="s">
        <v>97</v>
      </c>
      <c r="K588" s="6">
        <v>42571</v>
      </c>
      <c r="L588" s="5" t="s">
        <v>26</v>
      </c>
      <c r="M588" s="5" t="s">
        <v>66</v>
      </c>
      <c r="N588" s="5" t="s">
        <v>28</v>
      </c>
      <c r="O588" s="6" t="s">
        <v>745</v>
      </c>
      <c r="P588" s="6" t="s">
        <v>1286</v>
      </c>
      <c r="Q588" s="5" t="s">
        <v>48</v>
      </c>
      <c r="R588" s="5" t="s">
        <v>32</v>
      </c>
      <c r="S588" s="5" t="s">
        <v>33</v>
      </c>
      <c r="T588" s="6">
        <v>6</v>
      </c>
      <c r="U588" s="6">
        <v>8</v>
      </c>
      <c r="V588" s="5" t="s">
        <v>54</v>
      </c>
      <c r="W588" s="8"/>
      <c r="Y588">
        <f t="shared" si="12"/>
        <v>75</v>
      </c>
    </row>
    <row r="589" spans="1:25" ht="15.75" customHeight="1">
      <c r="A589" s="5" t="s">
        <v>1287</v>
      </c>
      <c r="B589" s="6">
        <v>17</v>
      </c>
      <c r="C589" s="5" t="s">
        <v>36</v>
      </c>
      <c r="D589" s="6" t="s">
        <v>1008</v>
      </c>
      <c r="E589" s="6"/>
      <c r="F589" s="6" t="s">
        <v>459</v>
      </c>
      <c r="G589" s="6">
        <v>6</v>
      </c>
      <c r="H589" s="5" t="s">
        <v>73</v>
      </c>
      <c r="I589" s="6">
        <v>3</v>
      </c>
      <c r="J589" s="5" t="s">
        <v>52</v>
      </c>
      <c r="K589" s="6">
        <v>16672</v>
      </c>
      <c r="L589" s="5" t="s">
        <v>40</v>
      </c>
      <c r="M589" s="5" t="s">
        <v>66</v>
      </c>
      <c r="N589" s="5" t="s">
        <v>28</v>
      </c>
      <c r="O589" s="6" t="s">
        <v>1288</v>
      </c>
      <c r="P589" s="6" t="s">
        <v>1289</v>
      </c>
      <c r="Q589" s="5" t="s">
        <v>86</v>
      </c>
      <c r="R589" s="5" t="s">
        <v>32</v>
      </c>
      <c r="S589" s="5" t="s">
        <v>33</v>
      </c>
      <c r="T589" s="6">
        <v>11</v>
      </c>
      <c r="U589" s="6">
        <v>8</v>
      </c>
      <c r="V589" s="5" t="s">
        <v>34</v>
      </c>
      <c r="W589" s="8"/>
      <c r="Y589">
        <f t="shared" si="12"/>
        <v>137.5</v>
      </c>
    </row>
    <row r="590" spans="1:25" ht="15.75" customHeight="1">
      <c r="A590" s="5" t="s">
        <v>1290</v>
      </c>
      <c r="B590" s="6">
        <v>71</v>
      </c>
      <c r="C590" s="5" t="s">
        <v>62</v>
      </c>
      <c r="D590" s="7">
        <v>45026</v>
      </c>
      <c r="E590" s="7"/>
      <c r="F590" s="7">
        <v>45087</v>
      </c>
      <c r="G590" s="6">
        <v>2</v>
      </c>
      <c r="H590" s="5" t="s">
        <v>24</v>
      </c>
      <c r="I590" s="6">
        <v>3</v>
      </c>
      <c r="J590" s="5" t="s">
        <v>39</v>
      </c>
      <c r="K590" s="6">
        <v>36042</v>
      </c>
      <c r="L590" s="5" t="s">
        <v>90</v>
      </c>
      <c r="M590" s="5" t="s">
        <v>66</v>
      </c>
      <c r="N590" s="5" t="s">
        <v>28</v>
      </c>
      <c r="O590" s="6" t="s">
        <v>313</v>
      </c>
      <c r="P590" s="7">
        <v>44936.75</v>
      </c>
      <c r="Q590" s="5" t="s">
        <v>31</v>
      </c>
      <c r="R590" s="5" t="s">
        <v>32</v>
      </c>
      <c r="S590" s="5" t="s">
        <v>33</v>
      </c>
      <c r="T590" s="6">
        <v>4</v>
      </c>
      <c r="U590" s="6">
        <v>8</v>
      </c>
      <c r="V590" s="5" t="s">
        <v>92</v>
      </c>
      <c r="W590" s="8"/>
      <c r="Y590">
        <f t="shared" si="12"/>
        <v>50</v>
      </c>
    </row>
    <row r="591" spans="1:25" ht="15.75" customHeight="1">
      <c r="A591" s="5" t="s">
        <v>1291</v>
      </c>
      <c r="B591" s="6">
        <v>89</v>
      </c>
      <c r="C591" s="5" t="s">
        <v>62</v>
      </c>
      <c r="D591" s="7">
        <v>45570</v>
      </c>
      <c r="E591" s="7"/>
      <c r="F591" s="6" t="s">
        <v>331</v>
      </c>
      <c r="G591" s="6">
        <v>10</v>
      </c>
      <c r="H591" s="5" t="s">
        <v>83</v>
      </c>
      <c r="I591" s="6">
        <v>3</v>
      </c>
      <c r="J591" s="5" t="s">
        <v>39</v>
      </c>
      <c r="K591" s="6">
        <v>40950</v>
      </c>
      <c r="L591" s="5" t="s">
        <v>40</v>
      </c>
      <c r="M591" s="5" t="s">
        <v>27</v>
      </c>
      <c r="N591" s="5" t="s">
        <v>47</v>
      </c>
      <c r="O591" s="7">
        <v>45417</v>
      </c>
      <c r="P591" s="7">
        <v>45417.25</v>
      </c>
      <c r="Q591" s="5" t="s">
        <v>86</v>
      </c>
      <c r="R591" s="5" t="s">
        <v>32</v>
      </c>
      <c r="S591" s="5" t="s">
        <v>33</v>
      </c>
      <c r="T591" s="6">
        <v>6</v>
      </c>
      <c r="U591" s="6">
        <v>10</v>
      </c>
      <c r="V591" s="5" t="s">
        <v>92</v>
      </c>
      <c r="W591" s="8"/>
      <c r="Y591">
        <f t="shared" si="12"/>
        <v>60</v>
      </c>
    </row>
    <row r="592" spans="1:25" ht="15.75" customHeight="1">
      <c r="A592" s="5" t="s">
        <v>1292</v>
      </c>
      <c r="B592" s="6">
        <v>45</v>
      </c>
      <c r="C592" s="5" t="s">
        <v>62</v>
      </c>
      <c r="D592" s="6" t="s">
        <v>171</v>
      </c>
      <c r="E592" s="6"/>
      <c r="F592" s="7">
        <v>45327</v>
      </c>
      <c r="G592" s="6">
        <v>11</v>
      </c>
      <c r="H592" s="5" t="s">
        <v>46</v>
      </c>
      <c r="I592" s="6">
        <v>2</v>
      </c>
      <c r="J592" s="5" t="s">
        <v>39</v>
      </c>
      <c r="K592" s="6">
        <v>16009</v>
      </c>
      <c r="L592" s="5" t="s">
        <v>40</v>
      </c>
      <c r="M592" s="5" t="s">
        <v>66</v>
      </c>
      <c r="N592" s="5" t="s">
        <v>47</v>
      </c>
      <c r="O592" s="6" t="s">
        <v>1055</v>
      </c>
      <c r="P592" s="6" t="s">
        <v>1293</v>
      </c>
      <c r="Q592" s="5" t="s">
        <v>43</v>
      </c>
      <c r="R592" s="5" t="s">
        <v>44</v>
      </c>
      <c r="S592" s="5" t="s">
        <v>53</v>
      </c>
      <c r="T592" s="6">
        <v>7</v>
      </c>
      <c r="U592" s="6">
        <v>10</v>
      </c>
      <c r="V592" s="5" t="s">
        <v>34</v>
      </c>
      <c r="W592" s="8"/>
      <c r="Y592">
        <f t="shared" si="12"/>
        <v>70</v>
      </c>
    </row>
    <row r="593" spans="1:25" ht="15.75" customHeight="1">
      <c r="A593" s="5" t="s">
        <v>1294</v>
      </c>
      <c r="B593" s="6">
        <v>4</v>
      </c>
      <c r="C593" s="5" t="s">
        <v>62</v>
      </c>
      <c r="D593" s="6" t="s">
        <v>380</v>
      </c>
      <c r="E593" s="6"/>
      <c r="F593" s="6" t="s">
        <v>1295</v>
      </c>
      <c r="G593" s="6">
        <v>3</v>
      </c>
      <c r="H593" s="5" t="s">
        <v>24</v>
      </c>
      <c r="I593" s="6">
        <v>2</v>
      </c>
      <c r="J593" s="5" t="s">
        <v>39</v>
      </c>
      <c r="K593" s="6">
        <v>24544</v>
      </c>
      <c r="L593" s="5" t="s">
        <v>26</v>
      </c>
      <c r="M593" s="5" t="s">
        <v>27</v>
      </c>
      <c r="N593" s="5" t="s">
        <v>28</v>
      </c>
      <c r="O593" s="6" t="s">
        <v>379</v>
      </c>
      <c r="P593" s="6" t="s">
        <v>1296</v>
      </c>
      <c r="Q593" s="5" t="s">
        <v>69</v>
      </c>
      <c r="R593" s="5" t="s">
        <v>32</v>
      </c>
      <c r="S593" s="5" t="s">
        <v>33</v>
      </c>
      <c r="T593" s="6">
        <v>6</v>
      </c>
      <c r="U593" s="6">
        <v>8</v>
      </c>
      <c r="V593" s="5" t="s">
        <v>54</v>
      </c>
      <c r="W593" s="8"/>
      <c r="Y593">
        <f t="shared" si="12"/>
        <v>75</v>
      </c>
    </row>
    <row r="594" spans="1:25" ht="15.75" customHeight="1">
      <c r="A594" s="5" t="s">
        <v>1297</v>
      </c>
      <c r="B594" s="6">
        <v>36</v>
      </c>
      <c r="C594" s="5" t="s">
        <v>62</v>
      </c>
      <c r="D594" s="7">
        <v>44967</v>
      </c>
      <c r="E594" s="7"/>
      <c r="F594" s="6" t="s">
        <v>1005</v>
      </c>
      <c r="G594" s="6">
        <v>15</v>
      </c>
      <c r="H594" s="5" t="s">
        <v>24</v>
      </c>
      <c r="I594" s="6">
        <v>5</v>
      </c>
      <c r="J594" s="5" t="s">
        <v>89</v>
      </c>
      <c r="K594" s="6">
        <v>34381</v>
      </c>
      <c r="L594" s="5" t="s">
        <v>80</v>
      </c>
      <c r="M594" s="5" t="s">
        <v>27</v>
      </c>
      <c r="N594" s="5" t="s">
        <v>28</v>
      </c>
      <c r="O594" s="6" t="s">
        <v>312</v>
      </c>
      <c r="P594" s="6" t="s">
        <v>1298</v>
      </c>
      <c r="Q594" s="5" t="s">
        <v>31</v>
      </c>
      <c r="R594" s="5" t="s">
        <v>32</v>
      </c>
      <c r="S594" s="5" t="s">
        <v>53</v>
      </c>
      <c r="T594" s="6">
        <v>10</v>
      </c>
      <c r="U594" s="6">
        <v>8</v>
      </c>
      <c r="V594" s="5" t="s">
        <v>92</v>
      </c>
      <c r="W594" s="8"/>
      <c r="Y594">
        <f t="shared" si="12"/>
        <v>125</v>
      </c>
    </row>
    <row r="595" spans="1:25" ht="15.75" customHeight="1">
      <c r="A595" s="5" t="s">
        <v>1299</v>
      </c>
      <c r="B595" s="6">
        <v>70</v>
      </c>
      <c r="C595" s="5" t="s">
        <v>62</v>
      </c>
      <c r="D595" s="6" t="s">
        <v>470</v>
      </c>
      <c r="E595" s="6"/>
      <c r="F595" s="7">
        <v>44997</v>
      </c>
      <c r="G595" s="6">
        <v>6</v>
      </c>
      <c r="H595" s="5" t="s">
        <v>24</v>
      </c>
      <c r="I595" s="6">
        <v>2</v>
      </c>
      <c r="J595" s="5" t="s">
        <v>89</v>
      </c>
      <c r="K595" s="6">
        <v>30287</v>
      </c>
      <c r="L595" s="5" t="s">
        <v>40</v>
      </c>
      <c r="M595" s="5" t="s">
        <v>66</v>
      </c>
      <c r="N595" s="5" t="s">
        <v>28</v>
      </c>
      <c r="O595" s="6" t="s">
        <v>1246</v>
      </c>
      <c r="P595" s="6" t="s">
        <v>1300</v>
      </c>
      <c r="Q595" s="5" t="s">
        <v>31</v>
      </c>
      <c r="R595" s="5" t="s">
        <v>32</v>
      </c>
      <c r="S595" s="5" t="s">
        <v>49</v>
      </c>
      <c r="T595" s="6">
        <v>9</v>
      </c>
      <c r="U595" s="6">
        <v>12</v>
      </c>
      <c r="V595" s="5" t="s">
        <v>54</v>
      </c>
      <c r="W595" s="8"/>
      <c r="Y595">
        <f t="shared" si="12"/>
        <v>75</v>
      </c>
    </row>
    <row r="596" spans="1:25" ht="15.75" customHeight="1">
      <c r="A596" s="5" t="s">
        <v>1301</v>
      </c>
      <c r="B596" s="6">
        <v>31</v>
      </c>
      <c r="C596" s="5" t="s">
        <v>22</v>
      </c>
      <c r="D596" s="7">
        <v>45178</v>
      </c>
      <c r="E596" s="7"/>
      <c r="F596" s="6" t="s">
        <v>1302</v>
      </c>
      <c r="G596" s="6">
        <v>5</v>
      </c>
      <c r="H596" s="5" t="s">
        <v>58</v>
      </c>
      <c r="I596" s="6">
        <v>2</v>
      </c>
      <c r="J596" s="5" t="s">
        <v>89</v>
      </c>
      <c r="K596" s="6">
        <v>7586</v>
      </c>
      <c r="L596" s="5" t="s">
        <v>80</v>
      </c>
      <c r="M596" s="5" t="s">
        <v>27</v>
      </c>
      <c r="N596" s="5" t="s">
        <v>28</v>
      </c>
      <c r="O596" s="7">
        <v>45178</v>
      </c>
      <c r="P596" s="7">
        <v>45208.291666666664</v>
      </c>
      <c r="Q596" s="5" t="s">
        <v>69</v>
      </c>
      <c r="R596" s="5" t="s">
        <v>32</v>
      </c>
      <c r="S596" s="5" t="s">
        <v>49</v>
      </c>
      <c r="T596" s="6">
        <v>10</v>
      </c>
      <c r="U596" s="6">
        <v>12</v>
      </c>
      <c r="V596" s="5" t="s">
        <v>34</v>
      </c>
      <c r="W596" s="8"/>
      <c r="Y596">
        <f t="shared" si="12"/>
        <v>83.333333333333343</v>
      </c>
    </row>
    <row r="597" spans="1:25" ht="15.75" customHeight="1">
      <c r="A597" s="5" t="s">
        <v>1303</v>
      </c>
      <c r="B597" s="6">
        <v>19</v>
      </c>
      <c r="C597" s="5" t="s">
        <v>51</v>
      </c>
      <c r="D597" s="6" t="s">
        <v>179</v>
      </c>
      <c r="E597" s="6"/>
      <c r="F597" s="7">
        <v>45203</v>
      </c>
      <c r="G597" s="6">
        <v>11</v>
      </c>
      <c r="H597" s="5" t="s">
        <v>24</v>
      </c>
      <c r="I597" s="6">
        <v>2</v>
      </c>
      <c r="J597" s="5" t="s">
        <v>52</v>
      </c>
      <c r="K597" s="6">
        <v>7648</v>
      </c>
      <c r="L597" s="5" t="s">
        <v>65</v>
      </c>
      <c r="M597" s="5" t="s">
        <v>27</v>
      </c>
      <c r="N597" s="5" t="s">
        <v>28</v>
      </c>
      <c r="O597" s="6" t="s">
        <v>242</v>
      </c>
      <c r="P597" s="6" t="s">
        <v>1304</v>
      </c>
      <c r="Q597" s="5" t="s">
        <v>31</v>
      </c>
      <c r="R597" s="5" t="s">
        <v>32</v>
      </c>
      <c r="S597" s="5" t="s">
        <v>53</v>
      </c>
      <c r="T597" s="6">
        <v>7</v>
      </c>
      <c r="U597" s="6">
        <v>8</v>
      </c>
      <c r="V597" s="5" t="s">
        <v>54</v>
      </c>
      <c r="W597" s="8"/>
      <c r="Y597">
        <f t="shared" si="12"/>
        <v>87.5</v>
      </c>
    </row>
    <row r="598" spans="1:25" ht="15.75" customHeight="1">
      <c r="A598" s="5" t="s">
        <v>1305</v>
      </c>
      <c r="B598" s="6">
        <v>61</v>
      </c>
      <c r="C598" s="5" t="s">
        <v>36</v>
      </c>
      <c r="D598" s="6" t="s">
        <v>519</v>
      </c>
      <c r="E598" s="6"/>
      <c r="F598" s="6" t="s">
        <v>1306</v>
      </c>
      <c r="G598" s="6">
        <v>12</v>
      </c>
      <c r="H598" s="5" t="s">
        <v>58</v>
      </c>
      <c r="I598" s="6">
        <v>4</v>
      </c>
      <c r="J598" s="5" t="s">
        <v>52</v>
      </c>
      <c r="K598" s="6">
        <v>45081</v>
      </c>
      <c r="L598" s="5" t="s">
        <v>80</v>
      </c>
      <c r="M598" s="5" t="s">
        <v>27</v>
      </c>
      <c r="N598" s="5" t="s">
        <v>28</v>
      </c>
      <c r="O598" s="7">
        <v>45209</v>
      </c>
      <c r="P598" s="7">
        <v>45209.375</v>
      </c>
      <c r="Q598" s="5" t="s">
        <v>69</v>
      </c>
      <c r="R598" s="5" t="s">
        <v>32</v>
      </c>
      <c r="S598" s="5" t="s">
        <v>33</v>
      </c>
      <c r="T598" s="6">
        <v>10</v>
      </c>
      <c r="U598" s="6">
        <v>10</v>
      </c>
      <c r="V598" s="5" t="s">
        <v>92</v>
      </c>
      <c r="W598" s="8"/>
      <c r="Y598">
        <f t="shared" si="12"/>
        <v>100</v>
      </c>
    </row>
    <row r="599" spans="1:25" ht="15.75" customHeight="1">
      <c r="A599" s="5" t="s">
        <v>1307</v>
      </c>
      <c r="B599" s="6">
        <v>54</v>
      </c>
      <c r="C599" s="5" t="s">
        <v>62</v>
      </c>
      <c r="D599" s="7">
        <v>45447</v>
      </c>
      <c r="E599" s="7"/>
      <c r="F599" s="6" t="s">
        <v>589</v>
      </c>
      <c r="G599" s="6">
        <v>11</v>
      </c>
      <c r="H599" s="5" t="s">
        <v>24</v>
      </c>
      <c r="I599" s="6">
        <v>2</v>
      </c>
      <c r="J599" s="5" t="s">
        <v>52</v>
      </c>
      <c r="K599" s="6">
        <v>23101</v>
      </c>
      <c r="L599" s="5" t="s">
        <v>90</v>
      </c>
      <c r="M599" s="5" t="s">
        <v>66</v>
      </c>
      <c r="N599" s="5" t="s">
        <v>28</v>
      </c>
      <c r="O599" s="7">
        <v>45326</v>
      </c>
      <c r="P599" s="7">
        <v>45355.583333333336</v>
      </c>
      <c r="Q599" s="5" t="s">
        <v>31</v>
      </c>
      <c r="R599" s="5" t="s">
        <v>32</v>
      </c>
      <c r="S599" s="5" t="s">
        <v>49</v>
      </c>
      <c r="T599" s="6">
        <v>7</v>
      </c>
      <c r="U599" s="6">
        <v>8</v>
      </c>
      <c r="V599" s="5" t="s">
        <v>54</v>
      </c>
      <c r="W599" s="8"/>
      <c r="Y599">
        <f t="shared" si="12"/>
        <v>87.5</v>
      </c>
    </row>
    <row r="600" spans="1:25" ht="15.75" customHeight="1">
      <c r="A600" s="5" t="s">
        <v>1308</v>
      </c>
      <c r="B600" s="6">
        <v>39</v>
      </c>
      <c r="C600" s="5" t="s">
        <v>22</v>
      </c>
      <c r="D600" s="7">
        <v>45116</v>
      </c>
      <c r="E600" s="7"/>
      <c r="F600" s="6" t="s">
        <v>1302</v>
      </c>
      <c r="G600" s="6">
        <v>7</v>
      </c>
      <c r="H600" s="5" t="s">
        <v>38</v>
      </c>
      <c r="I600" s="6">
        <v>1</v>
      </c>
      <c r="J600" s="5" t="s">
        <v>25</v>
      </c>
      <c r="K600" s="6">
        <v>26692</v>
      </c>
      <c r="L600" s="5" t="s">
        <v>90</v>
      </c>
      <c r="M600" s="5" t="s">
        <v>66</v>
      </c>
      <c r="N600" s="5" t="s">
        <v>28</v>
      </c>
      <c r="O600" s="7">
        <v>44966</v>
      </c>
      <c r="P600" s="7">
        <v>44966.625</v>
      </c>
      <c r="Q600" s="5" t="s">
        <v>86</v>
      </c>
      <c r="R600" s="5" t="s">
        <v>32</v>
      </c>
      <c r="S600" s="5" t="s">
        <v>33</v>
      </c>
      <c r="T600" s="6">
        <v>6</v>
      </c>
      <c r="U600" s="6">
        <v>10</v>
      </c>
      <c r="V600" s="5" t="s">
        <v>54</v>
      </c>
      <c r="W600" s="8"/>
      <c r="Y600">
        <f t="shared" si="12"/>
        <v>60</v>
      </c>
    </row>
    <row r="601" spans="1:25" ht="15.75" customHeight="1">
      <c r="A601" s="5" t="s">
        <v>1309</v>
      </c>
      <c r="B601" s="6">
        <v>74</v>
      </c>
      <c r="C601" s="5" t="s">
        <v>22</v>
      </c>
      <c r="D601" s="6" t="s">
        <v>1055</v>
      </c>
      <c r="E601" s="6"/>
      <c r="F601" s="6" t="s">
        <v>557</v>
      </c>
      <c r="G601" s="6">
        <v>3</v>
      </c>
      <c r="H601" s="5" t="s">
        <v>46</v>
      </c>
      <c r="I601" s="6">
        <v>1</v>
      </c>
      <c r="J601" s="5" t="s">
        <v>52</v>
      </c>
      <c r="K601" s="6">
        <v>12407</v>
      </c>
      <c r="L601" s="5" t="s">
        <v>40</v>
      </c>
      <c r="M601" s="5" t="s">
        <v>66</v>
      </c>
      <c r="N601" s="5" t="s">
        <v>28</v>
      </c>
      <c r="O601" s="6" t="s">
        <v>256</v>
      </c>
      <c r="P601" s="6" t="s">
        <v>1310</v>
      </c>
      <c r="Q601" s="5" t="s">
        <v>31</v>
      </c>
      <c r="R601" s="5" t="s">
        <v>32</v>
      </c>
      <c r="S601" s="5" t="s">
        <v>33</v>
      </c>
      <c r="T601" s="6">
        <v>8</v>
      </c>
      <c r="U601" s="6">
        <v>10</v>
      </c>
      <c r="V601" s="5" t="s">
        <v>92</v>
      </c>
      <c r="W601" s="8"/>
      <c r="Y601">
        <f t="shared" si="12"/>
        <v>80</v>
      </c>
    </row>
    <row r="602" spans="1:25" ht="15.75" customHeight="1">
      <c r="A602" s="5" t="s">
        <v>1311</v>
      </c>
      <c r="B602" s="6">
        <v>19</v>
      </c>
      <c r="C602" s="5" t="s">
        <v>22</v>
      </c>
      <c r="D602" s="6" t="s">
        <v>260</v>
      </c>
      <c r="E602" s="6"/>
      <c r="F602" s="7">
        <v>45353</v>
      </c>
      <c r="G602" s="6">
        <v>10</v>
      </c>
      <c r="H602" s="5" t="s">
        <v>38</v>
      </c>
      <c r="I602" s="6">
        <v>5</v>
      </c>
      <c r="J602" s="5" t="s">
        <v>89</v>
      </c>
      <c r="K602" s="6">
        <v>22254</v>
      </c>
      <c r="L602" s="5" t="s">
        <v>80</v>
      </c>
      <c r="M602" s="5" t="s">
        <v>27</v>
      </c>
      <c r="N602" s="5" t="s">
        <v>47</v>
      </c>
      <c r="O602" s="6" t="s">
        <v>260</v>
      </c>
      <c r="P602" s="6" t="s">
        <v>1312</v>
      </c>
      <c r="Q602" s="5" t="s">
        <v>48</v>
      </c>
      <c r="R602" s="5" t="s">
        <v>32</v>
      </c>
      <c r="S602" s="5" t="s">
        <v>53</v>
      </c>
      <c r="T602" s="6">
        <v>9</v>
      </c>
      <c r="U602" s="6">
        <v>12</v>
      </c>
      <c r="V602" s="5" t="s">
        <v>92</v>
      </c>
      <c r="W602" s="8"/>
      <c r="Y602">
        <f t="shared" si="12"/>
        <v>75</v>
      </c>
    </row>
    <row r="603" spans="1:25" ht="15.75" customHeight="1">
      <c r="A603" s="5" t="s">
        <v>1313</v>
      </c>
      <c r="B603" s="6">
        <v>39</v>
      </c>
      <c r="C603" s="5" t="s">
        <v>51</v>
      </c>
      <c r="D603" s="7">
        <v>45242</v>
      </c>
      <c r="E603" s="7"/>
      <c r="F603" s="6" t="s">
        <v>491</v>
      </c>
      <c r="G603" s="6">
        <v>12</v>
      </c>
      <c r="H603" s="5" t="s">
        <v>24</v>
      </c>
      <c r="I603" s="6">
        <v>4</v>
      </c>
      <c r="J603" s="5" t="s">
        <v>89</v>
      </c>
      <c r="K603" s="6">
        <v>20234</v>
      </c>
      <c r="L603" s="5" t="s">
        <v>40</v>
      </c>
      <c r="M603" s="5" t="s">
        <v>66</v>
      </c>
      <c r="N603" s="5" t="s">
        <v>47</v>
      </c>
      <c r="O603" s="7">
        <v>45119</v>
      </c>
      <c r="P603" s="7">
        <v>45150.208333333336</v>
      </c>
      <c r="Q603" s="5" t="s">
        <v>69</v>
      </c>
      <c r="R603" s="5" t="s">
        <v>32</v>
      </c>
      <c r="S603" s="5" t="s">
        <v>49</v>
      </c>
      <c r="T603" s="6">
        <v>8</v>
      </c>
      <c r="U603" s="6">
        <v>8</v>
      </c>
      <c r="V603" s="5" t="s">
        <v>54</v>
      </c>
      <c r="W603" s="8"/>
      <c r="Y603">
        <f t="shared" si="12"/>
        <v>100</v>
      </c>
    </row>
    <row r="604" spans="1:25" ht="15.75" customHeight="1">
      <c r="A604" s="5" t="s">
        <v>1314</v>
      </c>
      <c r="B604" s="6">
        <v>67</v>
      </c>
      <c r="C604" s="5" t="s">
        <v>36</v>
      </c>
      <c r="D604" s="6" t="s">
        <v>84</v>
      </c>
      <c r="E604" s="6"/>
      <c r="F604" s="7">
        <v>44928</v>
      </c>
      <c r="G604" s="6">
        <v>2</v>
      </c>
      <c r="H604" s="5" t="s">
        <v>46</v>
      </c>
      <c r="I604" s="6">
        <v>1</v>
      </c>
      <c r="J604" s="5" t="s">
        <v>25</v>
      </c>
      <c r="K604" s="6">
        <v>27211</v>
      </c>
      <c r="L604" s="5" t="s">
        <v>26</v>
      </c>
      <c r="M604" s="5" t="s">
        <v>66</v>
      </c>
      <c r="N604" s="5" t="s">
        <v>28</v>
      </c>
      <c r="O604" s="6" t="s">
        <v>84</v>
      </c>
      <c r="P604" s="6" t="s">
        <v>1315</v>
      </c>
      <c r="Q604" s="5" t="s">
        <v>31</v>
      </c>
      <c r="R604" s="5" t="s">
        <v>32</v>
      </c>
      <c r="S604" s="5" t="s">
        <v>49</v>
      </c>
      <c r="T604" s="6">
        <v>9</v>
      </c>
      <c r="U604" s="6">
        <v>8</v>
      </c>
      <c r="V604" s="5" t="s">
        <v>54</v>
      </c>
      <c r="W604" s="8"/>
      <c r="Y604">
        <f t="shared" si="12"/>
        <v>112.5</v>
      </c>
    </row>
    <row r="605" spans="1:25" ht="15.75" customHeight="1">
      <c r="A605" s="5" t="s">
        <v>1316</v>
      </c>
      <c r="B605" s="6">
        <v>45</v>
      </c>
      <c r="C605" s="5" t="s">
        <v>51</v>
      </c>
      <c r="D605" s="6" t="s">
        <v>620</v>
      </c>
      <c r="E605" s="6"/>
      <c r="F605" s="6" t="s">
        <v>293</v>
      </c>
      <c r="G605" s="6">
        <v>5</v>
      </c>
      <c r="H605" s="5" t="s">
        <v>46</v>
      </c>
      <c r="I605" s="6">
        <v>4</v>
      </c>
      <c r="J605" s="5" t="s">
        <v>25</v>
      </c>
      <c r="K605" s="6">
        <v>34480</v>
      </c>
      <c r="L605" s="5" t="s">
        <v>90</v>
      </c>
      <c r="M605" s="5" t="s">
        <v>66</v>
      </c>
      <c r="N605" s="5" t="s">
        <v>47</v>
      </c>
      <c r="O605" s="6" t="s">
        <v>620</v>
      </c>
      <c r="P605" s="6" t="s">
        <v>1317</v>
      </c>
      <c r="Q605" s="5" t="s">
        <v>69</v>
      </c>
      <c r="R605" s="5" t="s">
        <v>32</v>
      </c>
      <c r="S605" s="5" t="s">
        <v>53</v>
      </c>
      <c r="T605" s="6">
        <v>11</v>
      </c>
      <c r="U605" s="6">
        <v>10</v>
      </c>
      <c r="V605" s="5" t="s">
        <v>34</v>
      </c>
      <c r="W605" s="8"/>
      <c r="Y605">
        <f t="shared" si="12"/>
        <v>110.00000000000001</v>
      </c>
    </row>
    <row r="606" spans="1:25" ht="15.75" customHeight="1">
      <c r="A606" s="5" t="s">
        <v>1318</v>
      </c>
      <c r="B606" s="6">
        <v>13</v>
      </c>
      <c r="C606" s="5" t="s">
        <v>82</v>
      </c>
      <c r="D606" s="6" t="s">
        <v>266</v>
      </c>
      <c r="E606" s="6"/>
      <c r="F606" s="7">
        <v>45150</v>
      </c>
      <c r="G606" s="6">
        <v>9</v>
      </c>
      <c r="H606" s="5" t="s">
        <v>83</v>
      </c>
      <c r="I606" s="6">
        <v>4</v>
      </c>
      <c r="J606" s="5" t="s">
        <v>52</v>
      </c>
      <c r="K606" s="6">
        <v>29846</v>
      </c>
      <c r="L606" s="5" t="s">
        <v>40</v>
      </c>
      <c r="M606" s="5" t="s">
        <v>66</v>
      </c>
      <c r="N606" s="5" t="s">
        <v>28</v>
      </c>
      <c r="O606" s="6" t="s">
        <v>1068</v>
      </c>
      <c r="P606" s="6" t="s">
        <v>1319</v>
      </c>
      <c r="Q606" s="5" t="s">
        <v>48</v>
      </c>
      <c r="R606" s="5" t="s">
        <v>32</v>
      </c>
      <c r="S606" s="5" t="s">
        <v>33</v>
      </c>
      <c r="T606" s="6">
        <v>9</v>
      </c>
      <c r="U606" s="6">
        <v>8</v>
      </c>
      <c r="V606" s="5" t="s">
        <v>92</v>
      </c>
      <c r="W606" s="8"/>
      <c r="Y606">
        <f t="shared" si="12"/>
        <v>112.5</v>
      </c>
    </row>
    <row r="607" spans="1:25" ht="15.75" customHeight="1">
      <c r="A607" s="5" t="s">
        <v>1320</v>
      </c>
      <c r="B607" s="6">
        <v>58</v>
      </c>
      <c r="C607" s="5" t="s">
        <v>22</v>
      </c>
      <c r="D607" s="7">
        <v>45084</v>
      </c>
      <c r="E607" s="7"/>
      <c r="F607" s="6" t="s">
        <v>542</v>
      </c>
      <c r="G607" s="6">
        <v>7</v>
      </c>
      <c r="H607" s="5" t="s">
        <v>38</v>
      </c>
      <c r="I607" s="6">
        <v>5</v>
      </c>
      <c r="J607" s="5" t="s">
        <v>97</v>
      </c>
      <c r="K607" s="6">
        <v>47503</v>
      </c>
      <c r="L607" s="5" t="s">
        <v>26</v>
      </c>
      <c r="M607" s="5" t="s">
        <v>66</v>
      </c>
      <c r="N607" s="5" t="s">
        <v>28</v>
      </c>
      <c r="O607" s="7">
        <v>44964</v>
      </c>
      <c r="P607" s="7">
        <v>44964.916666666664</v>
      </c>
      <c r="Q607" s="5" t="s">
        <v>31</v>
      </c>
      <c r="R607" s="5" t="s">
        <v>32</v>
      </c>
      <c r="S607" s="5" t="s">
        <v>33</v>
      </c>
      <c r="T607" s="6">
        <v>10</v>
      </c>
      <c r="U607" s="6">
        <v>12</v>
      </c>
      <c r="V607" s="5" t="s">
        <v>54</v>
      </c>
      <c r="W607" s="8"/>
      <c r="Y607">
        <f t="shared" si="12"/>
        <v>83.333333333333343</v>
      </c>
    </row>
    <row r="608" spans="1:25" ht="15.75" customHeight="1">
      <c r="A608" s="5" t="s">
        <v>1321</v>
      </c>
      <c r="B608" s="6">
        <v>20</v>
      </c>
      <c r="C608" s="5" t="s">
        <v>82</v>
      </c>
      <c r="D608" s="6" t="s">
        <v>422</v>
      </c>
      <c r="E608" s="6"/>
      <c r="F608" s="6" t="s">
        <v>390</v>
      </c>
      <c r="G608" s="6">
        <v>11</v>
      </c>
      <c r="H608" s="5" t="s">
        <v>83</v>
      </c>
      <c r="I608" s="6">
        <v>4</v>
      </c>
      <c r="J608" s="5" t="s">
        <v>25</v>
      </c>
      <c r="K608" s="6">
        <v>20321</v>
      </c>
      <c r="L608" s="5" t="s">
        <v>40</v>
      </c>
      <c r="M608" s="5" t="s">
        <v>66</v>
      </c>
      <c r="N608" s="5" t="s">
        <v>28</v>
      </c>
      <c r="O608" s="6" t="s">
        <v>644</v>
      </c>
      <c r="P608" s="6" t="s">
        <v>1322</v>
      </c>
      <c r="Q608" s="5" t="s">
        <v>31</v>
      </c>
      <c r="R608" s="5" t="s">
        <v>32</v>
      </c>
      <c r="S608" s="5" t="s">
        <v>49</v>
      </c>
      <c r="T608" s="6">
        <v>10</v>
      </c>
      <c r="U608" s="6">
        <v>12</v>
      </c>
      <c r="V608" s="5" t="s">
        <v>92</v>
      </c>
      <c r="W608" s="8"/>
      <c r="Y608">
        <f t="shared" si="12"/>
        <v>83.333333333333343</v>
      </c>
    </row>
    <row r="609" spans="1:25" ht="15.75" customHeight="1">
      <c r="A609" s="5" t="s">
        <v>1323</v>
      </c>
      <c r="B609" s="6">
        <v>72</v>
      </c>
      <c r="C609" s="5" t="s">
        <v>47</v>
      </c>
      <c r="D609" s="7">
        <v>45085</v>
      </c>
      <c r="E609" s="7"/>
      <c r="F609" s="6" t="s">
        <v>486</v>
      </c>
      <c r="G609" s="6">
        <v>13</v>
      </c>
      <c r="H609" s="5" t="s">
        <v>46</v>
      </c>
      <c r="I609" s="6">
        <v>2</v>
      </c>
      <c r="J609" s="5" t="s">
        <v>39</v>
      </c>
      <c r="K609" s="6">
        <v>17646</v>
      </c>
      <c r="L609" s="5" t="s">
        <v>80</v>
      </c>
      <c r="M609" s="5" t="s">
        <v>66</v>
      </c>
      <c r="N609" s="5" t="s">
        <v>28</v>
      </c>
      <c r="O609" s="7">
        <v>44965</v>
      </c>
      <c r="P609" s="7">
        <v>44993.166666666664</v>
      </c>
      <c r="Q609" s="5" t="s">
        <v>48</v>
      </c>
      <c r="R609" s="5" t="s">
        <v>32</v>
      </c>
      <c r="S609" s="5" t="s">
        <v>53</v>
      </c>
      <c r="T609" s="6">
        <v>8</v>
      </c>
      <c r="U609" s="6">
        <v>8</v>
      </c>
      <c r="V609" s="5" t="s">
        <v>34</v>
      </c>
      <c r="W609" s="8"/>
      <c r="Y609">
        <f t="shared" si="12"/>
        <v>100</v>
      </c>
    </row>
    <row r="610" spans="1:25" ht="15.75" customHeight="1">
      <c r="A610" s="5" t="s">
        <v>1324</v>
      </c>
      <c r="B610" s="6">
        <v>61</v>
      </c>
      <c r="C610" s="5" t="s">
        <v>62</v>
      </c>
      <c r="D610" s="6" t="s">
        <v>234</v>
      </c>
      <c r="E610" s="6"/>
      <c r="F610" s="7">
        <v>45413</v>
      </c>
      <c r="G610" s="6">
        <v>6</v>
      </c>
      <c r="H610" s="5" t="s">
        <v>58</v>
      </c>
      <c r="I610" s="6">
        <v>4</v>
      </c>
      <c r="J610" s="5" t="s">
        <v>89</v>
      </c>
      <c r="K610" s="6">
        <v>27117</v>
      </c>
      <c r="L610" s="5" t="s">
        <v>80</v>
      </c>
      <c r="M610" s="5" t="s">
        <v>27</v>
      </c>
      <c r="N610" s="5" t="s">
        <v>28</v>
      </c>
      <c r="O610" s="6" t="s">
        <v>833</v>
      </c>
      <c r="P610" s="6" t="s">
        <v>1325</v>
      </c>
      <c r="Q610" s="5" t="s">
        <v>48</v>
      </c>
      <c r="R610" s="5" t="s">
        <v>32</v>
      </c>
      <c r="S610" s="5" t="s">
        <v>53</v>
      </c>
      <c r="T610" s="6">
        <v>5</v>
      </c>
      <c r="U610" s="6">
        <v>8</v>
      </c>
      <c r="V610" s="5" t="s">
        <v>54</v>
      </c>
      <c r="W610" s="8"/>
      <c r="Y610">
        <f t="shared" si="12"/>
        <v>62.5</v>
      </c>
    </row>
    <row r="611" spans="1:25" ht="15.75" customHeight="1">
      <c r="A611" s="5" t="s">
        <v>1326</v>
      </c>
      <c r="B611" s="6">
        <v>39</v>
      </c>
      <c r="C611" s="5" t="s">
        <v>62</v>
      </c>
      <c r="D611" s="6" t="s">
        <v>799</v>
      </c>
      <c r="E611" s="6"/>
      <c r="F611" s="7">
        <v>45087</v>
      </c>
      <c r="G611" s="6">
        <v>14</v>
      </c>
      <c r="H611" s="5" t="s">
        <v>46</v>
      </c>
      <c r="I611" s="6">
        <v>5</v>
      </c>
      <c r="J611" s="5" t="s">
        <v>39</v>
      </c>
      <c r="K611" s="6">
        <v>9893</v>
      </c>
      <c r="L611" s="5" t="s">
        <v>80</v>
      </c>
      <c r="M611" s="5" t="s">
        <v>66</v>
      </c>
      <c r="N611" s="5" t="s">
        <v>28</v>
      </c>
      <c r="O611" s="6" t="s">
        <v>703</v>
      </c>
      <c r="P611" s="6" t="s">
        <v>1327</v>
      </c>
      <c r="Q611" s="5" t="s">
        <v>48</v>
      </c>
      <c r="R611" s="5" t="s">
        <v>32</v>
      </c>
      <c r="S611" s="5" t="s">
        <v>33</v>
      </c>
      <c r="T611" s="6">
        <v>11</v>
      </c>
      <c r="U611" s="6">
        <v>12</v>
      </c>
      <c r="V611" s="5" t="s">
        <v>54</v>
      </c>
      <c r="W611" s="8"/>
      <c r="Y611">
        <f t="shared" si="12"/>
        <v>91.666666666666657</v>
      </c>
    </row>
    <row r="612" spans="1:25" ht="15.75" customHeight="1">
      <c r="A612" s="5" t="s">
        <v>1328</v>
      </c>
      <c r="B612" s="6">
        <v>1</v>
      </c>
      <c r="C612" s="5" t="s">
        <v>51</v>
      </c>
      <c r="D612" s="6" t="s">
        <v>135</v>
      </c>
      <c r="E612" s="6"/>
      <c r="F612" s="6" t="s">
        <v>772</v>
      </c>
      <c r="G612" s="6">
        <v>3</v>
      </c>
      <c r="H612" s="5" t="s">
        <v>83</v>
      </c>
      <c r="I612" s="6">
        <v>5</v>
      </c>
      <c r="J612" s="5" t="s">
        <v>89</v>
      </c>
      <c r="K612" s="6">
        <v>14476</v>
      </c>
      <c r="L612" s="5" t="s">
        <v>80</v>
      </c>
      <c r="M612" s="5" t="s">
        <v>27</v>
      </c>
      <c r="N612" s="5" t="s">
        <v>28</v>
      </c>
      <c r="O612" s="6" t="s">
        <v>568</v>
      </c>
      <c r="P612" s="6" t="s">
        <v>1329</v>
      </c>
      <c r="Q612" s="5" t="s">
        <v>69</v>
      </c>
      <c r="R612" s="5" t="s">
        <v>32</v>
      </c>
      <c r="S612" s="5" t="s">
        <v>33</v>
      </c>
      <c r="T612" s="6">
        <v>7</v>
      </c>
      <c r="U612" s="6">
        <v>8</v>
      </c>
      <c r="V612" s="5" t="s">
        <v>54</v>
      </c>
      <c r="W612" s="8"/>
      <c r="Y612">
        <f t="shared" si="12"/>
        <v>87.5</v>
      </c>
    </row>
    <row r="613" spans="1:25" ht="15.75" customHeight="1">
      <c r="A613" s="5" t="s">
        <v>1330</v>
      </c>
      <c r="B613" s="6">
        <v>3</v>
      </c>
      <c r="C613" s="5" t="s">
        <v>36</v>
      </c>
      <c r="D613" s="6" t="s">
        <v>371</v>
      </c>
      <c r="E613" s="6"/>
      <c r="F613" s="6" t="s">
        <v>1306</v>
      </c>
      <c r="G613" s="6">
        <v>11</v>
      </c>
      <c r="H613" s="5" t="s">
        <v>38</v>
      </c>
      <c r="I613" s="6">
        <v>5</v>
      </c>
      <c r="J613" s="5" t="s">
        <v>89</v>
      </c>
      <c r="K613" s="6">
        <v>22270</v>
      </c>
      <c r="L613" s="5" t="s">
        <v>65</v>
      </c>
      <c r="M613" s="5" t="s">
        <v>66</v>
      </c>
      <c r="N613" s="5" t="s">
        <v>28</v>
      </c>
      <c r="O613" s="7">
        <v>45270</v>
      </c>
      <c r="P613" s="7">
        <v>45270.208333333336</v>
      </c>
      <c r="Q613" s="5" t="s">
        <v>48</v>
      </c>
      <c r="R613" s="5" t="s">
        <v>44</v>
      </c>
      <c r="S613" s="5" t="s">
        <v>53</v>
      </c>
      <c r="T613" s="6">
        <v>10</v>
      </c>
      <c r="U613" s="6">
        <v>10</v>
      </c>
      <c r="V613" s="5" t="s">
        <v>92</v>
      </c>
      <c r="W613" s="8"/>
      <c r="Y613">
        <f t="shared" si="12"/>
        <v>100</v>
      </c>
    </row>
    <row r="614" spans="1:25" ht="15.75" customHeight="1">
      <c r="A614" s="5" t="s">
        <v>1331</v>
      </c>
      <c r="B614" s="6">
        <v>77</v>
      </c>
      <c r="C614" s="5" t="s">
        <v>82</v>
      </c>
      <c r="D614" s="7">
        <v>45209</v>
      </c>
      <c r="E614" s="7"/>
      <c r="F614" s="6" t="s">
        <v>769</v>
      </c>
      <c r="G614" s="6">
        <v>12</v>
      </c>
      <c r="H614" s="5" t="s">
        <v>24</v>
      </c>
      <c r="I614" s="6">
        <v>1</v>
      </c>
      <c r="J614" s="5" t="s">
        <v>25</v>
      </c>
      <c r="K614" s="6">
        <v>26702</v>
      </c>
      <c r="L614" s="5" t="s">
        <v>26</v>
      </c>
      <c r="M614" s="5" t="s">
        <v>66</v>
      </c>
      <c r="N614" s="5" t="s">
        <v>28</v>
      </c>
      <c r="O614" s="7">
        <v>45087</v>
      </c>
      <c r="P614" s="7">
        <v>45087.625</v>
      </c>
      <c r="Q614" s="5" t="s">
        <v>69</v>
      </c>
      <c r="R614" s="5" t="s">
        <v>32</v>
      </c>
      <c r="S614" s="5" t="s">
        <v>49</v>
      </c>
      <c r="T614" s="6">
        <v>11</v>
      </c>
      <c r="U614" s="6">
        <v>8</v>
      </c>
      <c r="V614" s="5" t="s">
        <v>34</v>
      </c>
      <c r="W614" s="8"/>
      <c r="Y614">
        <f t="shared" si="12"/>
        <v>137.5</v>
      </c>
    </row>
    <row r="615" spans="1:25" ht="15.75" customHeight="1">
      <c r="A615" s="5" t="s">
        <v>1332</v>
      </c>
      <c r="B615" s="6">
        <v>62</v>
      </c>
      <c r="C615" s="5" t="s">
        <v>36</v>
      </c>
      <c r="D615" s="7">
        <v>45231</v>
      </c>
      <c r="E615" s="7"/>
      <c r="F615" s="6" t="s">
        <v>108</v>
      </c>
      <c r="G615" s="6">
        <v>14</v>
      </c>
      <c r="H615" s="5" t="s">
        <v>24</v>
      </c>
      <c r="I615" s="6">
        <v>2</v>
      </c>
      <c r="J615" s="5" t="s">
        <v>25</v>
      </c>
      <c r="K615" s="6">
        <v>9382</v>
      </c>
      <c r="L615" s="5" t="s">
        <v>26</v>
      </c>
      <c r="M615" s="5" t="s">
        <v>27</v>
      </c>
      <c r="N615" s="5" t="s">
        <v>28</v>
      </c>
      <c r="O615" s="7">
        <v>45139</v>
      </c>
      <c r="P615" s="7">
        <v>45170.041666666664</v>
      </c>
      <c r="Q615" s="5" t="s">
        <v>86</v>
      </c>
      <c r="R615" s="5" t="s">
        <v>32</v>
      </c>
      <c r="S615" s="5" t="s">
        <v>33</v>
      </c>
      <c r="T615" s="6">
        <v>10</v>
      </c>
      <c r="U615" s="6">
        <v>10</v>
      </c>
      <c r="V615" s="5" t="s">
        <v>92</v>
      </c>
      <c r="W615" s="8"/>
      <c r="Y615">
        <f t="shared" si="12"/>
        <v>100</v>
      </c>
    </row>
    <row r="616" spans="1:25" ht="15.75" customHeight="1">
      <c r="A616" s="5" t="s">
        <v>1333</v>
      </c>
      <c r="B616" s="6">
        <v>63</v>
      </c>
      <c r="C616" s="5" t="s">
        <v>51</v>
      </c>
      <c r="D616" s="6" t="s">
        <v>480</v>
      </c>
      <c r="E616" s="6"/>
      <c r="F616" s="6" t="s">
        <v>1334</v>
      </c>
      <c r="G616" s="6">
        <v>12</v>
      </c>
      <c r="H616" s="5" t="s">
        <v>38</v>
      </c>
      <c r="I616" s="6">
        <v>1</v>
      </c>
      <c r="J616" s="5" t="s">
        <v>39</v>
      </c>
      <c r="K616" s="6">
        <v>6785</v>
      </c>
      <c r="L616" s="5" t="s">
        <v>80</v>
      </c>
      <c r="M616" s="5" t="s">
        <v>27</v>
      </c>
      <c r="N616" s="5" t="s">
        <v>28</v>
      </c>
      <c r="O616" s="6" t="s">
        <v>480</v>
      </c>
      <c r="P616" s="6" t="s">
        <v>1335</v>
      </c>
      <c r="Q616" s="5" t="s">
        <v>31</v>
      </c>
      <c r="R616" s="5" t="s">
        <v>32</v>
      </c>
      <c r="S616" s="5" t="s">
        <v>53</v>
      </c>
      <c r="T616" s="6">
        <v>10</v>
      </c>
      <c r="U616" s="6">
        <v>8</v>
      </c>
      <c r="V616" s="5" t="s">
        <v>54</v>
      </c>
      <c r="W616" s="8"/>
      <c r="Y616">
        <f t="shared" si="12"/>
        <v>125</v>
      </c>
    </row>
    <row r="617" spans="1:25" ht="15.75" customHeight="1">
      <c r="A617" s="5" t="s">
        <v>1336</v>
      </c>
      <c r="B617" s="6">
        <v>25</v>
      </c>
      <c r="C617" s="5" t="s">
        <v>62</v>
      </c>
      <c r="D617" s="6" t="s">
        <v>189</v>
      </c>
      <c r="E617" s="6"/>
      <c r="F617" s="6" t="s">
        <v>777</v>
      </c>
      <c r="G617" s="6">
        <v>11</v>
      </c>
      <c r="H617" s="5" t="s">
        <v>24</v>
      </c>
      <c r="I617" s="6">
        <v>3</v>
      </c>
      <c r="J617" s="5" t="s">
        <v>89</v>
      </c>
      <c r="K617" s="6">
        <v>16735</v>
      </c>
      <c r="L617" s="5" t="s">
        <v>65</v>
      </c>
      <c r="M617" s="5" t="s">
        <v>66</v>
      </c>
      <c r="N617" s="5" t="s">
        <v>28</v>
      </c>
      <c r="O617" s="7">
        <v>45206</v>
      </c>
      <c r="P617" s="7">
        <v>45237.958333333336</v>
      </c>
      <c r="Q617" s="5" t="s">
        <v>31</v>
      </c>
      <c r="R617" s="5" t="s">
        <v>32</v>
      </c>
      <c r="S617" s="5" t="s">
        <v>53</v>
      </c>
      <c r="T617" s="6">
        <v>6</v>
      </c>
      <c r="U617" s="6">
        <v>8</v>
      </c>
      <c r="V617" s="5" t="s">
        <v>34</v>
      </c>
      <c r="W617" s="8"/>
      <c r="Y617">
        <f t="shared" si="12"/>
        <v>75</v>
      </c>
    </row>
    <row r="618" spans="1:25" ht="15.75" customHeight="1">
      <c r="A618" s="5" t="s">
        <v>1337</v>
      </c>
      <c r="B618" s="6">
        <v>56</v>
      </c>
      <c r="C618" s="5" t="s">
        <v>36</v>
      </c>
      <c r="D618" s="6" t="s">
        <v>77</v>
      </c>
      <c r="E618" s="6"/>
      <c r="F618" s="6" t="s">
        <v>147</v>
      </c>
      <c r="G618" s="6">
        <v>15</v>
      </c>
      <c r="H618" s="5" t="s">
        <v>24</v>
      </c>
      <c r="I618" s="6">
        <v>2</v>
      </c>
      <c r="J618" s="5" t="s">
        <v>39</v>
      </c>
      <c r="K618" s="6">
        <v>35177</v>
      </c>
      <c r="L618" s="5" t="s">
        <v>80</v>
      </c>
      <c r="M618" s="5" t="s">
        <v>27</v>
      </c>
      <c r="N618" s="5" t="s">
        <v>28</v>
      </c>
      <c r="O618" s="6" t="s">
        <v>694</v>
      </c>
      <c r="P618" s="6" t="s">
        <v>1338</v>
      </c>
      <c r="Q618" s="5" t="s">
        <v>43</v>
      </c>
      <c r="R618" s="5" t="s">
        <v>32</v>
      </c>
      <c r="S618" s="5" t="s">
        <v>53</v>
      </c>
      <c r="T618" s="6">
        <v>8</v>
      </c>
      <c r="U618" s="6">
        <v>12</v>
      </c>
      <c r="V618" s="5" t="s">
        <v>54</v>
      </c>
      <c r="W618" s="8"/>
      <c r="Y618">
        <f t="shared" si="12"/>
        <v>66.666666666666657</v>
      </c>
    </row>
    <row r="619" spans="1:25" ht="15.75" customHeight="1">
      <c r="A619" s="5" t="s">
        <v>1339</v>
      </c>
      <c r="B619" s="6">
        <v>33</v>
      </c>
      <c r="C619" s="5" t="s">
        <v>36</v>
      </c>
      <c r="D619" s="7">
        <v>45055</v>
      </c>
      <c r="E619" s="7"/>
      <c r="F619" s="6" t="s">
        <v>1302</v>
      </c>
      <c r="G619" s="6">
        <v>9</v>
      </c>
      <c r="H619" s="5" t="s">
        <v>83</v>
      </c>
      <c r="I619" s="6">
        <v>4</v>
      </c>
      <c r="J619" s="5" t="s">
        <v>97</v>
      </c>
      <c r="K619" s="6">
        <v>35712</v>
      </c>
      <c r="L619" s="5" t="s">
        <v>65</v>
      </c>
      <c r="M619" s="5" t="s">
        <v>27</v>
      </c>
      <c r="N619" s="5" t="s">
        <v>28</v>
      </c>
      <c r="O619" s="6" t="s">
        <v>612</v>
      </c>
      <c r="P619" s="6" t="s">
        <v>1340</v>
      </c>
      <c r="Q619" s="5" t="s">
        <v>86</v>
      </c>
      <c r="R619" s="5" t="s">
        <v>32</v>
      </c>
      <c r="S619" s="5" t="s">
        <v>49</v>
      </c>
      <c r="T619" s="6">
        <v>8</v>
      </c>
      <c r="U619" s="6">
        <v>10</v>
      </c>
      <c r="V619" s="5" t="s">
        <v>54</v>
      </c>
      <c r="W619" s="8"/>
      <c r="Y619">
        <f t="shared" si="12"/>
        <v>80</v>
      </c>
    </row>
    <row r="620" spans="1:25" ht="15.75" customHeight="1">
      <c r="A620" s="5" t="s">
        <v>1341</v>
      </c>
      <c r="B620" s="6">
        <v>38</v>
      </c>
      <c r="C620" s="5" t="s">
        <v>62</v>
      </c>
      <c r="D620" s="6" t="s">
        <v>537</v>
      </c>
      <c r="E620" s="6"/>
      <c r="F620" s="6" t="s">
        <v>554</v>
      </c>
      <c r="G620" s="6">
        <v>2</v>
      </c>
      <c r="H620" s="5" t="s">
        <v>38</v>
      </c>
      <c r="I620" s="6">
        <v>5</v>
      </c>
      <c r="J620" s="5" t="s">
        <v>39</v>
      </c>
      <c r="K620" s="6">
        <v>21679</v>
      </c>
      <c r="L620" s="5" t="s">
        <v>80</v>
      </c>
      <c r="M620" s="5" t="s">
        <v>27</v>
      </c>
      <c r="N620" s="5" t="s">
        <v>28</v>
      </c>
      <c r="O620" s="6" t="s">
        <v>565</v>
      </c>
      <c r="P620" s="6" t="s">
        <v>1342</v>
      </c>
      <c r="Q620" s="5" t="s">
        <v>48</v>
      </c>
      <c r="R620" s="5" t="s">
        <v>44</v>
      </c>
      <c r="S620" s="5" t="s">
        <v>33</v>
      </c>
      <c r="T620" s="6">
        <v>10</v>
      </c>
      <c r="U620" s="6">
        <v>12</v>
      </c>
      <c r="V620" s="5" t="s">
        <v>92</v>
      </c>
      <c r="W620" s="8"/>
      <c r="Y620">
        <f t="shared" si="12"/>
        <v>83.333333333333343</v>
      </c>
    </row>
    <row r="621" spans="1:25" ht="15.75" customHeight="1">
      <c r="A621" s="5" t="s">
        <v>1343</v>
      </c>
      <c r="B621" s="6">
        <v>6</v>
      </c>
      <c r="C621" s="5" t="s">
        <v>82</v>
      </c>
      <c r="D621" s="6" t="s">
        <v>420</v>
      </c>
      <c r="E621" s="6"/>
      <c r="F621" s="6" t="s">
        <v>293</v>
      </c>
      <c r="G621" s="6">
        <v>11</v>
      </c>
      <c r="H621" s="5" t="s">
        <v>73</v>
      </c>
      <c r="I621" s="6">
        <v>3</v>
      </c>
      <c r="J621" s="5" t="s">
        <v>52</v>
      </c>
      <c r="K621" s="6">
        <v>48013</v>
      </c>
      <c r="L621" s="5" t="s">
        <v>90</v>
      </c>
      <c r="M621" s="5" t="s">
        <v>66</v>
      </c>
      <c r="N621" s="5" t="s">
        <v>28</v>
      </c>
      <c r="O621" s="7">
        <v>45631</v>
      </c>
      <c r="P621" s="6" t="s">
        <v>644</v>
      </c>
      <c r="Q621" s="5" t="s">
        <v>48</v>
      </c>
      <c r="R621" s="5" t="s">
        <v>32</v>
      </c>
      <c r="S621" s="5" t="s">
        <v>33</v>
      </c>
      <c r="T621" s="6">
        <v>6</v>
      </c>
      <c r="U621" s="6">
        <v>8</v>
      </c>
      <c r="V621" s="5" t="s">
        <v>54</v>
      </c>
      <c r="W621" s="8"/>
      <c r="Y621">
        <f t="shared" si="12"/>
        <v>75</v>
      </c>
    </row>
    <row r="622" spans="1:25" ht="15.75" customHeight="1">
      <c r="A622" s="5" t="s">
        <v>1344</v>
      </c>
      <c r="B622" s="6">
        <v>58</v>
      </c>
      <c r="C622" s="5" t="s">
        <v>62</v>
      </c>
      <c r="D622" s="7">
        <v>45025</v>
      </c>
      <c r="E622" s="7"/>
      <c r="F622" s="6" t="s">
        <v>363</v>
      </c>
      <c r="G622" s="6">
        <v>11</v>
      </c>
      <c r="H622" s="5" t="s">
        <v>58</v>
      </c>
      <c r="I622" s="6">
        <v>2</v>
      </c>
      <c r="J622" s="5" t="s">
        <v>39</v>
      </c>
      <c r="K622" s="6">
        <v>40365</v>
      </c>
      <c r="L622" s="5" t="s">
        <v>90</v>
      </c>
      <c r="M622" s="5" t="s">
        <v>66</v>
      </c>
      <c r="N622" s="5" t="s">
        <v>28</v>
      </c>
      <c r="O622" s="7">
        <v>45025</v>
      </c>
      <c r="P622" s="7">
        <v>45025.833333333336</v>
      </c>
      <c r="Q622" s="5" t="s">
        <v>86</v>
      </c>
      <c r="R622" s="5" t="s">
        <v>32</v>
      </c>
      <c r="S622" s="5" t="s">
        <v>33</v>
      </c>
      <c r="T622" s="6">
        <v>10</v>
      </c>
      <c r="U622" s="6">
        <v>12</v>
      </c>
      <c r="V622" s="5" t="s">
        <v>34</v>
      </c>
      <c r="W622" s="8"/>
      <c r="Y622">
        <f t="shared" si="12"/>
        <v>83.333333333333343</v>
      </c>
    </row>
    <row r="623" spans="1:25" ht="15.75" customHeight="1">
      <c r="A623" s="5" t="s">
        <v>1345</v>
      </c>
      <c r="B623" s="6">
        <v>44</v>
      </c>
      <c r="C623" s="5" t="s">
        <v>36</v>
      </c>
      <c r="D623" s="7">
        <v>45327</v>
      </c>
      <c r="E623" s="7"/>
      <c r="F623" s="7">
        <v>45540</v>
      </c>
      <c r="G623" s="6">
        <v>7</v>
      </c>
      <c r="H623" s="5" t="s">
        <v>58</v>
      </c>
      <c r="I623" s="6">
        <v>1</v>
      </c>
      <c r="J623" s="5" t="s">
        <v>52</v>
      </c>
      <c r="K623" s="6">
        <v>22064</v>
      </c>
      <c r="L623" s="5" t="s">
        <v>40</v>
      </c>
      <c r="M623" s="5" t="s">
        <v>66</v>
      </c>
      <c r="N623" s="5" t="s">
        <v>28</v>
      </c>
      <c r="O623" s="6" t="s">
        <v>257</v>
      </c>
      <c r="P623" s="6" t="s">
        <v>1346</v>
      </c>
      <c r="Q623" s="5" t="s">
        <v>48</v>
      </c>
      <c r="R623" s="5" t="s">
        <v>32</v>
      </c>
      <c r="S623" s="5" t="s">
        <v>49</v>
      </c>
      <c r="T623" s="6">
        <v>7</v>
      </c>
      <c r="U623" s="6">
        <v>8</v>
      </c>
      <c r="V623" s="5" t="s">
        <v>54</v>
      </c>
      <c r="W623" s="8"/>
      <c r="Y623">
        <f t="shared" si="12"/>
        <v>87.5</v>
      </c>
    </row>
    <row r="624" spans="1:25" ht="15.75" customHeight="1">
      <c r="A624" s="5" t="s">
        <v>1347</v>
      </c>
      <c r="B624" s="6">
        <v>45</v>
      </c>
      <c r="C624" s="5" t="s">
        <v>82</v>
      </c>
      <c r="D624" s="6" t="s">
        <v>421</v>
      </c>
      <c r="E624" s="6"/>
      <c r="F624" s="6" t="s">
        <v>293</v>
      </c>
      <c r="G624" s="6">
        <v>9</v>
      </c>
      <c r="H624" s="5" t="s">
        <v>24</v>
      </c>
      <c r="I624" s="6">
        <v>5</v>
      </c>
      <c r="J624" s="5" t="s">
        <v>52</v>
      </c>
      <c r="K624" s="6">
        <v>35563</v>
      </c>
      <c r="L624" s="5" t="s">
        <v>80</v>
      </c>
      <c r="M624" s="5" t="s">
        <v>27</v>
      </c>
      <c r="N624" s="5" t="s">
        <v>28</v>
      </c>
      <c r="O624" s="6" t="s">
        <v>422</v>
      </c>
      <c r="P624" s="6" t="s">
        <v>1348</v>
      </c>
      <c r="Q624" s="5" t="s">
        <v>43</v>
      </c>
      <c r="R624" s="5" t="s">
        <v>44</v>
      </c>
      <c r="S624" s="5" t="s">
        <v>33</v>
      </c>
      <c r="T624" s="6">
        <v>6</v>
      </c>
      <c r="U624" s="6">
        <v>8</v>
      </c>
      <c r="V624" s="5" t="s">
        <v>54</v>
      </c>
      <c r="W624" s="8"/>
      <c r="Y624">
        <f t="shared" si="12"/>
        <v>75</v>
      </c>
    </row>
    <row r="625" spans="1:25" ht="15.75" customHeight="1">
      <c r="A625" s="5" t="s">
        <v>1349</v>
      </c>
      <c r="B625" s="6">
        <v>32</v>
      </c>
      <c r="C625" s="5" t="s">
        <v>82</v>
      </c>
      <c r="D625" s="7">
        <v>45355</v>
      </c>
      <c r="E625" s="7"/>
      <c r="F625" s="7">
        <v>45539</v>
      </c>
      <c r="G625" s="6">
        <v>6</v>
      </c>
      <c r="H625" s="5" t="s">
        <v>58</v>
      </c>
      <c r="I625" s="6">
        <v>1</v>
      </c>
      <c r="J625" s="5" t="s">
        <v>52</v>
      </c>
      <c r="K625" s="6">
        <v>38092</v>
      </c>
      <c r="L625" s="5" t="s">
        <v>26</v>
      </c>
      <c r="M625" s="5" t="s">
        <v>66</v>
      </c>
      <c r="N625" s="5" t="s">
        <v>28</v>
      </c>
      <c r="O625" s="7">
        <v>45355</v>
      </c>
      <c r="P625" s="7">
        <v>45355.375</v>
      </c>
      <c r="Q625" s="5" t="s">
        <v>69</v>
      </c>
      <c r="R625" s="5" t="s">
        <v>32</v>
      </c>
      <c r="S625" s="5" t="s">
        <v>33</v>
      </c>
      <c r="T625" s="6">
        <v>10</v>
      </c>
      <c r="U625" s="6">
        <v>8</v>
      </c>
      <c r="V625" s="5" t="s">
        <v>92</v>
      </c>
      <c r="W625" s="8"/>
      <c r="Y625">
        <f t="shared" si="12"/>
        <v>125</v>
      </c>
    </row>
    <row r="626" spans="1:25" ht="15.75" customHeight="1">
      <c r="A626" s="5" t="s">
        <v>1350</v>
      </c>
      <c r="B626" s="6">
        <v>45</v>
      </c>
      <c r="C626" s="5" t="s">
        <v>62</v>
      </c>
      <c r="D626" s="6" t="s">
        <v>366</v>
      </c>
      <c r="E626" s="6"/>
      <c r="F626" s="6" t="s">
        <v>608</v>
      </c>
      <c r="G626" s="6">
        <v>1</v>
      </c>
      <c r="H626" s="5" t="s">
        <v>38</v>
      </c>
      <c r="I626" s="6">
        <v>2</v>
      </c>
      <c r="J626" s="5" t="s">
        <v>97</v>
      </c>
      <c r="K626" s="6">
        <v>31867</v>
      </c>
      <c r="L626" s="5" t="s">
        <v>40</v>
      </c>
      <c r="M626" s="5" t="s">
        <v>27</v>
      </c>
      <c r="N626" s="5" t="s">
        <v>28</v>
      </c>
      <c r="O626" s="6" t="s">
        <v>426</v>
      </c>
      <c r="P626" s="6" t="s">
        <v>1351</v>
      </c>
      <c r="Q626" s="5" t="s">
        <v>31</v>
      </c>
      <c r="R626" s="5" t="s">
        <v>32</v>
      </c>
      <c r="S626" s="5" t="s">
        <v>33</v>
      </c>
      <c r="T626" s="6">
        <v>9</v>
      </c>
      <c r="U626" s="6">
        <v>10</v>
      </c>
      <c r="V626" s="5" t="s">
        <v>34</v>
      </c>
      <c r="W626" s="8"/>
      <c r="Y626">
        <f t="shared" si="12"/>
        <v>90</v>
      </c>
    </row>
    <row r="627" spans="1:25" ht="15.75" customHeight="1">
      <c r="A627" s="5" t="s">
        <v>1352</v>
      </c>
      <c r="B627" s="6">
        <v>61</v>
      </c>
      <c r="C627" s="5" t="s">
        <v>36</v>
      </c>
      <c r="D627" s="7">
        <v>45081</v>
      </c>
      <c r="E627" s="7"/>
      <c r="F627" s="7">
        <v>45264</v>
      </c>
      <c r="G627" s="6">
        <v>6</v>
      </c>
      <c r="H627" s="5" t="s">
        <v>38</v>
      </c>
      <c r="I627" s="6">
        <v>2</v>
      </c>
      <c r="J627" s="5" t="s">
        <v>39</v>
      </c>
      <c r="K627" s="6">
        <v>38754</v>
      </c>
      <c r="L627" s="5" t="s">
        <v>90</v>
      </c>
      <c r="M627" s="5" t="s">
        <v>66</v>
      </c>
      <c r="N627" s="5" t="s">
        <v>28</v>
      </c>
      <c r="O627" s="7">
        <v>45050</v>
      </c>
      <c r="P627" s="7">
        <v>45081.833333333336</v>
      </c>
      <c r="Q627" s="5" t="s">
        <v>86</v>
      </c>
      <c r="R627" s="5" t="s">
        <v>32</v>
      </c>
      <c r="S627" s="5" t="s">
        <v>33</v>
      </c>
      <c r="T627" s="6">
        <v>5</v>
      </c>
      <c r="U627" s="6">
        <v>10</v>
      </c>
      <c r="V627" s="5" t="s">
        <v>92</v>
      </c>
      <c r="W627" s="8"/>
      <c r="Y627">
        <f t="shared" si="12"/>
        <v>50</v>
      </c>
    </row>
    <row r="628" spans="1:25" ht="15.75" customHeight="1">
      <c r="A628" s="5" t="s">
        <v>1353</v>
      </c>
      <c r="B628" s="6">
        <v>47</v>
      </c>
      <c r="C628" s="5" t="s">
        <v>51</v>
      </c>
      <c r="D628" s="6" t="s">
        <v>400</v>
      </c>
      <c r="E628" s="6"/>
      <c r="F628" s="7">
        <v>44996</v>
      </c>
      <c r="G628" s="6">
        <v>5</v>
      </c>
      <c r="H628" s="5" t="s">
        <v>46</v>
      </c>
      <c r="I628" s="6">
        <v>3</v>
      </c>
      <c r="J628" s="5" t="s">
        <v>39</v>
      </c>
      <c r="K628" s="6">
        <v>24502</v>
      </c>
      <c r="L628" s="5" t="s">
        <v>80</v>
      </c>
      <c r="M628" s="5" t="s">
        <v>66</v>
      </c>
      <c r="N628" s="5" t="s">
        <v>28</v>
      </c>
      <c r="O628" s="6" t="s">
        <v>1306</v>
      </c>
      <c r="P628" s="6" t="s">
        <v>1354</v>
      </c>
      <c r="Q628" s="5" t="s">
        <v>31</v>
      </c>
      <c r="R628" s="5" t="s">
        <v>32</v>
      </c>
      <c r="S628" s="5" t="s">
        <v>49</v>
      </c>
      <c r="T628" s="6">
        <v>9</v>
      </c>
      <c r="U628" s="6">
        <v>10</v>
      </c>
      <c r="V628" s="5" t="s">
        <v>54</v>
      </c>
      <c r="W628" s="8"/>
      <c r="Y628">
        <f t="shared" si="12"/>
        <v>90</v>
      </c>
    </row>
    <row r="629" spans="1:25" ht="15.75" customHeight="1">
      <c r="A629" s="5" t="s">
        <v>1355</v>
      </c>
      <c r="B629" s="6">
        <v>21</v>
      </c>
      <c r="C629" s="5" t="s">
        <v>36</v>
      </c>
      <c r="D629" s="6" t="s">
        <v>869</v>
      </c>
      <c r="E629" s="6"/>
      <c r="F629" s="6" t="s">
        <v>57</v>
      </c>
      <c r="G629" s="6">
        <v>3</v>
      </c>
      <c r="H629" s="5" t="s">
        <v>46</v>
      </c>
      <c r="I629" s="6">
        <v>4</v>
      </c>
      <c r="J629" s="5" t="s">
        <v>97</v>
      </c>
      <c r="K629" s="6">
        <v>5760</v>
      </c>
      <c r="L629" s="5" t="s">
        <v>40</v>
      </c>
      <c r="M629" s="5" t="s">
        <v>66</v>
      </c>
      <c r="N629" s="5" t="s">
        <v>47</v>
      </c>
      <c r="O629" s="7">
        <v>45268</v>
      </c>
      <c r="P629" s="7">
        <v>45268.208333333336</v>
      </c>
      <c r="Q629" s="5" t="s">
        <v>69</v>
      </c>
      <c r="R629" s="5" t="s">
        <v>32</v>
      </c>
      <c r="S629" s="5" t="s">
        <v>53</v>
      </c>
      <c r="T629" s="6">
        <v>5</v>
      </c>
      <c r="U629" s="6">
        <v>12</v>
      </c>
      <c r="V629" s="5" t="s">
        <v>92</v>
      </c>
      <c r="W629" s="8"/>
      <c r="Y629">
        <f t="shared" si="12"/>
        <v>41.666666666666671</v>
      </c>
    </row>
    <row r="630" spans="1:25" ht="15.75" customHeight="1">
      <c r="A630" s="5" t="s">
        <v>1356</v>
      </c>
      <c r="B630" s="6">
        <v>80</v>
      </c>
      <c r="C630" s="5" t="s">
        <v>22</v>
      </c>
      <c r="D630" s="6" t="s">
        <v>282</v>
      </c>
      <c r="E630" s="6"/>
      <c r="F630" s="6" t="s">
        <v>554</v>
      </c>
      <c r="G630" s="6">
        <v>4</v>
      </c>
      <c r="H630" s="5" t="s">
        <v>58</v>
      </c>
      <c r="I630" s="6">
        <v>1</v>
      </c>
      <c r="J630" s="5" t="s">
        <v>89</v>
      </c>
      <c r="K630" s="6">
        <v>29142</v>
      </c>
      <c r="L630" s="5" t="s">
        <v>80</v>
      </c>
      <c r="M630" s="5" t="s">
        <v>27</v>
      </c>
      <c r="N630" s="5" t="s">
        <v>28</v>
      </c>
      <c r="O630" s="6" t="s">
        <v>686</v>
      </c>
      <c r="P630" s="6" t="s">
        <v>1357</v>
      </c>
      <c r="Q630" s="5" t="s">
        <v>86</v>
      </c>
      <c r="R630" s="5" t="s">
        <v>32</v>
      </c>
      <c r="S630" s="5" t="s">
        <v>53</v>
      </c>
      <c r="T630" s="6">
        <v>6</v>
      </c>
      <c r="U630" s="6">
        <v>8</v>
      </c>
      <c r="V630" s="5" t="s">
        <v>92</v>
      </c>
      <c r="W630" s="8"/>
      <c r="Y630">
        <f t="shared" si="12"/>
        <v>75</v>
      </c>
    </row>
    <row r="631" spans="1:25" ht="15.75" customHeight="1">
      <c r="A631" s="5" t="s">
        <v>1358</v>
      </c>
      <c r="B631" s="6">
        <v>85</v>
      </c>
      <c r="C631" s="5" t="s">
        <v>47</v>
      </c>
      <c r="D631" s="7">
        <v>45116</v>
      </c>
      <c r="E631" s="7"/>
      <c r="F631" s="6" t="s">
        <v>591</v>
      </c>
      <c r="G631" s="6">
        <v>6</v>
      </c>
      <c r="H631" s="5" t="s">
        <v>73</v>
      </c>
      <c r="I631" s="6">
        <v>3</v>
      </c>
      <c r="J631" s="5" t="s">
        <v>25</v>
      </c>
      <c r="K631" s="6">
        <v>49653</v>
      </c>
      <c r="L631" s="5" t="s">
        <v>90</v>
      </c>
      <c r="M631" s="5" t="s">
        <v>66</v>
      </c>
      <c r="N631" s="5" t="s">
        <v>28</v>
      </c>
      <c r="O631" s="7">
        <v>44994</v>
      </c>
      <c r="P631" s="7">
        <v>45025.541666666664</v>
      </c>
      <c r="Q631" s="5" t="s">
        <v>69</v>
      </c>
      <c r="R631" s="5" t="s">
        <v>32</v>
      </c>
      <c r="S631" s="5" t="s">
        <v>33</v>
      </c>
      <c r="T631" s="6">
        <v>9</v>
      </c>
      <c r="U631" s="6">
        <v>12</v>
      </c>
      <c r="V631" s="5" t="s">
        <v>92</v>
      </c>
      <c r="W631" s="8"/>
      <c r="Y631">
        <f t="shared" si="12"/>
        <v>75</v>
      </c>
    </row>
    <row r="632" spans="1:25" ht="15.75" customHeight="1">
      <c r="A632" s="5" t="s">
        <v>1359</v>
      </c>
      <c r="B632" s="6">
        <v>75</v>
      </c>
      <c r="C632" s="5" t="s">
        <v>51</v>
      </c>
      <c r="D632" s="7">
        <v>45210</v>
      </c>
      <c r="E632" s="7"/>
      <c r="F632" s="6" t="s">
        <v>1246</v>
      </c>
      <c r="G632" s="6">
        <v>13</v>
      </c>
      <c r="H632" s="5" t="s">
        <v>46</v>
      </c>
      <c r="I632" s="6">
        <v>5</v>
      </c>
      <c r="J632" s="5" t="s">
        <v>39</v>
      </c>
      <c r="K632" s="6">
        <v>46996</v>
      </c>
      <c r="L632" s="5" t="s">
        <v>40</v>
      </c>
      <c r="M632" s="5" t="s">
        <v>27</v>
      </c>
      <c r="N632" s="5" t="s">
        <v>28</v>
      </c>
      <c r="O632" s="7">
        <v>45210</v>
      </c>
      <c r="P632" s="7">
        <v>45210.041666666664</v>
      </c>
      <c r="Q632" s="5" t="s">
        <v>48</v>
      </c>
      <c r="R632" s="5" t="s">
        <v>32</v>
      </c>
      <c r="S632" s="5" t="s">
        <v>33</v>
      </c>
      <c r="T632" s="6">
        <v>7</v>
      </c>
      <c r="U632" s="6">
        <v>12</v>
      </c>
      <c r="V632" s="5" t="s">
        <v>92</v>
      </c>
      <c r="W632" s="8"/>
      <c r="Y632">
        <f t="shared" si="12"/>
        <v>58.333333333333336</v>
      </c>
    </row>
    <row r="633" spans="1:25" ht="15.75" customHeight="1">
      <c r="A633" s="5" t="s">
        <v>1360</v>
      </c>
      <c r="B633" s="6">
        <v>36</v>
      </c>
      <c r="C633" s="5" t="s">
        <v>82</v>
      </c>
      <c r="D633" s="6" t="s">
        <v>223</v>
      </c>
      <c r="E633" s="6"/>
      <c r="F633" s="6" t="s">
        <v>629</v>
      </c>
      <c r="G633" s="6">
        <v>8</v>
      </c>
      <c r="H633" s="5" t="s">
        <v>46</v>
      </c>
      <c r="I633" s="6">
        <v>4</v>
      </c>
      <c r="J633" s="5" t="s">
        <v>25</v>
      </c>
      <c r="K633" s="6">
        <v>22290</v>
      </c>
      <c r="L633" s="5" t="s">
        <v>90</v>
      </c>
      <c r="M633" s="5" t="s">
        <v>66</v>
      </c>
      <c r="N633" s="5" t="s">
        <v>28</v>
      </c>
      <c r="O633" s="7">
        <v>45536</v>
      </c>
      <c r="P633" s="7">
        <v>45566.666666666664</v>
      </c>
      <c r="Q633" s="5" t="s">
        <v>48</v>
      </c>
      <c r="R633" s="5" t="s">
        <v>32</v>
      </c>
      <c r="S633" s="5" t="s">
        <v>33</v>
      </c>
      <c r="T633" s="6">
        <v>11</v>
      </c>
      <c r="U633" s="6">
        <v>8</v>
      </c>
      <c r="V633" s="5" t="s">
        <v>54</v>
      </c>
      <c r="W633" s="8"/>
      <c r="Y633">
        <f t="shared" si="12"/>
        <v>137.5</v>
      </c>
    </row>
    <row r="634" spans="1:25" ht="15.75" customHeight="1">
      <c r="A634" s="5" t="s">
        <v>1361</v>
      </c>
      <c r="B634" s="6">
        <v>19</v>
      </c>
      <c r="C634" s="5" t="s">
        <v>51</v>
      </c>
      <c r="D634" s="6" t="s">
        <v>530</v>
      </c>
      <c r="E634" s="6"/>
      <c r="F634" s="7">
        <v>45356</v>
      </c>
      <c r="G634" s="6">
        <v>4</v>
      </c>
      <c r="H634" s="5" t="s">
        <v>38</v>
      </c>
      <c r="I634" s="6">
        <v>3</v>
      </c>
      <c r="J634" s="5" t="s">
        <v>97</v>
      </c>
      <c r="K634" s="6">
        <v>10499</v>
      </c>
      <c r="L634" s="5" t="s">
        <v>65</v>
      </c>
      <c r="M634" s="5" t="s">
        <v>27</v>
      </c>
      <c r="N634" s="5" t="s">
        <v>28</v>
      </c>
      <c r="O634" s="6" t="s">
        <v>531</v>
      </c>
      <c r="P634" s="6" t="s">
        <v>1362</v>
      </c>
      <c r="Q634" s="5" t="s">
        <v>48</v>
      </c>
      <c r="R634" s="5" t="s">
        <v>32</v>
      </c>
      <c r="S634" s="5" t="s">
        <v>49</v>
      </c>
      <c r="T634" s="6">
        <v>9</v>
      </c>
      <c r="U634" s="6">
        <v>12</v>
      </c>
      <c r="V634" s="5" t="s">
        <v>54</v>
      </c>
      <c r="W634" s="8"/>
      <c r="Y634">
        <f t="shared" si="12"/>
        <v>75</v>
      </c>
    </row>
    <row r="635" spans="1:25" ht="15.75" customHeight="1">
      <c r="A635" s="5" t="s">
        <v>1363</v>
      </c>
      <c r="B635" s="6">
        <v>20</v>
      </c>
      <c r="C635" s="5" t="s">
        <v>82</v>
      </c>
      <c r="D635" s="6" t="s">
        <v>158</v>
      </c>
      <c r="E635" s="6"/>
      <c r="F635" s="6" t="s">
        <v>491</v>
      </c>
      <c r="G635" s="6">
        <v>4</v>
      </c>
      <c r="H635" s="5" t="s">
        <v>73</v>
      </c>
      <c r="I635" s="6">
        <v>1</v>
      </c>
      <c r="J635" s="5" t="s">
        <v>89</v>
      </c>
      <c r="K635" s="6">
        <v>5364</v>
      </c>
      <c r="L635" s="5" t="s">
        <v>90</v>
      </c>
      <c r="M635" s="5" t="s">
        <v>27</v>
      </c>
      <c r="N635" s="5" t="s">
        <v>28</v>
      </c>
      <c r="O635" s="6" t="s">
        <v>568</v>
      </c>
      <c r="P635" s="6" t="s">
        <v>1364</v>
      </c>
      <c r="Q635" s="5" t="s">
        <v>69</v>
      </c>
      <c r="R635" s="5" t="s">
        <v>32</v>
      </c>
      <c r="S635" s="5" t="s">
        <v>33</v>
      </c>
      <c r="T635" s="6">
        <v>8</v>
      </c>
      <c r="U635" s="6">
        <v>8</v>
      </c>
      <c r="V635" s="5" t="s">
        <v>34</v>
      </c>
      <c r="W635" s="8"/>
      <c r="Y635">
        <f t="shared" si="12"/>
        <v>100</v>
      </c>
    </row>
    <row r="636" spans="1:25" ht="15.75" customHeight="1">
      <c r="A636" s="5" t="s">
        <v>1365</v>
      </c>
      <c r="B636" s="6">
        <v>57</v>
      </c>
      <c r="C636" s="5" t="s">
        <v>82</v>
      </c>
      <c r="D636" s="7">
        <v>45599</v>
      </c>
      <c r="E636" s="7"/>
      <c r="F636" s="6" t="s">
        <v>317</v>
      </c>
      <c r="G636" s="6">
        <v>3</v>
      </c>
      <c r="H636" s="5" t="s">
        <v>24</v>
      </c>
      <c r="I636" s="6">
        <v>2</v>
      </c>
      <c r="J636" s="5" t="s">
        <v>89</v>
      </c>
      <c r="K636" s="6">
        <v>24797</v>
      </c>
      <c r="L636" s="5" t="s">
        <v>80</v>
      </c>
      <c r="M636" s="5" t="s">
        <v>27</v>
      </c>
      <c r="N636" s="5" t="s">
        <v>47</v>
      </c>
      <c r="O636" s="7">
        <v>45538</v>
      </c>
      <c r="P636" s="7">
        <v>45568.208333333336</v>
      </c>
      <c r="Q636" s="5" t="s">
        <v>69</v>
      </c>
      <c r="R636" s="5" t="s">
        <v>44</v>
      </c>
      <c r="S636" s="5" t="s">
        <v>49</v>
      </c>
      <c r="T636" s="6">
        <v>11</v>
      </c>
      <c r="U636" s="6">
        <v>8</v>
      </c>
      <c r="V636" s="5" t="s">
        <v>92</v>
      </c>
      <c r="W636" s="8"/>
      <c r="Y636">
        <f t="shared" si="12"/>
        <v>137.5</v>
      </c>
    </row>
    <row r="637" spans="1:25" ht="15.75" customHeight="1">
      <c r="A637" s="5" t="s">
        <v>1366</v>
      </c>
      <c r="B637" s="6">
        <v>18</v>
      </c>
      <c r="C637" s="5" t="s">
        <v>51</v>
      </c>
      <c r="D637" s="7">
        <v>45058</v>
      </c>
      <c r="E637" s="7"/>
      <c r="F637" s="7">
        <v>45150</v>
      </c>
      <c r="G637" s="6">
        <v>3</v>
      </c>
      <c r="H637" s="5" t="s">
        <v>58</v>
      </c>
      <c r="I637" s="6">
        <v>5</v>
      </c>
      <c r="J637" s="5" t="s">
        <v>89</v>
      </c>
      <c r="K637" s="6">
        <v>45795</v>
      </c>
      <c r="L637" s="5" t="s">
        <v>26</v>
      </c>
      <c r="M637" s="5" t="s">
        <v>27</v>
      </c>
      <c r="N637" s="5" t="s">
        <v>28</v>
      </c>
      <c r="O637" s="6" t="s">
        <v>277</v>
      </c>
      <c r="P637" s="6" t="s">
        <v>1367</v>
      </c>
      <c r="Q637" s="5" t="s">
        <v>69</v>
      </c>
      <c r="R637" s="5" t="s">
        <v>32</v>
      </c>
      <c r="S637" s="5" t="s">
        <v>33</v>
      </c>
      <c r="T637" s="6">
        <v>11</v>
      </c>
      <c r="U637" s="6">
        <v>8</v>
      </c>
      <c r="V637" s="5" t="s">
        <v>92</v>
      </c>
      <c r="W637" s="8"/>
      <c r="Y637">
        <f t="shared" si="12"/>
        <v>137.5</v>
      </c>
    </row>
    <row r="638" spans="1:25" ht="15.75" customHeight="1">
      <c r="A638" s="5" t="s">
        <v>1368</v>
      </c>
      <c r="B638" s="6">
        <v>47</v>
      </c>
      <c r="C638" s="5" t="s">
        <v>82</v>
      </c>
      <c r="D638" s="6" t="s">
        <v>136</v>
      </c>
      <c r="E638" s="6"/>
      <c r="F638" s="6" t="s">
        <v>235</v>
      </c>
      <c r="G638" s="6">
        <v>2</v>
      </c>
      <c r="H638" s="5" t="s">
        <v>46</v>
      </c>
      <c r="I638" s="6">
        <v>1</v>
      </c>
      <c r="J638" s="5" t="s">
        <v>97</v>
      </c>
      <c r="K638" s="6">
        <v>37535</v>
      </c>
      <c r="L638" s="5" t="s">
        <v>90</v>
      </c>
      <c r="M638" s="5" t="s">
        <v>66</v>
      </c>
      <c r="N638" s="5" t="s">
        <v>28</v>
      </c>
      <c r="O638" s="6" t="s">
        <v>136</v>
      </c>
      <c r="P638" s="6" t="s">
        <v>1369</v>
      </c>
      <c r="Q638" s="5" t="s">
        <v>31</v>
      </c>
      <c r="R638" s="5" t="s">
        <v>32</v>
      </c>
      <c r="S638" s="5" t="s">
        <v>33</v>
      </c>
      <c r="T638" s="6">
        <v>5</v>
      </c>
      <c r="U638" s="6">
        <v>8</v>
      </c>
      <c r="V638" s="5" t="s">
        <v>34</v>
      </c>
      <c r="W638" s="8"/>
      <c r="Y638">
        <f t="shared" si="12"/>
        <v>62.5</v>
      </c>
    </row>
    <row r="639" spans="1:25" ht="15.75" customHeight="1">
      <c r="A639" s="5" t="s">
        <v>1370</v>
      </c>
      <c r="B639" s="6">
        <v>49</v>
      </c>
      <c r="C639" s="5" t="s">
        <v>82</v>
      </c>
      <c r="D639" s="7">
        <v>45539</v>
      </c>
      <c r="E639" s="7"/>
      <c r="F639" s="6" t="s">
        <v>221</v>
      </c>
      <c r="G639" s="6">
        <v>5</v>
      </c>
      <c r="H639" s="5" t="s">
        <v>73</v>
      </c>
      <c r="I639" s="6">
        <v>4</v>
      </c>
      <c r="J639" s="5" t="s">
        <v>52</v>
      </c>
      <c r="K639" s="6">
        <v>21105</v>
      </c>
      <c r="L639" s="5" t="s">
        <v>26</v>
      </c>
      <c r="M639" s="5" t="s">
        <v>66</v>
      </c>
      <c r="N639" s="5" t="s">
        <v>47</v>
      </c>
      <c r="O639" s="7">
        <v>45447</v>
      </c>
      <c r="P639" s="7">
        <v>45447.583333333336</v>
      </c>
      <c r="Q639" s="5" t="s">
        <v>69</v>
      </c>
      <c r="R639" s="5" t="s">
        <v>32</v>
      </c>
      <c r="S639" s="5" t="s">
        <v>53</v>
      </c>
      <c r="T639" s="6">
        <v>5</v>
      </c>
      <c r="U639" s="6">
        <v>12</v>
      </c>
      <c r="V639" s="5" t="s">
        <v>92</v>
      </c>
      <c r="W639" s="8"/>
      <c r="Y639">
        <f t="shared" si="12"/>
        <v>41.666666666666671</v>
      </c>
    </row>
    <row r="640" spans="1:25" ht="15.75" customHeight="1">
      <c r="A640" s="5" t="s">
        <v>1371</v>
      </c>
      <c r="B640" s="6">
        <v>14</v>
      </c>
      <c r="C640" s="5" t="s">
        <v>22</v>
      </c>
      <c r="D640" s="7">
        <v>45056</v>
      </c>
      <c r="E640" s="7"/>
      <c r="F640" s="6" t="s">
        <v>205</v>
      </c>
      <c r="G640" s="6">
        <v>14</v>
      </c>
      <c r="H640" s="5" t="s">
        <v>73</v>
      </c>
      <c r="I640" s="6">
        <v>4</v>
      </c>
      <c r="J640" s="5" t="s">
        <v>52</v>
      </c>
      <c r="K640" s="6">
        <v>12939</v>
      </c>
      <c r="L640" s="5" t="s">
        <v>65</v>
      </c>
      <c r="M640" s="5" t="s">
        <v>66</v>
      </c>
      <c r="N640" s="5" t="s">
        <v>47</v>
      </c>
      <c r="O640" s="7">
        <v>44995</v>
      </c>
      <c r="P640" s="7">
        <v>45026.708333333336</v>
      </c>
      <c r="Q640" s="5" t="s">
        <v>48</v>
      </c>
      <c r="R640" s="5" t="s">
        <v>32</v>
      </c>
      <c r="S640" s="5" t="s">
        <v>33</v>
      </c>
      <c r="T640" s="6">
        <v>10</v>
      </c>
      <c r="U640" s="6">
        <v>12</v>
      </c>
      <c r="V640" s="5" t="s">
        <v>34</v>
      </c>
      <c r="W640" s="8"/>
      <c r="Y640">
        <f t="shared" si="12"/>
        <v>83.333333333333343</v>
      </c>
    </row>
    <row r="641" spans="1:25" ht="15.75" customHeight="1">
      <c r="A641" s="5" t="s">
        <v>1372</v>
      </c>
      <c r="B641" s="6">
        <v>15</v>
      </c>
      <c r="C641" s="5" t="s">
        <v>36</v>
      </c>
      <c r="D641" s="7">
        <v>45210</v>
      </c>
      <c r="E641" s="7"/>
      <c r="F641" s="6" t="s">
        <v>1246</v>
      </c>
      <c r="G641" s="6">
        <v>13</v>
      </c>
      <c r="H641" s="5" t="s">
        <v>58</v>
      </c>
      <c r="I641" s="6">
        <v>2</v>
      </c>
      <c r="J641" s="5" t="s">
        <v>25</v>
      </c>
      <c r="K641" s="6">
        <v>18936</v>
      </c>
      <c r="L641" s="5" t="s">
        <v>40</v>
      </c>
      <c r="M641" s="5" t="s">
        <v>66</v>
      </c>
      <c r="N641" s="5" t="s">
        <v>28</v>
      </c>
      <c r="O641" s="7">
        <v>45210</v>
      </c>
      <c r="P641" s="7">
        <v>45271</v>
      </c>
      <c r="Q641" s="5" t="s">
        <v>43</v>
      </c>
      <c r="R641" s="5" t="s">
        <v>32</v>
      </c>
      <c r="S641" s="5" t="s">
        <v>49</v>
      </c>
      <c r="T641" s="6">
        <v>7</v>
      </c>
      <c r="U641" s="6">
        <v>12</v>
      </c>
      <c r="V641" s="5" t="s">
        <v>54</v>
      </c>
      <c r="W641" s="8"/>
      <c r="Y641">
        <f t="shared" si="12"/>
        <v>58.333333333333336</v>
      </c>
    </row>
    <row r="642" spans="1:25" ht="15.75" customHeight="1">
      <c r="A642" s="5" t="s">
        <v>1373</v>
      </c>
      <c r="B642" s="6">
        <v>31</v>
      </c>
      <c r="C642" s="5" t="s">
        <v>36</v>
      </c>
      <c r="D642" s="6" t="s">
        <v>363</v>
      </c>
      <c r="E642" s="6"/>
      <c r="F642" s="6" t="s">
        <v>438</v>
      </c>
      <c r="G642" s="6">
        <v>2</v>
      </c>
      <c r="H642" s="5" t="s">
        <v>73</v>
      </c>
      <c r="I642" s="6">
        <v>2</v>
      </c>
      <c r="J642" s="5" t="s">
        <v>52</v>
      </c>
      <c r="K642" s="6">
        <v>47029</v>
      </c>
      <c r="L642" s="5" t="s">
        <v>40</v>
      </c>
      <c r="M642" s="5" t="s">
        <v>27</v>
      </c>
      <c r="N642" s="5" t="s">
        <v>28</v>
      </c>
      <c r="O642" s="7">
        <v>45208</v>
      </c>
      <c r="P642" s="7">
        <v>45208.416666666664</v>
      </c>
      <c r="Q642" s="5" t="s">
        <v>69</v>
      </c>
      <c r="R642" s="5" t="s">
        <v>32</v>
      </c>
      <c r="S642" s="5" t="s">
        <v>53</v>
      </c>
      <c r="T642" s="6">
        <v>5</v>
      </c>
      <c r="U642" s="6">
        <v>10</v>
      </c>
      <c r="V642" s="5" t="s">
        <v>34</v>
      </c>
      <c r="W642" s="8"/>
      <c r="Y642">
        <f t="shared" si="12"/>
        <v>50</v>
      </c>
    </row>
    <row r="643" spans="1:25" ht="15.75" customHeight="1">
      <c r="A643" s="5" t="s">
        <v>1374</v>
      </c>
      <c r="B643" s="6">
        <v>1</v>
      </c>
      <c r="C643" s="5" t="s">
        <v>47</v>
      </c>
      <c r="D643" s="6" t="s">
        <v>1111</v>
      </c>
      <c r="E643" s="6"/>
      <c r="F643" s="7">
        <v>44994</v>
      </c>
      <c r="G643" s="6">
        <v>9</v>
      </c>
      <c r="H643" s="5" t="s">
        <v>73</v>
      </c>
      <c r="I643" s="6">
        <v>5</v>
      </c>
      <c r="J643" s="5" t="s">
        <v>52</v>
      </c>
      <c r="K643" s="6">
        <v>20863</v>
      </c>
      <c r="L643" s="5" t="s">
        <v>26</v>
      </c>
      <c r="M643" s="5" t="s">
        <v>66</v>
      </c>
      <c r="N643" s="5" t="s">
        <v>47</v>
      </c>
      <c r="O643" s="6" t="s">
        <v>495</v>
      </c>
      <c r="P643" s="6" t="s">
        <v>1375</v>
      </c>
      <c r="Q643" s="5" t="s">
        <v>43</v>
      </c>
      <c r="R643" s="5" t="s">
        <v>32</v>
      </c>
      <c r="S643" s="5" t="s">
        <v>49</v>
      </c>
      <c r="T643" s="6">
        <v>5</v>
      </c>
      <c r="U643" s="6">
        <v>12</v>
      </c>
      <c r="V643" s="5" t="s">
        <v>92</v>
      </c>
      <c r="W643" s="8"/>
      <c r="Y643">
        <f t="shared" ref="Y643:Y706" si="13">(T643/U643*100)</f>
        <v>41.666666666666671</v>
      </c>
    </row>
    <row r="644" spans="1:25" ht="15.75" customHeight="1">
      <c r="A644" s="5" t="s">
        <v>1376</v>
      </c>
      <c r="B644" s="6">
        <v>54</v>
      </c>
      <c r="C644" s="5" t="s">
        <v>47</v>
      </c>
      <c r="D644" s="7">
        <v>45021</v>
      </c>
      <c r="E644" s="7"/>
      <c r="F644" s="6" t="s">
        <v>716</v>
      </c>
      <c r="G644" s="6">
        <v>13</v>
      </c>
      <c r="H644" s="5" t="s">
        <v>73</v>
      </c>
      <c r="I644" s="6">
        <v>5</v>
      </c>
      <c r="J644" s="5" t="s">
        <v>89</v>
      </c>
      <c r="K644" s="6">
        <v>17561</v>
      </c>
      <c r="L644" s="5" t="s">
        <v>40</v>
      </c>
      <c r="M644" s="5" t="s">
        <v>66</v>
      </c>
      <c r="N644" s="5" t="s">
        <v>28</v>
      </c>
      <c r="O644" s="6" t="s">
        <v>861</v>
      </c>
      <c r="P644" s="7">
        <v>44931.666666666664</v>
      </c>
      <c r="Q644" s="5" t="s">
        <v>48</v>
      </c>
      <c r="R644" s="5" t="s">
        <v>32</v>
      </c>
      <c r="S644" s="5" t="s">
        <v>53</v>
      </c>
      <c r="T644" s="6">
        <v>10</v>
      </c>
      <c r="U644" s="6">
        <v>12</v>
      </c>
      <c r="V644" s="5" t="s">
        <v>34</v>
      </c>
      <c r="W644" s="8"/>
      <c r="Y644">
        <f t="shared" si="13"/>
        <v>83.333333333333343</v>
      </c>
    </row>
    <row r="645" spans="1:25" ht="15.75" customHeight="1">
      <c r="A645" s="5" t="s">
        <v>1377</v>
      </c>
      <c r="B645" s="6">
        <v>3</v>
      </c>
      <c r="C645" s="5" t="s">
        <v>22</v>
      </c>
      <c r="D645" s="6" t="s">
        <v>886</v>
      </c>
      <c r="E645" s="6"/>
      <c r="F645" s="6" t="s">
        <v>777</v>
      </c>
      <c r="G645" s="6">
        <v>9</v>
      </c>
      <c r="H645" s="5" t="s">
        <v>46</v>
      </c>
      <c r="I645" s="6">
        <v>2</v>
      </c>
      <c r="J645" s="5" t="s">
        <v>89</v>
      </c>
      <c r="K645" s="6">
        <v>15447</v>
      </c>
      <c r="L645" s="5" t="s">
        <v>90</v>
      </c>
      <c r="M645" s="5" t="s">
        <v>66</v>
      </c>
      <c r="N645" s="5" t="s">
        <v>28</v>
      </c>
      <c r="O645" s="6" t="s">
        <v>886</v>
      </c>
      <c r="P645" s="6" t="s">
        <v>1378</v>
      </c>
      <c r="Q645" s="5" t="s">
        <v>69</v>
      </c>
      <c r="R645" s="5" t="s">
        <v>32</v>
      </c>
      <c r="S645" s="5" t="s">
        <v>49</v>
      </c>
      <c r="T645" s="6">
        <v>7</v>
      </c>
      <c r="U645" s="6">
        <v>10</v>
      </c>
      <c r="V645" s="5" t="s">
        <v>54</v>
      </c>
      <c r="W645" s="8"/>
      <c r="Y645">
        <f t="shared" si="13"/>
        <v>70</v>
      </c>
    </row>
    <row r="646" spans="1:25" ht="15.75" customHeight="1">
      <c r="A646" s="5" t="s">
        <v>1379</v>
      </c>
      <c r="B646" s="6">
        <v>16</v>
      </c>
      <c r="C646" s="5" t="s">
        <v>47</v>
      </c>
      <c r="D646" s="6" t="s">
        <v>276</v>
      </c>
      <c r="E646" s="6"/>
      <c r="F646" s="7">
        <v>45028</v>
      </c>
      <c r="G646" s="6">
        <v>14</v>
      </c>
      <c r="H646" s="5" t="s">
        <v>58</v>
      </c>
      <c r="I646" s="6">
        <v>2</v>
      </c>
      <c r="J646" s="5" t="s">
        <v>25</v>
      </c>
      <c r="K646" s="6">
        <v>35624</v>
      </c>
      <c r="L646" s="5" t="s">
        <v>26</v>
      </c>
      <c r="M646" s="5" t="s">
        <v>66</v>
      </c>
      <c r="N646" s="5" t="s">
        <v>28</v>
      </c>
      <c r="O646" s="6" t="s">
        <v>276</v>
      </c>
      <c r="P646" s="6" t="s">
        <v>1380</v>
      </c>
      <c r="Q646" s="5" t="s">
        <v>31</v>
      </c>
      <c r="R646" s="5" t="s">
        <v>32</v>
      </c>
      <c r="S646" s="5" t="s">
        <v>53</v>
      </c>
      <c r="T646" s="6">
        <v>9</v>
      </c>
      <c r="U646" s="6">
        <v>8</v>
      </c>
      <c r="V646" s="5" t="s">
        <v>92</v>
      </c>
      <c r="W646" s="8"/>
      <c r="Y646">
        <f t="shared" si="13"/>
        <v>112.5</v>
      </c>
    </row>
    <row r="647" spans="1:25" ht="15.75" customHeight="1">
      <c r="A647" s="5" t="s">
        <v>1381</v>
      </c>
      <c r="B647" s="6">
        <v>87</v>
      </c>
      <c r="C647" s="5" t="s">
        <v>51</v>
      </c>
      <c r="D647" s="7">
        <v>44990</v>
      </c>
      <c r="E647" s="7"/>
      <c r="F647" s="6" t="s">
        <v>527</v>
      </c>
      <c r="G647" s="6">
        <v>12</v>
      </c>
      <c r="H647" s="5" t="s">
        <v>73</v>
      </c>
      <c r="I647" s="6">
        <v>4</v>
      </c>
      <c r="J647" s="5" t="s">
        <v>39</v>
      </c>
      <c r="K647" s="6">
        <v>49646</v>
      </c>
      <c r="L647" s="5" t="s">
        <v>80</v>
      </c>
      <c r="M647" s="5" t="s">
        <v>66</v>
      </c>
      <c r="N647" s="5" t="s">
        <v>28</v>
      </c>
      <c r="O647" s="6" t="s">
        <v>861</v>
      </c>
      <c r="P647" s="6" t="s">
        <v>1382</v>
      </c>
      <c r="Q647" s="5" t="s">
        <v>31</v>
      </c>
      <c r="R647" s="5" t="s">
        <v>32</v>
      </c>
      <c r="S647" s="5" t="s">
        <v>49</v>
      </c>
      <c r="T647" s="6">
        <v>6</v>
      </c>
      <c r="U647" s="6">
        <v>8</v>
      </c>
      <c r="V647" s="5" t="s">
        <v>54</v>
      </c>
      <c r="W647" s="8"/>
      <c r="Y647">
        <f t="shared" si="13"/>
        <v>75</v>
      </c>
    </row>
    <row r="648" spans="1:25" ht="15.75" customHeight="1">
      <c r="A648" s="5" t="s">
        <v>1383</v>
      </c>
      <c r="B648" s="6">
        <v>57</v>
      </c>
      <c r="C648" s="5" t="s">
        <v>62</v>
      </c>
      <c r="D648" s="7">
        <v>45176</v>
      </c>
      <c r="E648" s="7"/>
      <c r="F648" s="6" t="s">
        <v>776</v>
      </c>
      <c r="G648" s="6">
        <v>15</v>
      </c>
      <c r="H648" s="5" t="s">
        <v>73</v>
      </c>
      <c r="I648" s="6">
        <v>2</v>
      </c>
      <c r="J648" s="5" t="s">
        <v>25</v>
      </c>
      <c r="K648" s="6">
        <v>17411</v>
      </c>
      <c r="L648" s="5" t="s">
        <v>90</v>
      </c>
      <c r="M648" s="5" t="s">
        <v>27</v>
      </c>
      <c r="N648" s="5" t="s">
        <v>28</v>
      </c>
      <c r="O648" s="7">
        <v>45114</v>
      </c>
      <c r="P648" s="7">
        <v>45114.25</v>
      </c>
      <c r="Q648" s="5" t="s">
        <v>43</v>
      </c>
      <c r="R648" s="5" t="s">
        <v>32</v>
      </c>
      <c r="S648" s="5" t="s">
        <v>49</v>
      </c>
      <c r="T648" s="6">
        <v>9</v>
      </c>
      <c r="U648" s="6">
        <v>8</v>
      </c>
      <c r="V648" s="5" t="s">
        <v>54</v>
      </c>
      <c r="W648" s="8"/>
      <c r="Y648">
        <f t="shared" si="13"/>
        <v>112.5</v>
      </c>
    </row>
    <row r="649" spans="1:25" ht="15.75" customHeight="1">
      <c r="A649" s="5" t="s">
        <v>1384</v>
      </c>
      <c r="B649" s="6">
        <v>75</v>
      </c>
      <c r="C649" s="5" t="s">
        <v>62</v>
      </c>
      <c r="D649" s="6" t="s">
        <v>187</v>
      </c>
      <c r="E649" s="6"/>
      <c r="F649" s="6" t="s">
        <v>466</v>
      </c>
      <c r="G649" s="6">
        <v>9</v>
      </c>
      <c r="H649" s="5" t="s">
        <v>46</v>
      </c>
      <c r="I649" s="6">
        <v>3</v>
      </c>
      <c r="J649" s="5" t="s">
        <v>25</v>
      </c>
      <c r="K649" s="6">
        <v>24465</v>
      </c>
      <c r="L649" s="5" t="s">
        <v>90</v>
      </c>
      <c r="M649" s="5" t="s">
        <v>66</v>
      </c>
      <c r="N649" s="5" t="s">
        <v>28</v>
      </c>
      <c r="O649" s="7">
        <v>45237</v>
      </c>
      <c r="P649" s="7">
        <v>45237.291666666664</v>
      </c>
      <c r="Q649" s="5" t="s">
        <v>31</v>
      </c>
      <c r="R649" s="5" t="s">
        <v>44</v>
      </c>
      <c r="S649" s="5" t="s">
        <v>33</v>
      </c>
      <c r="T649" s="6">
        <v>8</v>
      </c>
      <c r="U649" s="6">
        <v>10</v>
      </c>
      <c r="V649" s="5" t="s">
        <v>34</v>
      </c>
      <c r="W649" s="8"/>
      <c r="Y649">
        <f t="shared" si="13"/>
        <v>80</v>
      </c>
    </row>
    <row r="650" spans="1:25" ht="15.75" customHeight="1">
      <c r="A650" s="5" t="s">
        <v>1385</v>
      </c>
      <c r="B650" s="6">
        <v>12</v>
      </c>
      <c r="C650" s="5" t="s">
        <v>62</v>
      </c>
      <c r="D650" s="7">
        <v>45207</v>
      </c>
      <c r="E650" s="7"/>
      <c r="F650" s="7">
        <v>45238</v>
      </c>
      <c r="G650" s="6">
        <v>1</v>
      </c>
      <c r="H650" s="5" t="s">
        <v>58</v>
      </c>
      <c r="I650" s="6">
        <v>1</v>
      </c>
      <c r="J650" s="5" t="s">
        <v>97</v>
      </c>
      <c r="K650" s="6">
        <v>43216</v>
      </c>
      <c r="L650" s="5" t="s">
        <v>90</v>
      </c>
      <c r="M650" s="5" t="s">
        <v>66</v>
      </c>
      <c r="N650" s="5" t="s">
        <v>28</v>
      </c>
      <c r="O650" s="7">
        <v>45207</v>
      </c>
      <c r="P650" s="7">
        <v>45207.375</v>
      </c>
      <c r="Q650" s="5" t="s">
        <v>31</v>
      </c>
      <c r="R650" s="5" t="s">
        <v>32</v>
      </c>
      <c r="S650" s="5" t="s">
        <v>53</v>
      </c>
      <c r="T650" s="6">
        <v>8</v>
      </c>
      <c r="U650" s="6">
        <v>12</v>
      </c>
      <c r="V650" s="5" t="s">
        <v>54</v>
      </c>
      <c r="W650" s="8"/>
      <c r="Y650">
        <f t="shared" si="13"/>
        <v>66.666666666666657</v>
      </c>
    </row>
    <row r="651" spans="1:25" ht="15.75" customHeight="1">
      <c r="A651" s="5" t="s">
        <v>1386</v>
      </c>
      <c r="B651" s="6">
        <v>74</v>
      </c>
      <c r="C651" s="5" t="s">
        <v>22</v>
      </c>
      <c r="D651" s="7">
        <v>45570</v>
      </c>
      <c r="E651" s="7"/>
      <c r="F651" s="6" t="s">
        <v>620</v>
      </c>
      <c r="G651" s="6">
        <v>11</v>
      </c>
      <c r="H651" s="5" t="s">
        <v>38</v>
      </c>
      <c r="I651" s="6">
        <v>2</v>
      </c>
      <c r="J651" s="5" t="s">
        <v>97</v>
      </c>
      <c r="K651" s="6">
        <v>24642</v>
      </c>
      <c r="L651" s="5" t="s">
        <v>80</v>
      </c>
      <c r="M651" s="5" t="s">
        <v>66</v>
      </c>
      <c r="N651" s="5" t="s">
        <v>28</v>
      </c>
      <c r="O651" s="7">
        <v>45448</v>
      </c>
      <c r="P651" s="7">
        <v>45448.333333333336</v>
      </c>
      <c r="Q651" s="5" t="s">
        <v>31</v>
      </c>
      <c r="R651" s="5" t="s">
        <v>32</v>
      </c>
      <c r="S651" s="5" t="s">
        <v>53</v>
      </c>
      <c r="T651" s="6">
        <v>5</v>
      </c>
      <c r="U651" s="6">
        <v>12</v>
      </c>
      <c r="V651" s="5" t="s">
        <v>92</v>
      </c>
      <c r="W651" s="8"/>
      <c r="Y651">
        <f t="shared" si="13"/>
        <v>41.666666666666671</v>
      </c>
    </row>
    <row r="652" spans="1:25" ht="15.75" customHeight="1">
      <c r="A652" s="5" t="s">
        <v>1387</v>
      </c>
      <c r="B652" s="6">
        <v>16</v>
      </c>
      <c r="C652" s="5" t="s">
        <v>22</v>
      </c>
      <c r="D652" s="7">
        <v>45240</v>
      </c>
      <c r="E652" s="7"/>
      <c r="F652" s="6" t="s">
        <v>1005</v>
      </c>
      <c r="G652" s="6">
        <v>6</v>
      </c>
      <c r="H652" s="5" t="s">
        <v>46</v>
      </c>
      <c r="I652" s="6">
        <v>5</v>
      </c>
      <c r="J652" s="5" t="s">
        <v>25</v>
      </c>
      <c r="K652" s="6">
        <v>36262</v>
      </c>
      <c r="L652" s="5" t="s">
        <v>65</v>
      </c>
      <c r="M652" s="5" t="s">
        <v>27</v>
      </c>
      <c r="N652" s="5" t="s">
        <v>47</v>
      </c>
      <c r="O652" s="7">
        <v>45240</v>
      </c>
      <c r="P652" s="7">
        <v>45270.583333333336</v>
      </c>
      <c r="Q652" s="5" t="s">
        <v>48</v>
      </c>
      <c r="R652" s="5" t="s">
        <v>32</v>
      </c>
      <c r="S652" s="5" t="s">
        <v>33</v>
      </c>
      <c r="T652" s="6">
        <v>11</v>
      </c>
      <c r="U652" s="6">
        <v>12</v>
      </c>
      <c r="V652" s="5" t="s">
        <v>54</v>
      </c>
      <c r="W652" s="8"/>
      <c r="Y652">
        <f t="shared" si="13"/>
        <v>91.666666666666657</v>
      </c>
    </row>
    <row r="653" spans="1:25" ht="15.75" customHeight="1">
      <c r="A653" s="5" t="s">
        <v>1388</v>
      </c>
      <c r="B653" s="6">
        <v>72</v>
      </c>
      <c r="C653" s="5" t="s">
        <v>82</v>
      </c>
      <c r="D653" s="6" t="s">
        <v>997</v>
      </c>
      <c r="E653" s="6"/>
      <c r="F653" s="7">
        <v>45450</v>
      </c>
      <c r="G653" s="6">
        <v>15</v>
      </c>
      <c r="H653" s="5" t="s">
        <v>58</v>
      </c>
      <c r="I653" s="6">
        <v>3</v>
      </c>
      <c r="J653" s="5" t="s">
        <v>25</v>
      </c>
      <c r="K653" s="6">
        <v>35363</v>
      </c>
      <c r="L653" s="5" t="s">
        <v>40</v>
      </c>
      <c r="M653" s="5" t="s">
        <v>66</v>
      </c>
      <c r="N653" s="5" t="s">
        <v>28</v>
      </c>
      <c r="O653" s="6" t="s">
        <v>997</v>
      </c>
      <c r="P653" s="6" t="s">
        <v>1389</v>
      </c>
      <c r="Q653" s="5" t="s">
        <v>31</v>
      </c>
      <c r="R653" s="5" t="s">
        <v>32</v>
      </c>
      <c r="S653" s="5" t="s">
        <v>49</v>
      </c>
      <c r="T653" s="6">
        <v>8</v>
      </c>
      <c r="U653" s="6">
        <v>12</v>
      </c>
      <c r="V653" s="5" t="s">
        <v>54</v>
      </c>
      <c r="W653" s="8"/>
      <c r="Y653">
        <f t="shared" si="13"/>
        <v>66.666666666666657</v>
      </c>
    </row>
    <row r="654" spans="1:25" ht="15.75" customHeight="1">
      <c r="A654" s="5" t="s">
        <v>1390</v>
      </c>
      <c r="B654" s="6">
        <v>76</v>
      </c>
      <c r="C654" s="5" t="s">
        <v>62</v>
      </c>
      <c r="D654" s="6" t="s">
        <v>1005</v>
      </c>
      <c r="E654" s="6"/>
      <c r="F654" s="6" t="s">
        <v>650</v>
      </c>
      <c r="G654" s="6">
        <v>13</v>
      </c>
      <c r="H654" s="5" t="s">
        <v>73</v>
      </c>
      <c r="I654" s="6">
        <v>5</v>
      </c>
      <c r="J654" s="5" t="s">
        <v>25</v>
      </c>
      <c r="K654" s="6">
        <v>7107</v>
      </c>
      <c r="L654" s="5" t="s">
        <v>26</v>
      </c>
      <c r="M654" s="5" t="s">
        <v>27</v>
      </c>
      <c r="N654" s="5" t="s">
        <v>47</v>
      </c>
      <c r="O654" s="6" t="s">
        <v>371</v>
      </c>
      <c r="P654" s="6" t="s">
        <v>1391</v>
      </c>
      <c r="Q654" s="5" t="s">
        <v>86</v>
      </c>
      <c r="R654" s="5" t="s">
        <v>32</v>
      </c>
      <c r="S654" s="5" t="s">
        <v>49</v>
      </c>
      <c r="T654" s="6">
        <v>6</v>
      </c>
      <c r="U654" s="6">
        <v>10</v>
      </c>
      <c r="V654" s="5" t="s">
        <v>34</v>
      </c>
      <c r="W654" s="8"/>
      <c r="Y654">
        <f t="shared" si="13"/>
        <v>60</v>
      </c>
    </row>
    <row r="655" spans="1:25" ht="15.75" customHeight="1">
      <c r="A655" s="5" t="s">
        <v>1392</v>
      </c>
      <c r="B655" s="6">
        <v>24</v>
      </c>
      <c r="C655" s="5" t="s">
        <v>51</v>
      </c>
      <c r="D655" s="6" t="s">
        <v>147</v>
      </c>
      <c r="E655" s="6"/>
      <c r="F655" s="6" t="s">
        <v>341</v>
      </c>
      <c r="G655" s="6">
        <v>10</v>
      </c>
      <c r="H655" s="5" t="s">
        <v>58</v>
      </c>
      <c r="I655" s="6">
        <v>3</v>
      </c>
      <c r="J655" s="5" t="s">
        <v>52</v>
      </c>
      <c r="K655" s="6">
        <v>12928</v>
      </c>
      <c r="L655" s="5" t="s">
        <v>65</v>
      </c>
      <c r="M655" s="5" t="s">
        <v>66</v>
      </c>
      <c r="N655" s="5" t="s">
        <v>47</v>
      </c>
      <c r="O655" s="6" t="s">
        <v>147</v>
      </c>
      <c r="P655" s="6" t="s">
        <v>1393</v>
      </c>
      <c r="Q655" s="5" t="s">
        <v>69</v>
      </c>
      <c r="R655" s="5" t="s">
        <v>32</v>
      </c>
      <c r="S655" s="5" t="s">
        <v>53</v>
      </c>
      <c r="T655" s="6">
        <v>5</v>
      </c>
      <c r="U655" s="6">
        <v>12</v>
      </c>
      <c r="V655" s="5" t="s">
        <v>54</v>
      </c>
      <c r="W655" s="8"/>
      <c r="Y655">
        <f t="shared" si="13"/>
        <v>41.666666666666671</v>
      </c>
    </row>
    <row r="656" spans="1:25" ht="15.75" customHeight="1">
      <c r="A656" s="5" t="s">
        <v>1394</v>
      </c>
      <c r="B656" s="6">
        <v>28</v>
      </c>
      <c r="C656" s="5" t="s">
        <v>47</v>
      </c>
      <c r="D656" s="6" t="s">
        <v>1395</v>
      </c>
      <c r="E656" s="6"/>
      <c r="F656" s="6" t="s">
        <v>113</v>
      </c>
      <c r="G656" s="6">
        <v>3</v>
      </c>
      <c r="H656" s="5" t="s">
        <v>58</v>
      </c>
      <c r="I656" s="6">
        <v>2</v>
      </c>
      <c r="J656" s="5" t="s">
        <v>97</v>
      </c>
      <c r="K656" s="6">
        <v>24317</v>
      </c>
      <c r="L656" s="5" t="s">
        <v>26</v>
      </c>
      <c r="M656" s="5" t="s">
        <v>66</v>
      </c>
      <c r="N656" s="5" t="s">
        <v>47</v>
      </c>
      <c r="O656" s="6" t="s">
        <v>187</v>
      </c>
      <c r="P656" s="6" t="s">
        <v>1396</v>
      </c>
      <c r="Q656" s="5" t="s">
        <v>31</v>
      </c>
      <c r="R656" s="5" t="s">
        <v>32</v>
      </c>
      <c r="S656" s="5" t="s">
        <v>49</v>
      </c>
      <c r="T656" s="6">
        <v>10</v>
      </c>
      <c r="U656" s="6">
        <v>8</v>
      </c>
      <c r="V656" s="5" t="s">
        <v>34</v>
      </c>
      <c r="W656" s="8"/>
      <c r="Y656">
        <f t="shared" si="13"/>
        <v>125</v>
      </c>
    </row>
    <row r="657" spans="1:25" ht="15.75" customHeight="1">
      <c r="A657" s="5" t="s">
        <v>1397</v>
      </c>
      <c r="B657" s="6">
        <v>8</v>
      </c>
      <c r="C657" s="5" t="s">
        <v>51</v>
      </c>
      <c r="D657" s="6" t="s">
        <v>649</v>
      </c>
      <c r="E657" s="6"/>
      <c r="F657" s="7">
        <v>45210</v>
      </c>
      <c r="G657" s="6">
        <v>10</v>
      </c>
      <c r="H657" s="5" t="s">
        <v>24</v>
      </c>
      <c r="I657" s="6">
        <v>1</v>
      </c>
      <c r="J657" s="5" t="s">
        <v>25</v>
      </c>
      <c r="K657" s="6">
        <v>30017</v>
      </c>
      <c r="L657" s="5" t="s">
        <v>40</v>
      </c>
      <c r="M657" s="5" t="s">
        <v>66</v>
      </c>
      <c r="N657" s="5" t="s">
        <v>47</v>
      </c>
      <c r="O657" s="6" t="s">
        <v>183</v>
      </c>
      <c r="P657" s="6" t="s">
        <v>1398</v>
      </c>
      <c r="Q657" s="5" t="s">
        <v>31</v>
      </c>
      <c r="R657" s="5" t="s">
        <v>32</v>
      </c>
      <c r="S657" s="5" t="s">
        <v>53</v>
      </c>
      <c r="T657" s="6">
        <v>8</v>
      </c>
      <c r="U657" s="6">
        <v>10</v>
      </c>
      <c r="V657" s="5" t="s">
        <v>34</v>
      </c>
      <c r="W657" s="8"/>
      <c r="Y657">
        <f t="shared" si="13"/>
        <v>80</v>
      </c>
    </row>
    <row r="658" spans="1:25" ht="15.75" customHeight="1">
      <c r="A658" s="5" t="s">
        <v>1399</v>
      </c>
      <c r="B658" s="6">
        <v>36</v>
      </c>
      <c r="C658" s="5" t="s">
        <v>47</v>
      </c>
      <c r="D658" s="6" t="s">
        <v>96</v>
      </c>
      <c r="E658" s="6"/>
      <c r="F658" s="6" t="s">
        <v>201</v>
      </c>
      <c r="G658" s="6">
        <v>7</v>
      </c>
      <c r="H658" s="5" t="s">
        <v>58</v>
      </c>
      <c r="I658" s="6">
        <v>5</v>
      </c>
      <c r="J658" s="5" t="s">
        <v>89</v>
      </c>
      <c r="K658" s="6">
        <v>18528</v>
      </c>
      <c r="L658" s="5" t="s">
        <v>80</v>
      </c>
      <c r="M658" s="5" t="s">
        <v>66</v>
      </c>
      <c r="N658" s="5" t="s">
        <v>28</v>
      </c>
      <c r="O658" s="6" t="s">
        <v>271</v>
      </c>
      <c r="P658" s="6" t="s">
        <v>1400</v>
      </c>
      <c r="Q658" s="5" t="s">
        <v>31</v>
      </c>
      <c r="R658" s="5" t="s">
        <v>32</v>
      </c>
      <c r="S658" s="5" t="s">
        <v>53</v>
      </c>
      <c r="T658" s="6">
        <v>11</v>
      </c>
      <c r="U658" s="6">
        <v>10</v>
      </c>
      <c r="V658" s="5" t="s">
        <v>92</v>
      </c>
      <c r="W658" s="8"/>
      <c r="Y658">
        <f t="shared" si="13"/>
        <v>110.00000000000001</v>
      </c>
    </row>
    <row r="659" spans="1:25" ht="15.75" customHeight="1">
      <c r="A659" s="5" t="s">
        <v>1401</v>
      </c>
      <c r="B659" s="6">
        <v>8</v>
      </c>
      <c r="C659" s="5" t="s">
        <v>62</v>
      </c>
      <c r="D659" s="7">
        <v>45413</v>
      </c>
      <c r="E659" s="7"/>
      <c r="F659" s="7">
        <v>45505</v>
      </c>
      <c r="G659" s="6">
        <v>3</v>
      </c>
      <c r="H659" s="5" t="s">
        <v>38</v>
      </c>
      <c r="I659" s="6">
        <v>3</v>
      </c>
      <c r="J659" s="5" t="s">
        <v>89</v>
      </c>
      <c r="K659" s="6">
        <v>18313</v>
      </c>
      <c r="L659" s="5" t="s">
        <v>90</v>
      </c>
      <c r="M659" s="5" t="s">
        <v>27</v>
      </c>
      <c r="N659" s="5" t="s">
        <v>47</v>
      </c>
      <c r="O659" s="7">
        <v>45383</v>
      </c>
      <c r="P659" s="7">
        <v>45383.666666666664</v>
      </c>
      <c r="Q659" s="5" t="s">
        <v>86</v>
      </c>
      <c r="R659" s="5" t="s">
        <v>32</v>
      </c>
      <c r="S659" s="5" t="s">
        <v>49</v>
      </c>
      <c r="T659" s="6">
        <v>10</v>
      </c>
      <c r="U659" s="6">
        <v>8</v>
      </c>
      <c r="V659" s="5" t="s">
        <v>92</v>
      </c>
      <c r="W659" s="8"/>
      <c r="Y659">
        <f t="shared" si="13"/>
        <v>125</v>
      </c>
    </row>
    <row r="660" spans="1:25" ht="15.75" customHeight="1">
      <c r="A660" s="5" t="s">
        <v>1402</v>
      </c>
      <c r="B660" s="6">
        <v>58</v>
      </c>
      <c r="C660" s="5" t="s">
        <v>62</v>
      </c>
      <c r="D660" s="7">
        <v>44992</v>
      </c>
      <c r="E660" s="7"/>
      <c r="F660" s="7">
        <v>45084</v>
      </c>
      <c r="G660" s="6">
        <v>3</v>
      </c>
      <c r="H660" s="5" t="s">
        <v>58</v>
      </c>
      <c r="I660" s="6">
        <v>4</v>
      </c>
      <c r="J660" s="5" t="s">
        <v>52</v>
      </c>
      <c r="K660" s="6">
        <v>6559</v>
      </c>
      <c r="L660" s="5" t="s">
        <v>90</v>
      </c>
      <c r="M660" s="5" t="s">
        <v>66</v>
      </c>
      <c r="N660" s="5" t="s">
        <v>28</v>
      </c>
      <c r="O660" s="6" t="s">
        <v>252</v>
      </c>
      <c r="P660" s="6" t="s">
        <v>1403</v>
      </c>
      <c r="Q660" s="5" t="s">
        <v>31</v>
      </c>
      <c r="R660" s="5" t="s">
        <v>32</v>
      </c>
      <c r="S660" s="5" t="s">
        <v>49</v>
      </c>
      <c r="T660" s="6">
        <v>4</v>
      </c>
      <c r="U660" s="6">
        <v>8</v>
      </c>
      <c r="V660" s="5" t="s">
        <v>92</v>
      </c>
      <c r="W660" s="8"/>
      <c r="Y660">
        <f t="shared" si="13"/>
        <v>50</v>
      </c>
    </row>
    <row r="661" spans="1:25" ht="15.75" customHeight="1">
      <c r="A661" s="5" t="s">
        <v>1404</v>
      </c>
      <c r="B661" s="6">
        <v>60</v>
      </c>
      <c r="C661" s="5" t="s">
        <v>62</v>
      </c>
      <c r="D661" s="7">
        <v>45088</v>
      </c>
      <c r="E661" s="7"/>
      <c r="F661" s="7">
        <v>45180</v>
      </c>
      <c r="G661" s="6">
        <v>3</v>
      </c>
      <c r="H661" s="5" t="s">
        <v>38</v>
      </c>
      <c r="I661" s="6">
        <v>2</v>
      </c>
      <c r="J661" s="5" t="s">
        <v>52</v>
      </c>
      <c r="K661" s="6">
        <v>20167</v>
      </c>
      <c r="L661" s="5" t="s">
        <v>80</v>
      </c>
      <c r="M661" s="5" t="s">
        <v>66</v>
      </c>
      <c r="N661" s="5" t="s">
        <v>28</v>
      </c>
      <c r="O661" s="7">
        <v>44937</v>
      </c>
      <c r="P661" s="7">
        <v>44968.75</v>
      </c>
      <c r="Q661" s="5" t="s">
        <v>31</v>
      </c>
      <c r="R661" s="5" t="s">
        <v>32</v>
      </c>
      <c r="S661" s="5" t="s">
        <v>49</v>
      </c>
      <c r="T661" s="6">
        <v>4</v>
      </c>
      <c r="U661" s="6">
        <v>12</v>
      </c>
      <c r="V661" s="5" t="s">
        <v>92</v>
      </c>
      <c r="W661" s="8"/>
      <c r="Y661">
        <f t="shared" si="13"/>
        <v>33.333333333333329</v>
      </c>
    </row>
    <row r="662" spans="1:25" ht="15.75" customHeight="1">
      <c r="A662" s="5" t="s">
        <v>1405</v>
      </c>
      <c r="B662" s="6">
        <v>50</v>
      </c>
      <c r="C662" s="5" t="s">
        <v>22</v>
      </c>
      <c r="D662" s="6" t="s">
        <v>426</v>
      </c>
      <c r="E662" s="6"/>
      <c r="F662" s="6" t="s">
        <v>899</v>
      </c>
      <c r="G662" s="6">
        <v>14</v>
      </c>
      <c r="H662" s="5" t="s">
        <v>73</v>
      </c>
      <c r="I662" s="6">
        <v>1</v>
      </c>
      <c r="J662" s="5" t="s">
        <v>39</v>
      </c>
      <c r="K662" s="6">
        <v>20343</v>
      </c>
      <c r="L662" s="5" t="s">
        <v>65</v>
      </c>
      <c r="M662" s="5" t="s">
        <v>27</v>
      </c>
      <c r="N662" s="5" t="s">
        <v>28</v>
      </c>
      <c r="O662" s="7">
        <v>45200</v>
      </c>
      <c r="P662" s="7">
        <v>45200.25</v>
      </c>
      <c r="Q662" s="5" t="s">
        <v>69</v>
      </c>
      <c r="R662" s="5" t="s">
        <v>32</v>
      </c>
      <c r="S662" s="5" t="s">
        <v>33</v>
      </c>
      <c r="T662" s="6">
        <v>4</v>
      </c>
      <c r="U662" s="6">
        <v>8</v>
      </c>
      <c r="V662" s="5" t="s">
        <v>34</v>
      </c>
      <c r="W662" s="8"/>
      <c r="Y662">
        <f t="shared" si="13"/>
        <v>50</v>
      </c>
    </row>
    <row r="663" spans="1:25" ht="15.75" customHeight="1">
      <c r="A663" s="5" t="s">
        <v>1406</v>
      </c>
      <c r="B663" s="6">
        <v>28</v>
      </c>
      <c r="C663" s="5" t="s">
        <v>47</v>
      </c>
      <c r="D663" s="7">
        <v>45204</v>
      </c>
      <c r="E663" s="7"/>
      <c r="F663" s="6" t="s">
        <v>326</v>
      </c>
      <c r="G663" s="6">
        <v>12</v>
      </c>
      <c r="H663" s="5" t="s">
        <v>38</v>
      </c>
      <c r="I663" s="6">
        <v>2</v>
      </c>
      <c r="J663" s="5" t="s">
        <v>39</v>
      </c>
      <c r="K663" s="6">
        <v>43598</v>
      </c>
      <c r="L663" s="5" t="s">
        <v>65</v>
      </c>
      <c r="M663" s="5" t="s">
        <v>66</v>
      </c>
      <c r="N663" s="5" t="s">
        <v>47</v>
      </c>
      <c r="O663" s="7">
        <v>45112</v>
      </c>
      <c r="P663" s="7">
        <v>45112.666666666664</v>
      </c>
      <c r="Q663" s="5" t="s">
        <v>86</v>
      </c>
      <c r="R663" s="5" t="s">
        <v>32</v>
      </c>
      <c r="S663" s="5" t="s">
        <v>53</v>
      </c>
      <c r="T663" s="6">
        <v>10</v>
      </c>
      <c r="U663" s="6">
        <v>10</v>
      </c>
      <c r="V663" s="5" t="s">
        <v>54</v>
      </c>
      <c r="W663" s="8"/>
      <c r="Y663">
        <f t="shared" si="13"/>
        <v>100</v>
      </c>
    </row>
    <row r="664" spans="1:25" ht="15.75" customHeight="1">
      <c r="A664" s="5" t="s">
        <v>1407</v>
      </c>
      <c r="B664" s="6">
        <v>41</v>
      </c>
      <c r="C664" s="5" t="s">
        <v>22</v>
      </c>
      <c r="D664" s="7">
        <v>45148</v>
      </c>
      <c r="E664" s="7"/>
      <c r="F664" s="6" t="s">
        <v>126</v>
      </c>
      <c r="G664" s="6">
        <v>13</v>
      </c>
      <c r="H664" s="5" t="s">
        <v>73</v>
      </c>
      <c r="I664" s="6">
        <v>4</v>
      </c>
      <c r="J664" s="5" t="s">
        <v>39</v>
      </c>
      <c r="K664" s="6">
        <v>12523</v>
      </c>
      <c r="L664" s="5" t="s">
        <v>26</v>
      </c>
      <c r="M664" s="5" t="s">
        <v>66</v>
      </c>
      <c r="N664" s="5" t="s">
        <v>28</v>
      </c>
      <c r="O664" s="7">
        <v>45087</v>
      </c>
      <c r="P664" s="7">
        <v>45117.5</v>
      </c>
      <c r="Q664" s="5" t="s">
        <v>86</v>
      </c>
      <c r="R664" s="5" t="s">
        <v>32</v>
      </c>
      <c r="S664" s="5" t="s">
        <v>49</v>
      </c>
      <c r="T664" s="6">
        <v>4</v>
      </c>
      <c r="U664" s="6">
        <v>10</v>
      </c>
      <c r="V664" s="5" t="s">
        <v>92</v>
      </c>
      <c r="W664" s="8"/>
      <c r="Y664">
        <f t="shared" si="13"/>
        <v>40</v>
      </c>
    </row>
    <row r="665" spans="1:25" ht="15.75" customHeight="1">
      <c r="A665" s="5" t="s">
        <v>1408</v>
      </c>
      <c r="B665" s="6">
        <v>64</v>
      </c>
      <c r="C665" s="5" t="s">
        <v>22</v>
      </c>
      <c r="D665" s="6" t="s">
        <v>195</v>
      </c>
      <c r="E665" s="6"/>
      <c r="F665" s="6" t="s">
        <v>168</v>
      </c>
      <c r="G665" s="6">
        <v>10</v>
      </c>
      <c r="H665" s="5" t="s">
        <v>73</v>
      </c>
      <c r="I665" s="6">
        <v>1</v>
      </c>
      <c r="J665" s="5" t="s">
        <v>52</v>
      </c>
      <c r="K665" s="6">
        <v>33439</v>
      </c>
      <c r="L665" s="5" t="s">
        <v>80</v>
      </c>
      <c r="M665" s="5" t="s">
        <v>27</v>
      </c>
      <c r="N665" s="5" t="s">
        <v>28</v>
      </c>
      <c r="O665" s="6" t="s">
        <v>197</v>
      </c>
      <c r="P665" s="6" t="s">
        <v>1409</v>
      </c>
      <c r="Q665" s="5" t="s">
        <v>31</v>
      </c>
      <c r="R665" s="5" t="s">
        <v>32</v>
      </c>
      <c r="S665" s="5" t="s">
        <v>33</v>
      </c>
      <c r="T665" s="6">
        <v>9</v>
      </c>
      <c r="U665" s="6">
        <v>10</v>
      </c>
      <c r="V665" s="5" t="s">
        <v>92</v>
      </c>
      <c r="W665" s="8"/>
      <c r="Y665">
        <f t="shared" si="13"/>
        <v>90</v>
      </c>
    </row>
    <row r="666" spans="1:25" ht="15.75" customHeight="1">
      <c r="A666" s="5" t="s">
        <v>1410</v>
      </c>
      <c r="B666" s="6">
        <v>27</v>
      </c>
      <c r="C666" s="5" t="s">
        <v>36</v>
      </c>
      <c r="D666" s="6" t="s">
        <v>435</v>
      </c>
      <c r="E666" s="6"/>
      <c r="F666" s="7">
        <v>45202</v>
      </c>
      <c r="G666" s="6">
        <v>13</v>
      </c>
      <c r="H666" s="5" t="s">
        <v>38</v>
      </c>
      <c r="I666" s="6">
        <v>4</v>
      </c>
      <c r="J666" s="5" t="s">
        <v>52</v>
      </c>
      <c r="K666" s="6">
        <v>20524</v>
      </c>
      <c r="L666" s="5" t="s">
        <v>65</v>
      </c>
      <c r="M666" s="5" t="s">
        <v>66</v>
      </c>
      <c r="N666" s="5" t="s">
        <v>28</v>
      </c>
      <c r="O666" s="6" t="s">
        <v>786</v>
      </c>
      <c r="P666" s="6" t="s">
        <v>1411</v>
      </c>
      <c r="Q666" s="5" t="s">
        <v>86</v>
      </c>
      <c r="R666" s="5" t="s">
        <v>32</v>
      </c>
      <c r="S666" s="5" t="s">
        <v>49</v>
      </c>
      <c r="T666" s="6">
        <v>4</v>
      </c>
      <c r="U666" s="6">
        <v>12</v>
      </c>
      <c r="V666" s="5" t="s">
        <v>92</v>
      </c>
      <c r="W666" s="8"/>
      <c r="Y666">
        <f t="shared" si="13"/>
        <v>33.333333333333329</v>
      </c>
    </row>
    <row r="667" spans="1:25" ht="15.75" customHeight="1">
      <c r="A667" s="5" t="s">
        <v>1412</v>
      </c>
      <c r="B667" s="6">
        <v>63</v>
      </c>
      <c r="C667" s="5" t="s">
        <v>51</v>
      </c>
      <c r="D667" s="6" t="s">
        <v>1413</v>
      </c>
      <c r="E667" s="6"/>
      <c r="F667" s="7">
        <v>45241</v>
      </c>
      <c r="G667" s="6">
        <v>15</v>
      </c>
      <c r="H667" s="5" t="s">
        <v>46</v>
      </c>
      <c r="I667" s="6">
        <v>2</v>
      </c>
      <c r="J667" s="5" t="s">
        <v>52</v>
      </c>
      <c r="K667" s="6">
        <v>18285</v>
      </c>
      <c r="L667" s="5" t="s">
        <v>80</v>
      </c>
      <c r="M667" s="5" t="s">
        <v>27</v>
      </c>
      <c r="N667" s="5" t="s">
        <v>28</v>
      </c>
      <c r="O667" s="6" t="s">
        <v>204</v>
      </c>
      <c r="P667" s="6" t="s">
        <v>1414</v>
      </c>
      <c r="Q667" s="5" t="s">
        <v>43</v>
      </c>
      <c r="R667" s="5" t="s">
        <v>32</v>
      </c>
      <c r="S667" s="5" t="s">
        <v>53</v>
      </c>
      <c r="T667" s="6">
        <v>5</v>
      </c>
      <c r="U667" s="6">
        <v>12</v>
      </c>
      <c r="V667" s="5" t="s">
        <v>54</v>
      </c>
      <c r="W667" s="8"/>
      <c r="Y667">
        <f t="shared" si="13"/>
        <v>41.666666666666671</v>
      </c>
    </row>
    <row r="668" spans="1:25" ht="15.75" customHeight="1">
      <c r="A668" s="5" t="s">
        <v>1415</v>
      </c>
      <c r="B668" s="6">
        <v>17</v>
      </c>
      <c r="C668" s="5" t="s">
        <v>51</v>
      </c>
      <c r="D668" s="7">
        <v>45204</v>
      </c>
      <c r="E668" s="7"/>
      <c r="F668" s="6" t="s">
        <v>689</v>
      </c>
      <c r="G668" s="6">
        <v>3</v>
      </c>
      <c r="H668" s="5" t="s">
        <v>83</v>
      </c>
      <c r="I668" s="6">
        <v>3</v>
      </c>
      <c r="J668" s="5" t="s">
        <v>89</v>
      </c>
      <c r="K668" s="6">
        <v>15973</v>
      </c>
      <c r="L668" s="5" t="s">
        <v>40</v>
      </c>
      <c r="M668" s="5" t="s">
        <v>66</v>
      </c>
      <c r="N668" s="5" t="s">
        <v>28</v>
      </c>
      <c r="O668" s="7">
        <v>45112</v>
      </c>
      <c r="P668" s="7">
        <v>45143.625</v>
      </c>
      <c r="Q668" s="5" t="s">
        <v>86</v>
      </c>
      <c r="R668" s="5" t="s">
        <v>32</v>
      </c>
      <c r="S668" s="5" t="s">
        <v>33</v>
      </c>
      <c r="T668" s="6">
        <v>7</v>
      </c>
      <c r="U668" s="6">
        <v>8</v>
      </c>
      <c r="V668" s="5" t="s">
        <v>92</v>
      </c>
      <c r="W668" s="8"/>
      <c r="Y668">
        <f t="shared" si="13"/>
        <v>87.5</v>
      </c>
    </row>
    <row r="669" spans="1:25" ht="15.75" customHeight="1">
      <c r="A669" s="5" t="s">
        <v>1416</v>
      </c>
      <c r="B669" s="6">
        <v>73</v>
      </c>
      <c r="C669" s="5" t="s">
        <v>82</v>
      </c>
      <c r="D669" s="6" t="s">
        <v>421</v>
      </c>
      <c r="E669" s="6"/>
      <c r="F669" s="6" t="s">
        <v>668</v>
      </c>
      <c r="G669" s="6">
        <v>12</v>
      </c>
      <c r="H669" s="5" t="s">
        <v>58</v>
      </c>
      <c r="I669" s="6">
        <v>2</v>
      </c>
      <c r="J669" s="5" t="s">
        <v>52</v>
      </c>
      <c r="K669" s="6">
        <v>27694</v>
      </c>
      <c r="L669" s="5" t="s">
        <v>90</v>
      </c>
      <c r="M669" s="5" t="s">
        <v>27</v>
      </c>
      <c r="N669" s="5" t="s">
        <v>28</v>
      </c>
      <c r="O669" s="6" t="s">
        <v>421</v>
      </c>
      <c r="P669" s="6" t="s">
        <v>1417</v>
      </c>
      <c r="Q669" s="5" t="s">
        <v>86</v>
      </c>
      <c r="R669" s="5" t="s">
        <v>32</v>
      </c>
      <c r="S669" s="5" t="s">
        <v>53</v>
      </c>
      <c r="T669" s="6">
        <v>9</v>
      </c>
      <c r="U669" s="6">
        <v>12</v>
      </c>
      <c r="V669" s="5" t="s">
        <v>54</v>
      </c>
      <c r="W669" s="8"/>
      <c r="Y669">
        <f t="shared" si="13"/>
        <v>75</v>
      </c>
    </row>
    <row r="670" spans="1:25" ht="15.75" customHeight="1">
      <c r="A670" s="5" t="s">
        <v>1418</v>
      </c>
      <c r="B670" s="6">
        <v>33</v>
      </c>
      <c r="C670" s="5" t="s">
        <v>22</v>
      </c>
      <c r="D670" s="6" t="s">
        <v>601</v>
      </c>
      <c r="E670" s="6"/>
      <c r="F670" s="6" t="s">
        <v>903</v>
      </c>
      <c r="G670" s="6">
        <v>8</v>
      </c>
      <c r="H670" s="5" t="s">
        <v>24</v>
      </c>
      <c r="I670" s="6">
        <v>2</v>
      </c>
      <c r="J670" s="5" t="s">
        <v>89</v>
      </c>
      <c r="K670" s="6">
        <v>40774</v>
      </c>
      <c r="L670" s="5" t="s">
        <v>90</v>
      </c>
      <c r="M670" s="5" t="s">
        <v>66</v>
      </c>
      <c r="N670" s="5" t="s">
        <v>28</v>
      </c>
      <c r="O670" s="7">
        <v>45234</v>
      </c>
      <c r="P670" s="7">
        <v>45264.875</v>
      </c>
      <c r="Q670" s="5" t="s">
        <v>86</v>
      </c>
      <c r="R670" s="5" t="s">
        <v>32</v>
      </c>
      <c r="S670" s="5" t="s">
        <v>49</v>
      </c>
      <c r="T670" s="6">
        <v>11</v>
      </c>
      <c r="U670" s="6">
        <v>12</v>
      </c>
      <c r="V670" s="5" t="s">
        <v>34</v>
      </c>
      <c r="W670" s="8"/>
      <c r="Y670">
        <f t="shared" si="13"/>
        <v>91.666666666666657</v>
      </c>
    </row>
    <row r="671" spans="1:25" ht="15.75" customHeight="1">
      <c r="A671" s="5" t="s">
        <v>1419</v>
      </c>
      <c r="B671" s="6">
        <v>84</v>
      </c>
      <c r="C671" s="5" t="s">
        <v>47</v>
      </c>
      <c r="D671" s="6" t="s">
        <v>498</v>
      </c>
      <c r="E671" s="6"/>
      <c r="F671" s="6" t="s">
        <v>128</v>
      </c>
      <c r="G671" s="6">
        <v>1</v>
      </c>
      <c r="H671" s="5" t="s">
        <v>83</v>
      </c>
      <c r="I671" s="6">
        <v>2</v>
      </c>
      <c r="J671" s="5" t="s">
        <v>39</v>
      </c>
      <c r="K671" s="6">
        <v>9302</v>
      </c>
      <c r="L671" s="5" t="s">
        <v>90</v>
      </c>
      <c r="M671" s="5" t="s">
        <v>27</v>
      </c>
      <c r="N671" s="5" t="s">
        <v>28</v>
      </c>
      <c r="O671" s="7">
        <v>45139</v>
      </c>
      <c r="P671" s="7">
        <v>45139.083333333336</v>
      </c>
      <c r="Q671" s="5" t="s">
        <v>48</v>
      </c>
      <c r="R671" s="5" t="s">
        <v>32</v>
      </c>
      <c r="S671" s="5" t="s">
        <v>49</v>
      </c>
      <c r="T671" s="6">
        <v>7</v>
      </c>
      <c r="U671" s="6">
        <v>10</v>
      </c>
      <c r="V671" s="5" t="s">
        <v>34</v>
      </c>
      <c r="W671" s="8"/>
      <c r="Y671">
        <f t="shared" si="13"/>
        <v>70</v>
      </c>
    </row>
    <row r="672" spans="1:25" ht="15.75" customHeight="1">
      <c r="A672" s="5" t="s">
        <v>1420</v>
      </c>
      <c r="B672" s="6">
        <v>77</v>
      </c>
      <c r="C672" s="5" t="s">
        <v>36</v>
      </c>
      <c r="D672" s="6" t="s">
        <v>205</v>
      </c>
      <c r="E672" s="6"/>
      <c r="F672" s="6" t="s">
        <v>1421</v>
      </c>
      <c r="G672" s="6">
        <v>7</v>
      </c>
      <c r="H672" s="5" t="s">
        <v>58</v>
      </c>
      <c r="I672" s="6">
        <v>5</v>
      </c>
      <c r="J672" s="5" t="s">
        <v>39</v>
      </c>
      <c r="K672" s="6">
        <v>27391</v>
      </c>
      <c r="L672" s="5" t="s">
        <v>80</v>
      </c>
      <c r="M672" s="5" t="s">
        <v>66</v>
      </c>
      <c r="N672" s="5" t="s">
        <v>47</v>
      </c>
      <c r="O672" s="6" t="s">
        <v>139</v>
      </c>
      <c r="P672" s="6" t="s">
        <v>1422</v>
      </c>
      <c r="Q672" s="5" t="s">
        <v>48</v>
      </c>
      <c r="R672" s="5" t="s">
        <v>32</v>
      </c>
      <c r="S672" s="5" t="s">
        <v>49</v>
      </c>
      <c r="T672" s="6">
        <v>5</v>
      </c>
      <c r="U672" s="6">
        <v>10</v>
      </c>
      <c r="V672" s="5" t="s">
        <v>34</v>
      </c>
      <c r="W672" s="8"/>
      <c r="Y672">
        <f t="shared" si="13"/>
        <v>50</v>
      </c>
    </row>
    <row r="673" spans="1:25" ht="15.75" customHeight="1">
      <c r="A673" s="5" t="s">
        <v>1423</v>
      </c>
      <c r="B673" s="6">
        <v>29</v>
      </c>
      <c r="C673" s="5" t="s">
        <v>36</v>
      </c>
      <c r="D673" s="6" t="s">
        <v>1125</v>
      </c>
      <c r="E673" s="6"/>
      <c r="F673" s="7">
        <v>45296</v>
      </c>
      <c r="G673" s="6">
        <v>6</v>
      </c>
      <c r="H673" s="5" t="s">
        <v>58</v>
      </c>
      <c r="I673" s="6">
        <v>4</v>
      </c>
      <c r="J673" s="5" t="s">
        <v>39</v>
      </c>
      <c r="K673" s="6">
        <v>9611</v>
      </c>
      <c r="L673" s="5" t="s">
        <v>80</v>
      </c>
      <c r="M673" s="5" t="s">
        <v>27</v>
      </c>
      <c r="N673" s="5" t="s">
        <v>28</v>
      </c>
      <c r="O673" s="6" t="s">
        <v>358</v>
      </c>
      <c r="P673" s="6" t="s">
        <v>1424</v>
      </c>
      <c r="Q673" s="5" t="s">
        <v>48</v>
      </c>
      <c r="R673" s="5" t="s">
        <v>32</v>
      </c>
      <c r="S673" s="5" t="s">
        <v>33</v>
      </c>
      <c r="T673" s="6">
        <v>11</v>
      </c>
      <c r="U673" s="6">
        <v>8</v>
      </c>
      <c r="V673" s="5" t="s">
        <v>54</v>
      </c>
      <c r="W673" s="8"/>
      <c r="Y673">
        <f t="shared" si="13"/>
        <v>137.5</v>
      </c>
    </row>
    <row r="674" spans="1:25" ht="15.75" customHeight="1">
      <c r="A674" s="5" t="s">
        <v>1425</v>
      </c>
      <c r="B674" s="6">
        <v>13</v>
      </c>
      <c r="C674" s="5" t="s">
        <v>51</v>
      </c>
      <c r="D674" s="7">
        <v>45417</v>
      </c>
      <c r="E674" s="7"/>
      <c r="F674" s="6" t="s">
        <v>665</v>
      </c>
      <c r="G674" s="6">
        <v>11</v>
      </c>
      <c r="H674" s="5" t="s">
        <v>73</v>
      </c>
      <c r="I674" s="6">
        <v>4</v>
      </c>
      <c r="J674" s="5" t="s">
        <v>25</v>
      </c>
      <c r="K674" s="6">
        <v>14372</v>
      </c>
      <c r="L674" s="5" t="s">
        <v>26</v>
      </c>
      <c r="M674" s="5" t="s">
        <v>66</v>
      </c>
      <c r="N674" s="5" t="s">
        <v>47</v>
      </c>
      <c r="O674" s="6" t="s">
        <v>1029</v>
      </c>
      <c r="P674" s="6" t="s">
        <v>1426</v>
      </c>
      <c r="Q674" s="5" t="s">
        <v>86</v>
      </c>
      <c r="R674" s="5" t="s">
        <v>32</v>
      </c>
      <c r="S674" s="5" t="s">
        <v>33</v>
      </c>
      <c r="T674" s="6">
        <v>5</v>
      </c>
      <c r="U674" s="6">
        <v>10</v>
      </c>
      <c r="V674" s="5" t="s">
        <v>92</v>
      </c>
      <c r="W674" s="8"/>
      <c r="Y674">
        <f t="shared" si="13"/>
        <v>50</v>
      </c>
    </row>
    <row r="675" spans="1:25" ht="15.75" customHeight="1">
      <c r="A675" s="5" t="s">
        <v>1427</v>
      </c>
      <c r="B675" s="6">
        <v>46</v>
      </c>
      <c r="C675" s="5" t="s">
        <v>22</v>
      </c>
      <c r="D675" s="6" t="s">
        <v>318</v>
      </c>
      <c r="E675" s="6"/>
      <c r="F675" s="7">
        <v>45508</v>
      </c>
      <c r="G675" s="6">
        <v>12</v>
      </c>
      <c r="H675" s="5" t="s">
        <v>58</v>
      </c>
      <c r="I675" s="6">
        <v>4</v>
      </c>
      <c r="J675" s="5" t="s">
        <v>25</v>
      </c>
      <c r="K675" s="6">
        <v>29312</v>
      </c>
      <c r="L675" s="5" t="s">
        <v>90</v>
      </c>
      <c r="M675" s="5" t="s">
        <v>66</v>
      </c>
      <c r="N675" s="5" t="s">
        <v>28</v>
      </c>
      <c r="O675" s="6" t="s">
        <v>1295</v>
      </c>
      <c r="P675" s="6" t="s">
        <v>1428</v>
      </c>
      <c r="Q675" s="5" t="s">
        <v>43</v>
      </c>
      <c r="R675" s="5" t="s">
        <v>32</v>
      </c>
      <c r="S675" s="5" t="s">
        <v>33</v>
      </c>
      <c r="T675" s="6">
        <v>6</v>
      </c>
      <c r="U675" s="6">
        <v>12</v>
      </c>
      <c r="V675" s="5" t="s">
        <v>92</v>
      </c>
      <c r="W675" s="8"/>
      <c r="Y675">
        <f t="shared" si="13"/>
        <v>50</v>
      </c>
    </row>
    <row r="676" spans="1:25" ht="15.75" customHeight="1">
      <c r="A676" s="5" t="s">
        <v>1429</v>
      </c>
      <c r="B676" s="6">
        <v>35</v>
      </c>
      <c r="C676" s="5" t="s">
        <v>82</v>
      </c>
      <c r="D676" s="6" t="s">
        <v>135</v>
      </c>
      <c r="E676" s="6"/>
      <c r="F676" s="6" t="s">
        <v>158</v>
      </c>
      <c r="G676" s="6">
        <v>4</v>
      </c>
      <c r="H676" s="5" t="s">
        <v>24</v>
      </c>
      <c r="I676" s="6">
        <v>5</v>
      </c>
      <c r="J676" s="5" t="s">
        <v>97</v>
      </c>
      <c r="K676" s="6">
        <v>19080</v>
      </c>
      <c r="L676" s="5" t="s">
        <v>26</v>
      </c>
      <c r="M676" s="5" t="s">
        <v>66</v>
      </c>
      <c r="N676" s="5" t="s">
        <v>28</v>
      </c>
      <c r="O676" s="6" t="s">
        <v>135</v>
      </c>
      <c r="P676" s="6" t="s">
        <v>1430</v>
      </c>
      <c r="Q676" s="5" t="s">
        <v>86</v>
      </c>
      <c r="R676" s="5" t="s">
        <v>32</v>
      </c>
      <c r="S676" s="5" t="s">
        <v>33</v>
      </c>
      <c r="T676" s="6">
        <v>11</v>
      </c>
      <c r="U676" s="6">
        <v>8</v>
      </c>
      <c r="V676" s="5" t="s">
        <v>92</v>
      </c>
      <c r="W676" s="8"/>
      <c r="Y676">
        <f t="shared" si="13"/>
        <v>137.5</v>
      </c>
    </row>
    <row r="677" spans="1:25" ht="15.75" customHeight="1">
      <c r="A677" s="5" t="s">
        <v>1431</v>
      </c>
      <c r="B677" s="6">
        <v>6</v>
      </c>
      <c r="C677" s="5" t="s">
        <v>22</v>
      </c>
      <c r="D677" s="7">
        <v>45145</v>
      </c>
      <c r="E677" s="7"/>
      <c r="F677" s="6" t="s">
        <v>187</v>
      </c>
      <c r="G677" s="6">
        <v>8</v>
      </c>
      <c r="H677" s="5" t="s">
        <v>58</v>
      </c>
      <c r="I677" s="6">
        <v>3</v>
      </c>
      <c r="J677" s="5" t="s">
        <v>97</v>
      </c>
      <c r="K677" s="6">
        <v>20082</v>
      </c>
      <c r="L677" s="5" t="s">
        <v>90</v>
      </c>
      <c r="M677" s="5" t="s">
        <v>27</v>
      </c>
      <c r="N677" s="5" t="s">
        <v>28</v>
      </c>
      <c r="O677" s="7">
        <v>45114</v>
      </c>
      <c r="P677" s="7">
        <v>45145.375</v>
      </c>
      <c r="Q677" s="5" t="s">
        <v>31</v>
      </c>
      <c r="R677" s="5" t="s">
        <v>32</v>
      </c>
      <c r="S677" s="5" t="s">
        <v>49</v>
      </c>
      <c r="T677" s="6">
        <v>9</v>
      </c>
      <c r="U677" s="6">
        <v>8</v>
      </c>
      <c r="V677" s="5" t="s">
        <v>92</v>
      </c>
      <c r="W677" s="8"/>
      <c r="Y677">
        <f t="shared" si="13"/>
        <v>112.5</v>
      </c>
    </row>
    <row r="678" spans="1:25" ht="15.75" customHeight="1">
      <c r="A678" s="5" t="s">
        <v>1432</v>
      </c>
      <c r="B678" s="6">
        <v>82</v>
      </c>
      <c r="C678" s="5" t="s">
        <v>62</v>
      </c>
      <c r="D678" s="6" t="s">
        <v>786</v>
      </c>
      <c r="E678" s="6"/>
      <c r="F678" s="7">
        <v>45019</v>
      </c>
      <c r="G678" s="6">
        <v>10</v>
      </c>
      <c r="H678" s="5" t="s">
        <v>38</v>
      </c>
      <c r="I678" s="6">
        <v>2</v>
      </c>
      <c r="J678" s="5" t="s">
        <v>97</v>
      </c>
      <c r="K678" s="6">
        <v>47861</v>
      </c>
      <c r="L678" s="5" t="s">
        <v>26</v>
      </c>
      <c r="M678" s="5" t="s">
        <v>27</v>
      </c>
      <c r="N678" s="5" t="s">
        <v>28</v>
      </c>
      <c r="O678" s="6" t="s">
        <v>338</v>
      </c>
      <c r="P678" s="6" t="s">
        <v>1433</v>
      </c>
      <c r="Q678" s="5" t="s">
        <v>43</v>
      </c>
      <c r="R678" s="5" t="s">
        <v>32</v>
      </c>
      <c r="S678" s="5" t="s">
        <v>49</v>
      </c>
      <c r="T678" s="6">
        <v>7</v>
      </c>
      <c r="U678" s="6">
        <v>10</v>
      </c>
      <c r="V678" s="5" t="s">
        <v>92</v>
      </c>
      <c r="W678" s="8"/>
      <c r="Y678">
        <f t="shared" si="13"/>
        <v>70</v>
      </c>
    </row>
    <row r="679" spans="1:25" ht="15.75" customHeight="1">
      <c r="A679" s="5" t="s">
        <v>1434</v>
      </c>
      <c r="B679" s="6">
        <v>69</v>
      </c>
      <c r="C679" s="5" t="s">
        <v>22</v>
      </c>
      <c r="D679" s="6" t="s">
        <v>364</v>
      </c>
      <c r="E679" s="6"/>
      <c r="F679" s="6" t="s">
        <v>703</v>
      </c>
      <c r="G679" s="6">
        <v>5</v>
      </c>
      <c r="H679" s="5" t="s">
        <v>83</v>
      </c>
      <c r="I679" s="6">
        <v>3</v>
      </c>
      <c r="J679" s="5" t="s">
        <v>25</v>
      </c>
      <c r="K679" s="6">
        <v>35677</v>
      </c>
      <c r="L679" s="5" t="s">
        <v>26</v>
      </c>
      <c r="M679" s="5" t="s">
        <v>66</v>
      </c>
      <c r="N679" s="5" t="s">
        <v>28</v>
      </c>
      <c r="O679" s="6" t="s">
        <v>591</v>
      </c>
      <c r="P679" s="6" t="s">
        <v>363</v>
      </c>
      <c r="Q679" s="5" t="s">
        <v>48</v>
      </c>
      <c r="R679" s="5" t="s">
        <v>32</v>
      </c>
      <c r="S679" s="5" t="s">
        <v>49</v>
      </c>
      <c r="T679" s="6">
        <v>4</v>
      </c>
      <c r="U679" s="6">
        <v>10</v>
      </c>
      <c r="V679" s="5" t="s">
        <v>54</v>
      </c>
      <c r="W679" s="8"/>
      <c r="Y679">
        <f t="shared" si="13"/>
        <v>40</v>
      </c>
    </row>
    <row r="680" spans="1:25" ht="15.75" customHeight="1">
      <c r="A680" s="5" t="s">
        <v>1435</v>
      </c>
      <c r="B680" s="6">
        <v>47</v>
      </c>
      <c r="C680" s="5" t="s">
        <v>62</v>
      </c>
      <c r="D680" s="7">
        <v>45387</v>
      </c>
      <c r="E680" s="7"/>
      <c r="F680" s="6" t="s">
        <v>421</v>
      </c>
      <c r="G680" s="6">
        <v>13</v>
      </c>
      <c r="H680" s="5" t="s">
        <v>38</v>
      </c>
      <c r="I680" s="6">
        <v>5</v>
      </c>
      <c r="J680" s="5" t="s">
        <v>25</v>
      </c>
      <c r="K680" s="6">
        <v>25874</v>
      </c>
      <c r="L680" s="5" t="s">
        <v>40</v>
      </c>
      <c r="M680" s="5" t="s">
        <v>66</v>
      </c>
      <c r="N680" s="5" t="s">
        <v>28</v>
      </c>
      <c r="O680" s="6" t="s">
        <v>1029</v>
      </c>
      <c r="P680" s="7">
        <v>45296.083333333336</v>
      </c>
      <c r="Q680" s="5" t="s">
        <v>69</v>
      </c>
      <c r="R680" s="5" t="s">
        <v>44</v>
      </c>
      <c r="S680" s="5" t="s">
        <v>33</v>
      </c>
      <c r="T680" s="6">
        <v>5</v>
      </c>
      <c r="U680" s="6">
        <v>10</v>
      </c>
      <c r="V680" s="5" t="s">
        <v>34</v>
      </c>
      <c r="W680" s="8"/>
      <c r="Y680">
        <f t="shared" si="13"/>
        <v>50</v>
      </c>
    </row>
    <row r="681" spans="1:25" ht="15.75" customHeight="1">
      <c r="A681" s="5" t="s">
        <v>1436</v>
      </c>
      <c r="B681" s="6">
        <v>25</v>
      </c>
      <c r="C681" s="5" t="s">
        <v>62</v>
      </c>
      <c r="D681" s="6" t="s">
        <v>368</v>
      </c>
      <c r="E681" s="6"/>
      <c r="F681" s="7">
        <v>45174</v>
      </c>
      <c r="G681" s="6">
        <v>12</v>
      </c>
      <c r="H681" s="5" t="s">
        <v>24</v>
      </c>
      <c r="I681" s="6">
        <v>4</v>
      </c>
      <c r="J681" s="5" t="s">
        <v>97</v>
      </c>
      <c r="K681" s="6">
        <v>13378</v>
      </c>
      <c r="L681" s="5" t="s">
        <v>26</v>
      </c>
      <c r="M681" s="5" t="s">
        <v>27</v>
      </c>
      <c r="N681" s="5" t="s">
        <v>28</v>
      </c>
      <c r="O681" s="6" t="s">
        <v>570</v>
      </c>
      <c r="P681" s="6" t="s">
        <v>1437</v>
      </c>
      <c r="Q681" s="5" t="s">
        <v>43</v>
      </c>
      <c r="R681" s="5" t="s">
        <v>44</v>
      </c>
      <c r="S681" s="5" t="s">
        <v>33</v>
      </c>
      <c r="T681" s="6">
        <v>4</v>
      </c>
      <c r="U681" s="6">
        <v>8</v>
      </c>
      <c r="V681" s="5" t="s">
        <v>92</v>
      </c>
      <c r="W681" s="8"/>
      <c r="Y681">
        <f t="shared" si="13"/>
        <v>50</v>
      </c>
    </row>
    <row r="682" spans="1:25" ht="15.75" customHeight="1">
      <c r="A682" s="5" t="s">
        <v>1438</v>
      </c>
      <c r="B682" s="6">
        <v>66</v>
      </c>
      <c r="C682" s="5" t="s">
        <v>82</v>
      </c>
      <c r="D682" s="7">
        <v>45141</v>
      </c>
      <c r="E682" s="7"/>
      <c r="F682" s="6" t="s">
        <v>180</v>
      </c>
      <c r="G682" s="6">
        <v>13</v>
      </c>
      <c r="H682" s="5" t="s">
        <v>58</v>
      </c>
      <c r="I682" s="6">
        <v>2</v>
      </c>
      <c r="J682" s="5" t="s">
        <v>97</v>
      </c>
      <c r="K682" s="6">
        <v>6597</v>
      </c>
      <c r="L682" s="5" t="s">
        <v>80</v>
      </c>
      <c r="M682" s="5" t="s">
        <v>66</v>
      </c>
      <c r="N682" s="5" t="s">
        <v>28</v>
      </c>
      <c r="O682" s="7">
        <v>44988</v>
      </c>
      <c r="P682" s="7">
        <v>45019.75</v>
      </c>
      <c r="Q682" s="5" t="s">
        <v>48</v>
      </c>
      <c r="R682" s="5" t="s">
        <v>32</v>
      </c>
      <c r="S682" s="5" t="s">
        <v>49</v>
      </c>
      <c r="T682" s="6">
        <v>11</v>
      </c>
      <c r="U682" s="6">
        <v>10</v>
      </c>
      <c r="V682" s="5" t="s">
        <v>34</v>
      </c>
      <c r="W682" s="8"/>
      <c r="Y682">
        <f t="shared" si="13"/>
        <v>110.00000000000001</v>
      </c>
    </row>
    <row r="683" spans="1:25" ht="15.75" customHeight="1">
      <c r="A683" s="5" t="s">
        <v>1439</v>
      </c>
      <c r="B683" s="6">
        <v>10</v>
      </c>
      <c r="C683" s="5" t="s">
        <v>47</v>
      </c>
      <c r="D683" s="6" t="s">
        <v>281</v>
      </c>
      <c r="E683" s="6"/>
      <c r="F683" s="6" t="s">
        <v>554</v>
      </c>
      <c r="G683" s="6">
        <v>8</v>
      </c>
      <c r="H683" s="5" t="s">
        <v>24</v>
      </c>
      <c r="I683" s="6">
        <v>1</v>
      </c>
      <c r="J683" s="5" t="s">
        <v>52</v>
      </c>
      <c r="K683" s="6">
        <v>16600</v>
      </c>
      <c r="L683" s="5" t="s">
        <v>26</v>
      </c>
      <c r="M683" s="5" t="s">
        <v>27</v>
      </c>
      <c r="N683" s="5" t="s">
        <v>47</v>
      </c>
      <c r="O683" s="6" t="s">
        <v>297</v>
      </c>
      <c r="P683" s="6" t="s">
        <v>1440</v>
      </c>
      <c r="Q683" s="5" t="s">
        <v>43</v>
      </c>
      <c r="R683" s="5" t="s">
        <v>32</v>
      </c>
      <c r="S683" s="5" t="s">
        <v>49</v>
      </c>
      <c r="T683" s="6">
        <v>7</v>
      </c>
      <c r="U683" s="6">
        <v>12</v>
      </c>
      <c r="V683" s="5" t="s">
        <v>54</v>
      </c>
      <c r="W683" s="8"/>
      <c r="Y683">
        <f t="shared" si="13"/>
        <v>58.333333333333336</v>
      </c>
    </row>
    <row r="684" spans="1:25" ht="15.75" customHeight="1">
      <c r="A684" s="5" t="s">
        <v>1441</v>
      </c>
      <c r="B684" s="6">
        <v>56</v>
      </c>
      <c r="C684" s="5" t="s">
        <v>51</v>
      </c>
      <c r="D684" s="6" t="s">
        <v>333</v>
      </c>
      <c r="E684" s="6"/>
      <c r="F684" s="6" t="s">
        <v>294</v>
      </c>
      <c r="G684" s="6">
        <v>4</v>
      </c>
      <c r="H684" s="5" t="s">
        <v>73</v>
      </c>
      <c r="I684" s="6">
        <v>1</v>
      </c>
      <c r="J684" s="5" t="s">
        <v>97</v>
      </c>
      <c r="K684" s="6">
        <v>8747</v>
      </c>
      <c r="L684" s="5" t="s">
        <v>90</v>
      </c>
      <c r="M684" s="5" t="s">
        <v>66</v>
      </c>
      <c r="N684" s="5" t="s">
        <v>28</v>
      </c>
      <c r="O684" s="6" t="s">
        <v>333</v>
      </c>
      <c r="P684" s="6" t="s">
        <v>1442</v>
      </c>
      <c r="Q684" s="5" t="s">
        <v>43</v>
      </c>
      <c r="R684" s="5" t="s">
        <v>32</v>
      </c>
      <c r="S684" s="5" t="s">
        <v>33</v>
      </c>
      <c r="T684" s="6">
        <v>10</v>
      </c>
      <c r="U684" s="6">
        <v>8</v>
      </c>
      <c r="V684" s="5" t="s">
        <v>54</v>
      </c>
      <c r="W684" s="8"/>
      <c r="Y684">
        <f t="shared" si="13"/>
        <v>125</v>
      </c>
    </row>
    <row r="685" spans="1:25" ht="15.75" customHeight="1">
      <c r="A685" s="5" t="s">
        <v>1443</v>
      </c>
      <c r="B685" s="6">
        <v>30</v>
      </c>
      <c r="C685" s="5" t="s">
        <v>22</v>
      </c>
      <c r="D685" s="6" t="s">
        <v>728</v>
      </c>
      <c r="E685" s="6"/>
      <c r="F685" s="6" t="s">
        <v>242</v>
      </c>
      <c r="G685" s="6">
        <v>9</v>
      </c>
      <c r="H685" s="5" t="s">
        <v>38</v>
      </c>
      <c r="I685" s="6">
        <v>3</v>
      </c>
      <c r="J685" s="5" t="s">
        <v>52</v>
      </c>
      <c r="K685" s="6">
        <v>18879</v>
      </c>
      <c r="L685" s="5" t="s">
        <v>26</v>
      </c>
      <c r="M685" s="5" t="s">
        <v>27</v>
      </c>
      <c r="N685" s="5" t="s">
        <v>28</v>
      </c>
      <c r="O685" s="6" t="s">
        <v>728</v>
      </c>
      <c r="P685" s="6" t="s">
        <v>1444</v>
      </c>
      <c r="Q685" s="5" t="s">
        <v>86</v>
      </c>
      <c r="R685" s="5" t="s">
        <v>32</v>
      </c>
      <c r="S685" s="5" t="s">
        <v>53</v>
      </c>
      <c r="T685" s="6">
        <v>9</v>
      </c>
      <c r="U685" s="6">
        <v>10</v>
      </c>
      <c r="V685" s="5" t="s">
        <v>92</v>
      </c>
      <c r="W685" s="8"/>
      <c r="Y685">
        <f t="shared" si="13"/>
        <v>90</v>
      </c>
    </row>
    <row r="686" spans="1:25" ht="15.75" customHeight="1">
      <c r="A686" s="5" t="s">
        <v>1445</v>
      </c>
      <c r="B686" s="6">
        <v>5</v>
      </c>
      <c r="C686" s="5" t="s">
        <v>62</v>
      </c>
      <c r="D686" s="6" t="s">
        <v>1025</v>
      </c>
      <c r="E686" s="6"/>
      <c r="F686" s="6" t="s">
        <v>660</v>
      </c>
      <c r="G686" s="6">
        <v>4</v>
      </c>
      <c r="H686" s="5" t="s">
        <v>38</v>
      </c>
      <c r="I686" s="6">
        <v>4</v>
      </c>
      <c r="J686" s="5" t="s">
        <v>89</v>
      </c>
      <c r="K686" s="6">
        <v>18017</v>
      </c>
      <c r="L686" s="5" t="s">
        <v>65</v>
      </c>
      <c r="M686" s="5" t="s">
        <v>66</v>
      </c>
      <c r="N686" s="5" t="s">
        <v>47</v>
      </c>
      <c r="O686" s="6" t="s">
        <v>786</v>
      </c>
      <c r="P686" s="6" t="s">
        <v>1446</v>
      </c>
      <c r="Q686" s="5" t="s">
        <v>31</v>
      </c>
      <c r="R686" s="5" t="s">
        <v>32</v>
      </c>
      <c r="S686" s="5" t="s">
        <v>49</v>
      </c>
      <c r="T686" s="6">
        <v>8</v>
      </c>
      <c r="U686" s="6">
        <v>12</v>
      </c>
      <c r="V686" s="5" t="s">
        <v>54</v>
      </c>
      <c r="W686" s="8"/>
      <c r="Y686">
        <f t="shared" si="13"/>
        <v>66.666666666666657</v>
      </c>
    </row>
    <row r="687" spans="1:25" ht="15.75" customHeight="1">
      <c r="A687" s="5" t="s">
        <v>1447</v>
      </c>
      <c r="B687" s="6">
        <v>33</v>
      </c>
      <c r="C687" s="5" t="s">
        <v>22</v>
      </c>
      <c r="D687" s="7">
        <v>45052</v>
      </c>
      <c r="E687" s="7"/>
      <c r="F687" s="7">
        <v>45205</v>
      </c>
      <c r="G687" s="6">
        <v>5</v>
      </c>
      <c r="H687" s="5" t="s">
        <v>46</v>
      </c>
      <c r="I687" s="6">
        <v>1</v>
      </c>
      <c r="J687" s="5" t="s">
        <v>25</v>
      </c>
      <c r="K687" s="6">
        <v>29815</v>
      </c>
      <c r="L687" s="5" t="s">
        <v>90</v>
      </c>
      <c r="M687" s="5" t="s">
        <v>66</v>
      </c>
      <c r="N687" s="5" t="s">
        <v>28</v>
      </c>
      <c r="O687" s="7">
        <v>44963</v>
      </c>
      <c r="P687" s="7">
        <v>44963.333333333336</v>
      </c>
      <c r="Q687" s="5" t="s">
        <v>69</v>
      </c>
      <c r="R687" s="5" t="s">
        <v>44</v>
      </c>
      <c r="S687" s="5" t="s">
        <v>49</v>
      </c>
      <c r="T687" s="6">
        <v>10</v>
      </c>
      <c r="U687" s="6">
        <v>12</v>
      </c>
      <c r="V687" s="5" t="s">
        <v>34</v>
      </c>
      <c r="W687" s="8"/>
      <c r="Y687">
        <f t="shared" si="13"/>
        <v>83.333333333333343</v>
      </c>
    </row>
    <row r="688" spans="1:25" ht="15.75" customHeight="1">
      <c r="A688" s="5" t="s">
        <v>1448</v>
      </c>
      <c r="B688" s="6">
        <v>65</v>
      </c>
      <c r="C688" s="5" t="s">
        <v>47</v>
      </c>
      <c r="D688" s="7">
        <v>44963</v>
      </c>
      <c r="E688" s="7"/>
      <c r="F688" s="6" t="s">
        <v>253</v>
      </c>
      <c r="G688" s="6">
        <v>13</v>
      </c>
      <c r="H688" s="5" t="s">
        <v>58</v>
      </c>
      <c r="I688" s="6">
        <v>3</v>
      </c>
      <c r="J688" s="5" t="s">
        <v>97</v>
      </c>
      <c r="K688" s="6">
        <v>23964</v>
      </c>
      <c r="L688" s="5" t="s">
        <v>65</v>
      </c>
      <c r="M688" s="5" t="s">
        <v>27</v>
      </c>
      <c r="N688" s="5" t="s">
        <v>47</v>
      </c>
      <c r="O688" s="6" t="s">
        <v>1021</v>
      </c>
      <c r="P688" s="6" t="s">
        <v>1449</v>
      </c>
      <c r="Q688" s="5" t="s">
        <v>48</v>
      </c>
      <c r="R688" s="5" t="s">
        <v>32</v>
      </c>
      <c r="S688" s="5" t="s">
        <v>49</v>
      </c>
      <c r="T688" s="6">
        <v>11</v>
      </c>
      <c r="U688" s="6">
        <v>10</v>
      </c>
      <c r="V688" s="5" t="s">
        <v>92</v>
      </c>
      <c r="W688" s="8"/>
      <c r="Y688">
        <f t="shared" si="13"/>
        <v>110.00000000000001</v>
      </c>
    </row>
    <row r="689" spans="1:25" ht="15.75" customHeight="1">
      <c r="A689" s="5" t="s">
        <v>1450</v>
      </c>
      <c r="B689" s="6">
        <v>18</v>
      </c>
      <c r="C689" s="5" t="s">
        <v>51</v>
      </c>
      <c r="D689" s="7">
        <v>45149</v>
      </c>
      <c r="E689" s="7"/>
      <c r="F689" s="6" t="s">
        <v>432</v>
      </c>
      <c r="G689" s="6">
        <v>13</v>
      </c>
      <c r="H689" s="5" t="s">
        <v>73</v>
      </c>
      <c r="I689" s="6">
        <v>5</v>
      </c>
      <c r="J689" s="5" t="s">
        <v>25</v>
      </c>
      <c r="K689" s="6">
        <v>33812</v>
      </c>
      <c r="L689" s="5" t="s">
        <v>90</v>
      </c>
      <c r="M689" s="5" t="s">
        <v>27</v>
      </c>
      <c r="N689" s="5" t="s">
        <v>28</v>
      </c>
      <c r="O689" s="7">
        <v>44996</v>
      </c>
      <c r="P689" s="7">
        <v>45027.333333333336</v>
      </c>
      <c r="Q689" s="5" t="s">
        <v>43</v>
      </c>
      <c r="R689" s="5" t="s">
        <v>32</v>
      </c>
      <c r="S689" s="5" t="s">
        <v>33</v>
      </c>
      <c r="T689" s="6">
        <v>11</v>
      </c>
      <c r="U689" s="6">
        <v>12</v>
      </c>
      <c r="V689" s="5" t="s">
        <v>92</v>
      </c>
      <c r="W689" s="8"/>
      <c r="Y689">
        <f t="shared" si="13"/>
        <v>91.666666666666657</v>
      </c>
    </row>
    <row r="690" spans="1:25" ht="15.75" customHeight="1">
      <c r="A690" s="5" t="s">
        <v>1451</v>
      </c>
      <c r="B690" s="6">
        <v>49</v>
      </c>
      <c r="C690" s="5" t="s">
        <v>47</v>
      </c>
      <c r="D690" s="6" t="s">
        <v>77</v>
      </c>
      <c r="E690" s="6"/>
      <c r="F690" s="7">
        <v>45081</v>
      </c>
      <c r="G690" s="6">
        <v>8</v>
      </c>
      <c r="H690" s="5" t="s">
        <v>38</v>
      </c>
      <c r="I690" s="6">
        <v>3</v>
      </c>
      <c r="J690" s="5" t="s">
        <v>25</v>
      </c>
      <c r="K690" s="6">
        <v>45200</v>
      </c>
      <c r="L690" s="5" t="s">
        <v>80</v>
      </c>
      <c r="M690" s="5" t="s">
        <v>27</v>
      </c>
      <c r="N690" s="5" t="s">
        <v>28</v>
      </c>
      <c r="O690" s="6" t="s">
        <v>443</v>
      </c>
      <c r="P690" s="6" t="s">
        <v>1452</v>
      </c>
      <c r="Q690" s="5" t="s">
        <v>69</v>
      </c>
      <c r="R690" s="5" t="s">
        <v>32</v>
      </c>
      <c r="S690" s="5" t="s">
        <v>49</v>
      </c>
      <c r="T690" s="6">
        <v>10</v>
      </c>
      <c r="U690" s="6">
        <v>8</v>
      </c>
      <c r="V690" s="5" t="s">
        <v>34</v>
      </c>
      <c r="W690" s="8"/>
      <c r="Y690">
        <f t="shared" si="13"/>
        <v>125</v>
      </c>
    </row>
    <row r="691" spans="1:25" ht="15.75" customHeight="1">
      <c r="A691" s="5" t="s">
        <v>1453</v>
      </c>
      <c r="B691" s="6">
        <v>11</v>
      </c>
      <c r="C691" s="5" t="s">
        <v>51</v>
      </c>
      <c r="D691" s="7">
        <v>45269</v>
      </c>
      <c r="E691" s="7"/>
      <c r="F691" s="6" t="s">
        <v>312</v>
      </c>
      <c r="G691" s="6">
        <v>15</v>
      </c>
      <c r="H691" s="5" t="s">
        <v>38</v>
      </c>
      <c r="I691" s="6">
        <v>3</v>
      </c>
      <c r="J691" s="5" t="s">
        <v>25</v>
      </c>
      <c r="K691" s="6">
        <v>29714</v>
      </c>
      <c r="L691" s="5" t="s">
        <v>80</v>
      </c>
      <c r="M691" s="5" t="s">
        <v>66</v>
      </c>
      <c r="N691" s="5" t="s">
        <v>28</v>
      </c>
      <c r="O691" s="7">
        <v>45178</v>
      </c>
      <c r="P691" s="7">
        <v>45208.625</v>
      </c>
      <c r="Q691" s="5" t="s">
        <v>43</v>
      </c>
      <c r="R691" s="5" t="s">
        <v>32</v>
      </c>
      <c r="S691" s="5" t="s">
        <v>49</v>
      </c>
      <c r="T691" s="6">
        <v>8</v>
      </c>
      <c r="U691" s="6">
        <v>8</v>
      </c>
      <c r="V691" s="5" t="s">
        <v>92</v>
      </c>
      <c r="W691" s="8"/>
      <c r="Y691">
        <f t="shared" si="13"/>
        <v>100</v>
      </c>
    </row>
    <row r="692" spans="1:25" ht="15.75" customHeight="1">
      <c r="A692" s="5" t="s">
        <v>1454</v>
      </c>
      <c r="B692" s="6">
        <v>85</v>
      </c>
      <c r="C692" s="5" t="s">
        <v>36</v>
      </c>
      <c r="D692" s="7">
        <v>44962</v>
      </c>
      <c r="E692" s="7"/>
      <c r="F692" s="6" t="s">
        <v>525</v>
      </c>
      <c r="G692" s="6">
        <v>14</v>
      </c>
      <c r="H692" s="5" t="s">
        <v>73</v>
      </c>
      <c r="I692" s="6">
        <v>3</v>
      </c>
      <c r="J692" s="5" t="s">
        <v>89</v>
      </c>
      <c r="K692" s="6">
        <v>23890</v>
      </c>
      <c r="L692" s="5" t="s">
        <v>80</v>
      </c>
      <c r="M692" s="5" t="s">
        <v>66</v>
      </c>
      <c r="N692" s="5" t="s">
        <v>47</v>
      </c>
      <c r="O692" s="6" t="s">
        <v>342</v>
      </c>
      <c r="P692" s="6" t="s">
        <v>1455</v>
      </c>
      <c r="Q692" s="5" t="s">
        <v>31</v>
      </c>
      <c r="R692" s="5" t="s">
        <v>44</v>
      </c>
      <c r="S692" s="5" t="s">
        <v>49</v>
      </c>
      <c r="T692" s="6">
        <v>11</v>
      </c>
      <c r="U692" s="6">
        <v>12</v>
      </c>
      <c r="V692" s="5" t="s">
        <v>92</v>
      </c>
      <c r="W692" s="8"/>
      <c r="Y692">
        <f t="shared" si="13"/>
        <v>91.666666666666657</v>
      </c>
    </row>
    <row r="693" spans="1:25" ht="15.75" customHeight="1">
      <c r="A693" s="5" t="s">
        <v>1456</v>
      </c>
      <c r="B693" s="6">
        <v>26</v>
      </c>
      <c r="C693" s="5" t="s">
        <v>51</v>
      </c>
      <c r="D693" s="7">
        <v>45325</v>
      </c>
      <c r="E693" s="7"/>
      <c r="F693" s="7">
        <v>45446</v>
      </c>
      <c r="G693" s="6">
        <v>4</v>
      </c>
      <c r="H693" s="5" t="s">
        <v>24</v>
      </c>
      <c r="I693" s="6">
        <v>2</v>
      </c>
      <c r="J693" s="5" t="s">
        <v>39</v>
      </c>
      <c r="K693" s="6">
        <v>9725</v>
      </c>
      <c r="L693" s="5" t="s">
        <v>65</v>
      </c>
      <c r="M693" s="5" t="s">
        <v>66</v>
      </c>
      <c r="N693" s="5" t="s">
        <v>47</v>
      </c>
      <c r="O693" s="6" t="s">
        <v>321</v>
      </c>
      <c r="P693" s="6" t="s">
        <v>1457</v>
      </c>
      <c r="Q693" s="5" t="s">
        <v>69</v>
      </c>
      <c r="R693" s="5" t="s">
        <v>32</v>
      </c>
      <c r="S693" s="5" t="s">
        <v>49</v>
      </c>
      <c r="T693" s="6">
        <v>11</v>
      </c>
      <c r="U693" s="6">
        <v>8</v>
      </c>
      <c r="V693" s="5" t="s">
        <v>34</v>
      </c>
      <c r="W693" s="8"/>
      <c r="Y693">
        <f t="shared" si="13"/>
        <v>137.5</v>
      </c>
    </row>
    <row r="694" spans="1:25" ht="15.75" customHeight="1">
      <c r="A694" s="5" t="s">
        <v>1458</v>
      </c>
      <c r="B694" s="6">
        <v>63</v>
      </c>
      <c r="C694" s="5" t="s">
        <v>82</v>
      </c>
      <c r="D694" s="6" t="s">
        <v>271</v>
      </c>
      <c r="E694" s="6"/>
      <c r="F694" s="6" t="s">
        <v>121</v>
      </c>
      <c r="G694" s="6">
        <v>6</v>
      </c>
      <c r="H694" s="5" t="s">
        <v>24</v>
      </c>
      <c r="I694" s="6">
        <v>3</v>
      </c>
      <c r="J694" s="5" t="s">
        <v>97</v>
      </c>
      <c r="K694" s="6">
        <v>48205</v>
      </c>
      <c r="L694" s="5" t="s">
        <v>40</v>
      </c>
      <c r="M694" s="5" t="s">
        <v>27</v>
      </c>
      <c r="N694" s="5" t="s">
        <v>47</v>
      </c>
      <c r="O694" s="6" t="s">
        <v>486</v>
      </c>
      <c r="P694" s="6" t="s">
        <v>1459</v>
      </c>
      <c r="Q694" s="5" t="s">
        <v>48</v>
      </c>
      <c r="R694" s="5" t="s">
        <v>32</v>
      </c>
      <c r="S694" s="5" t="s">
        <v>49</v>
      </c>
      <c r="T694" s="6">
        <v>5</v>
      </c>
      <c r="U694" s="6">
        <v>10</v>
      </c>
      <c r="V694" s="5" t="s">
        <v>92</v>
      </c>
      <c r="W694" s="8"/>
      <c r="Y694">
        <f t="shared" si="13"/>
        <v>50</v>
      </c>
    </row>
    <row r="695" spans="1:25" ht="15.75" customHeight="1">
      <c r="A695" s="5" t="s">
        <v>1460</v>
      </c>
      <c r="B695" s="6">
        <v>89</v>
      </c>
      <c r="C695" s="5" t="s">
        <v>47</v>
      </c>
      <c r="D695" s="6" t="s">
        <v>329</v>
      </c>
      <c r="E695" s="6"/>
      <c r="F695" s="6" t="s">
        <v>942</v>
      </c>
      <c r="G695" s="6">
        <v>11</v>
      </c>
      <c r="H695" s="5" t="s">
        <v>58</v>
      </c>
      <c r="I695" s="6">
        <v>3</v>
      </c>
      <c r="J695" s="5" t="s">
        <v>39</v>
      </c>
      <c r="K695" s="6">
        <v>25684</v>
      </c>
      <c r="L695" s="5" t="s">
        <v>90</v>
      </c>
      <c r="M695" s="5" t="s">
        <v>66</v>
      </c>
      <c r="N695" s="5" t="s">
        <v>28</v>
      </c>
      <c r="O695" s="6" t="s">
        <v>1008</v>
      </c>
      <c r="P695" s="6" t="s">
        <v>329</v>
      </c>
      <c r="Q695" s="5" t="s">
        <v>43</v>
      </c>
      <c r="R695" s="5" t="s">
        <v>32</v>
      </c>
      <c r="S695" s="5" t="s">
        <v>53</v>
      </c>
      <c r="T695" s="6">
        <v>6</v>
      </c>
      <c r="U695" s="6">
        <v>12</v>
      </c>
      <c r="V695" s="5" t="s">
        <v>92</v>
      </c>
      <c r="W695" s="8"/>
      <c r="Y695">
        <f t="shared" si="13"/>
        <v>50</v>
      </c>
    </row>
    <row r="696" spans="1:25" ht="15.75" customHeight="1">
      <c r="A696" s="5" t="s">
        <v>1461</v>
      </c>
      <c r="B696" s="6">
        <v>86</v>
      </c>
      <c r="C696" s="5" t="s">
        <v>62</v>
      </c>
      <c r="D696" s="6" t="s">
        <v>152</v>
      </c>
      <c r="E696" s="6"/>
      <c r="F696" s="7">
        <v>45384</v>
      </c>
      <c r="G696" s="6">
        <v>10</v>
      </c>
      <c r="H696" s="5" t="s">
        <v>46</v>
      </c>
      <c r="I696" s="6">
        <v>2</v>
      </c>
      <c r="J696" s="5" t="s">
        <v>39</v>
      </c>
      <c r="K696" s="6">
        <v>31325</v>
      </c>
      <c r="L696" s="5" t="s">
        <v>80</v>
      </c>
      <c r="M696" s="5" t="s">
        <v>66</v>
      </c>
      <c r="N696" s="5" t="s">
        <v>28</v>
      </c>
      <c r="O696" s="6" t="s">
        <v>355</v>
      </c>
      <c r="P696" s="6" t="s">
        <v>1137</v>
      </c>
      <c r="Q696" s="5" t="s">
        <v>31</v>
      </c>
      <c r="R696" s="5" t="s">
        <v>32</v>
      </c>
      <c r="S696" s="5" t="s">
        <v>53</v>
      </c>
      <c r="T696" s="6">
        <v>11</v>
      </c>
      <c r="U696" s="6">
        <v>8</v>
      </c>
      <c r="V696" s="5" t="s">
        <v>34</v>
      </c>
      <c r="W696" s="8"/>
      <c r="Y696">
        <f t="shared" si="13"/>
        <v>137.5</v>
      </c>
    </row>
    <row r="697" spans="1:25" ht="15.75" customHeight="1">
      <c r="A697" s="5" t="s">
        <v>1462</v>
      </c>
      <c r="B697" s="6">
        <v>59</v>
      </c>
      <c r="C697" s="5" t="s">
        <v>36</v>
      </c>
      <c r="D697" s="7">
        <v>45447</v>
      </c>
      <c r="E697" s="7"/>
      <c r="F697" s="6" t="s">
        <v>221</v>
      </c>
      <c r="G697" s="6">
        <v>8</v>
      </c>
      <c r="H697" s="5" t="s">
        <v>38</v>
      </c>
      <c r="I697" s="6">
        <v>2</v>
      </c>
      <c r="J697" s="5" t="s">
        <v>39</v>
      </c>
      <c r="K697" s="6">
        <v>37542</v>
      </c>
      <c r="L697" s="5" t="s">
        <v>90</v>
      </c>
      <c r="M697" s="5" t="s">
        <v>66</v>
      </c>
      <c r="N697" s="5" t="s">
        <v>28</v>
      </c>
      <c r="O697" s="7">
        <v>45386</v>
      </c>
      <c r="P697" s="7">
        <v>45386.375</v>
      </c>
      <c r="Q697" s="5" t="s">
        <v>69</v>
      </c>
      <c r="R697" s="5" t="s">
        <v>32</v>
      </c>
      <c r="S697" s="5" t="s">
        <v>49</v>
      </c>
      <c r="T697" s="6">
        <v>4</v>
      </c>
      <c r="U697" s="6">
        <v>10</v>
      </c>
      <c r="V697" s="5" t="s">
        <v>54</v>
      </c>
      <c r="W697" s="8"/>
      <c r="Y697">
        <f t="shared" si="13"/>
        <v>40</v>
      </c>
    </row>
    <row r="698" spans="1:25" ht="15.75" customHeight="1">
      <c r="A698" s="5" t="s">
        <v>1463</v>
      </c>
      <c r="B698" s="6">
        <v>27</v>
      </c>
      <c r="C698" s="5" t="s">
        <v>82</v>
      </c>
      <c r="D698" s="6" t="s">
        <v>598</v>
      </c>
      <c r="E698" s="6"/>
      <c r="F698" s="7">
        <v>45447</v>
      </c>
      <c r="G698" s="6">
        <v>8</v>
      </c>
      <c r="H698" s="5" t="s">
        <v>46</v>
      </c>
      <c r="I698" s="6">
        <v>5</v>
      </c>
      <c r="J698" s="5" t="s">
        <v>25</v>
      </c>
      <c r="K698" s="6">
        <v>18092</v>
      </c>
      <c r="L698" s="5" t="s">
        <v>65</v>
      </c>
      <c r="M698" s="5" t="s">
        <v>66</v>
      </c>
      <c r="N698" s="5" t="s">
        <v>28</v>
      </c>
      <c r="O698" s="6" t="s">
        <v>547</v>
      </c>
      <c r="P698" s="6" t="s">
        <v>1464</v>
      </c>
      <c r="Q698" s="5" t="s">
        <v>43</v>
      </c>
      <c r="R698" s="5" t="s">
        <v>32</v>
      </c>
      <c r="S698" s="5" t="s">
        <v>49</v>
      </c>
      <c r="T698" s="6">
        <v>5</v>
      </c>
      <c r="U698" s="6">
        <v>10</v>
      </c>
      <c r="V698" s="5" t="s">
        <v>34</v>
      </c>
      <c r="W698" s="8"/>
      <c r="Y698">
        <f t="shared" si="13"/>
        <v>50</v>
      </c>
    </row>
    <row r="699" spans="1:25" ht="15.75" customHeight="1">
      <c r="A699" s="5" t="s">
        <v>1465</v>
      </c>
      <c r="B699" s="6">
        <v>49</v>
      </c>
      <c r="C699" s="5" t="s">
        <v>22</v>
      </c>
      <c r="D699" s="7">
        <v>44937</v>
      </c>
      <c r="E699" s="7"/>
      <c r="F699" s="6" t="s">
        <v>399</v>
      </c>
      <c r="G699" s="6">
        <v>13</v>
      </c>
      <c r="H699" s="5" t="s">
        <v>24</v>
      </c>
      <c r="I699" s="6">
        <v>4</v>
      </c>
      <c r="J699" s="5" t="s">
        <v>52</v>
      </c>
      <c r="K699" s="6">
        <v>35382</v>
      </c>
      <c r="L699" s="5" t="s">
        <v>40</v>
      </c>
      <c r="M699" s="5" t="s">
        <v>27</v>
      </c>
      <c r="N699" s="5" t="s">
        <v>28</v>
      </c>
      <c r="O699" s="6" t="s">
        <v>650</v>
      </c>
      <c r="P699" s="6" t="s">
        <v>1466</v>
      </c>
      <c r="Q699" s="5" t="s">
        <v>43</v>
      </c>
      <c r="R699" s="5" t="s">
        <v>32</v>
      </c>
      <c r="S699" s="5" t="s">
        <v>49</v>
      </c>
      <c r="T699" s="6">
        <v>6</v>
      </c>
      <c r="U699" s="6">
        <v>8</v>
      </c>
      <c r="V699" s="5" t="s">
        <v>92</v>
      </c>
      <c r="W699" s="8"/>
      <c r="Y699">
        <f t="shared" si="13"/>
        <v>75</v>
      </c>
    </row>
    <row r="700" spans="1:25" ht="15.75" customHeight="1">
      <c r="A700" s="5" t="s">
        <v>1467</v>
      </c>
      <c r="B700" s="6">
        <v>77</v>
      </c>
      <c r="C700" s="5" t="s">
        <v>47</v>
      </c>
      <c r="D700" s="6" t="s">
        <v>584</v>
      </c>
      <c r="E700" s="6"/>
      <c r="F700" s="6" t="s">
        <v>133</v>
      </c>
      <c r="G700" s="6">
        <v>5</v>
      </c>
      <c r="H700" s="5" t="s">
        <v>24</v>
      </c>
      <c r="I700" s="6">
        <v>1</v>
      </c>
      <c r="J700" s="5" t="s">
        <v>25</v>
      </c>
      <c r="K700" s="6">
        <v>44770</v>
      </c>
      <c r="L700" s="5" t="s">
        <v>65</v>
      </c>
      <c r="M700" s="5" t="s">
        <v>66</v>
      </c>
      <c r="N700" s="5" t="s">
        <v>28</v>
      </c>
      <c r="O700" s="6" t="s">
        <v>317</v>
      </c>
      <c r="P700" s="6" t="s">
        <v>1468</v>
      </c>
      <c r="Q700" s="5" t="s">
        <v>48</v>
      </c>
      <c r="R700" s="5" t="s">
        <v>32</v>
      </c>
      <c r="S700" s="5" t="s">
        <v>49</v>
      </c>
      <c r="T700" s="6">
        <v>4</v>
      </c>
      <c r="U700" s="6">
        <v>12</v>
      </c>
      <c r="V700" s="5" t="s">
        <v>34</v>
      </c>
      <c r="W700" s="8"/>
      <c r="Y700">
        <f t="shared" si="13"/>
        <v>33.333333333333329</v>
      </c>
    </row>
    <row r="701" spans="1:25" ht="15.75" customHeight="1">
      <c r="A701" s="5" t="s">
        <v>1469</v>
      </c>
      <c r="B701" s="6">
        <v>33</v>
      </c>
      <c r="C701" s="5" t="s">
        <v>62</v>
      </c>
      <c r="D701" s="7">
        <v>45180</v>
      </c>
      <c r="E701" s="7"/>
      <c r="F701" s="6" t="s">
        <v>1470</v>
      </c>
      <c r="G701" s="6">
        <v>13</v>
      </c>
      <c r="H701" s="5" t="s">
        <v>83</v>
      </c>
      <c r="I701" s="6">
        <v>1</v>
      </c>
      <c r="J701" s="5" t="s">
        <v>25</v>
      </c>
      <c r="K701" s="6">
        <v>30457</v>
      </c>
      <c r="L701" s="5" t="s">
        <v>90</v>
      </c>
      <c r="M701" s="5" t="s">
        <v>66</v>
      </c>
      <c r="N701" s="5" t="s">
        <v>28</v>
      </c>
      <c r="O701" s="7">
        <v>45027</v>
      </c>
      <c r="P701" s="7">
        <v>45057</v>
      </c>
      <c r="Q701" s="5" t="s">
        <v>31</v>
      </c>
      <c r="R701" s="5" t="s">
        <v>32</v>
      </c>
      <c r="S701" s="5" t="s">
        <v>33</v>
      </c>
      <c r="T701" s="6">
        <v>7</v>
      </c>
      <c r="U701" s="6">
        <v>10</v>
      </c>
      <c r="V701" s="5" t="s">
        <v>92</v>
      </c>
      <c r="W701" s="8"/>
      <c r="Y701">
        <f t="shared" si="13"/>
        <v>70</v>
      </c>
    </row>
    <row r="702" spans="1:25" ht="15.75" customHeight="1">
      <c r="A702" s="5" t="s">
        <v>1471</v>
      </c>
      <c r="B702" s="6">
        <v>1</v>
      </c>
      <c r="C702" s="5" t="s">
        <v>51</v>
      </c>
      <c r="D702" s="7">
        <v>44988</v>
      </c>
      <c r="E702" s="7"/>
      <c r="F702" s="7">
        <v>45202</v>
      </c>
      <c r="G702" s="6">
        <v>7</v>
      </c>
      <c r="H702" s="5" t="s">
        <v>58</v>
      </c>
      <c r="I702" s="6">
        <v>3</v>
      </c>
      <c r="J702" s="5" t="s">
        <v>39</v>
      </c>
      <c r="K702" s="6">
        <v>11131</v>
      </c>
      <c r="L702" s="5" t="s">
        <v>40</v>
      </c>
      <c r="M702" s="5" t="s">
        <v>66</v>
      </c>
      <c r="N702" s="5" t="s">
        <v>28</v>
      </c>
      <c r="O702" s="7">
        <v>44988</v>
      </c>
      <c r="P702" s="7">
        <v>45019.458333333336</v>
      </c>
      <c r="Q702" s="5" t="s">
        <v>86</v>
      </c>
      <c r="R702" s="5" t="s">
        <v>32</v>
      </c>
      <c r="S702" s="5" t="s">
        <v>33</v>
      </c>
      <c r="T702" s="6">
        <v>10</v>
      </c>
      <c r="U702" s="6">
        <v>10</v>
      </c>
      <c r="V702" s="5" t="s">
        <v>92</v>
      </c>
      <c r="W702" s="8"/>
      <c r="Y702">
        <f t="shared" si="13"/>
        <v>100</v>
      </c>
    </row>
    <row r="703" spans="1:25" ht="15.75" customHeight="1">
      <c r="A703" s="5" t="s">
        <v>1472</v>
      </c>
      <c r="B703" s="6">
        <v>21</v>
      </c>
      <c r="C703" s="5" t="s">
        <v>62</v>
      </c>
      <c r="D703" s="7">
        <v>45264</v>
      </c>
      <c r="E703" s="7"/>
      <c r="F703" s="6" t="s">
        <v>94</v>
      </c>
      <c r="G703" s="6">
        <v>9</v>
      </c>
      <c r="H703" s="5" t="s">
        <v>83</v>
      </c>
      <c r="I703" s="6">
        <v>5</v>
      </c>
      <c r="J703" s="5" t="s">
        <v>25</v>
      </c>
      <c r="K703" s="6">
        <v>30215</v>
      </c>
      <c r="L703" s="5" t="s">
        <v>40</v>
      </c>
      <c r="M703" s="5" t="s">
        <v>66</v>
      </c>
      <c r="N703" s="5" t="s">
        <v>28</v>
      </c>
      <c r="O703" s="7">
        <v>45264</v>
      </c>
      <c r="P703" s="6" t="s">
        <v>1473</v>
      </c>
      <c r="Q703" s="5" t="s">
        <v>43</v>
      </c>
      <c r="R703" s="5" t="s">
        <v>32</v>
      </c>
      <c r="S703" s="5" t="s">
        <v>33</v>
      </c>
      <c r="T703" s="6">
        <v>10</v>
      </c>
      <c r="U703" s="6">
        <v>10</v>
      </c>
      <c r="V703" s="5" t="s">
        <v>34</v>
      </c>
      <c r="W703" s="8"/>
      <c r="Y703">
        <f t="shared" si="13"/>
        <v>100</v>
      </c>
    </row>
    <row r="704" spans="1:25" ht="15.75" customHeight="1">
      <c r="A704" s="5" t="s">
        <v>1474</v>
      </c>
      <c r="B704" s="6">
        <v>55</v>
      </c>
      <c r="C704" s="5" t="s">
        <v>22</v>
      </c>
      <c r="D704" s="7">
        <v>44934</v>
      </c>
      <c r="E704" s="7"/>
      <c r="F704" s="7">
        <v>45207</v>
      </c>
      <c r="G704" s="6">
        <v>9</v>
      </c>
      <c r="H704" s="5" t="s">
        <v>83</v>
      </c>
      <c r="I704" s="6">
        <v>3</v>
      </c>
      <c r="J704" s="5" t="s">
        <v>39</v>
      </c>
      <c r="K704" s="6">
        <v>17612</v>
      </c>
      <c r="L704" s="5" t="s">
        <v>65</v>
      </c>
      <c r="M704" s="5" t="s">
        <v>66</v>
      </c>
      <c r="N704" s="5" t="s">
        <v>47</v>
      </c>
      <c r="O704" s="6" t="s">
        <v>1475</v>
      </c>
      <c r="P704" s="6" t="s">
        <v>1476</v>
      </c>
      <c r="Q704" s="5" t="s">
        <v>69</v>
      </c>
      <c r="R704" s="5" t="s">
        <v>32</v>
      </c>
      <c r="S704" s="5" t="s">
        <v>53</v>
      </c>
      <c r="T704" s="6">
        <v>8</v>
      </c>
      <c r="U704" s="6">
        <v>10</v>
      </c>
      <c r="V704" s="5" t="s">
        <v>92</v>
      </c>
      <c r="W704" s="8"/>
      <c r="Y704">
        <f t="shared" si="13"/>
        <v>80</v>
      </c>
    </row>
    <row r="705" spans="1:25" ht="15.75" customHeight="1">
      <c r="A705" s="5" t="s">
        <v>1477</v>
      </c>
      <c r="B705" s="6">
        <v>6</v>
      </c>
      <c r="C705" s="5" t="s">
        <v>36</v>
      </c>
      <c r="D705" s="7">
        <v>45054</v>
      </c>
      <c r="E705" s="7"/>
      <c r="F705" s="7">
        <v>45268</v>
      </c>
      <c r="G705" s="6">
        <v>7</v>
      </c>
      <c r="H705" s="5" t="s">
        <v>83</v>
      </c>
      <c r="I705" s="6">
        <v>1</v>
      </c>
      <c r="J705" s="5" t="s">
        <v>52</v>
      </c>
      <c r="K705" s="6">
        <v>42305</v>
      </c>
      <c r="L705" s="5" t="s">
        <v>80</v>
      </c>
      <c r="M705" s="5" t="s">
        <v>66</v>
      </c>
      <c r="N705" s="5" t="s">
        <v>47</v>
      </c>
      <c r="O705" s="7">
        <v>44965</v>
      </c>
      <c r="P705" s="7">
        <v>44993.291666666664</v>
      </c>
      <c r="Q705" s="5" t="s">
        <v>48</v>
      </c>
      <c r="R705" s="5" t="s">
        <v>32</v>
      </c>
      <c r="S705" s="5" t="s">
        <v>49</v>
      </c>
      <c r="T705" s="6">
        <v>6</v>
      </c>
      <c r="U705" s="6">
        <v>12</v>
      </c>
      <c r="V705" s="5" t="s">
        <v>54</v>
      </c>
      <c r="W705" s="8"/>
      <c r="Y705">
        <f t="shared" si="13"/>
        <v>50</v>
      </c>
    </row>
    <row r="706" spans="1:25" ht="15.75" customHeight="1">
      <c r="A706" s="5" t="s">
        <v>1478</v>
      </c>
      <c r="B706" s="6">
        <v>81</v>
      </c>
      <c r="C706" s="5" t="s">
        <v>36</v>
      </c>
      <c r="D706" s="6" t="s">
        <v>162</v>
      </c>
      <c r="E706" s="6"/>
      <c r="F706" s="7">
        <v>44936</v>
      </c>
      <c r="G706" s="6">
        <v>3</v>
      </c>
      <c r="H706" s="5" t="s">
        <v>58</v>
      </c>
      <c r="I706" s="6">
        <v>2</v>
      </c>
      <c r="J706" s="5" t="s">
        <v>97</v>
      </c>
      <c r="K706" s="6">
        <v>18091</v>
      </c>
      <c r="L706" s="5" t="s">
        <v>90</v>
      </c>
      <c r="M706" s="5" t="s">
        <v>27</v>
      </c>
      <c r="N706" s="5" t="s">
        <v>28</v>
      </c>
      <c r="O706" s="6" t="s">
        <v>314</v>
      </c>
      <c r="P706" s="6" t="s">
        <v>1479</v>
      </c>
      <c r="Q706" s="5" t="s">
        <v>48</v>
      </c>
      <c r="R706" s="5" t="s">
        <v>44</v>
      </c>
      <c r="S706" s="5" t="s">
        <v>33</v>
      </c>
      <c r="T706" s="6">
        <v>4</v>
      </c>
      <c r="U706" s="6">
        <v>8</v>
      </c>
      <c r="V706" s="5" t="s">
        <v>92</v>
      </c>
      <c r="W706" s="8"/>
      <c r="Y706">
        <f t="shared" si="13"/>
        <v>50</v>
      </c>
    </row>
    <row r="707" spans="1:25" ht="15.75" customHeight="1">
      <c r="A707" s="5" t="s">
        <v>1480</v>
      </c>
      <c r="B707" s="6">
        <v>69</v>
      </c>
      <c r="C707" s="5" t="s">
        <v>47</v>
      </c>
      <c r="D707" s="6" t="s">
        <v>443</v>
      </c>
      <c r="E707" s="6"/>
      <c r="F707" s="7">
        <v>45142</v>
      </c>
      <c r="G707" s="6">
        <v>14</v>
      </c>
      <c r="H707" s="5" t="s">
        <v>58</v>
      </c>
      <c r="I707" s="6">
        <v>4</v>
      </c>
      <c r="J707" s="5" t="s">
        <v>39</v>
      </c>
      <c r="K707" s="6">
        <v>40103</v>
      </c>
      <c r="L707" s="5" t="s">
        <v>26</v>
      </c>
      <c r="M707" s="5" t="s">
        <v>66</v>
      </c>
      <c r="N707" s="5" t="s">
        <v>47</v>
      </c>
      <c r="O707" s="6" t="s">
        <v>443</v>
      </c>
      <c r="P707" s="6" t="s">
        <v>1481</v>
      </c>
      <c r="Q707" s="5" t="s">
        <v>43</v>
      </c>
      <c r="R707" s="5" t="s">
        <v>32</v>
      </c>
      <c r="S707" s="5" t="s">
        <v>49</v>
      </c>
      <c r="T707" s="6">
        <v>11</v>
      </c>
      <c r="U707" s="6">
        <v>8</v>
      </c>
      <c r="V707" s="5" t="s">
        <v>34</v>
      </c>
      <c r="W707" s="8"/>
      <c r="Y707">
        <f t="shared" ref="Y707:Y770" si="14">(T707/U707*100)</f>
        <v>137.5</v>
      </c>
    </row>
    <row r="708" spans="1:25" ht="15.75" customHeight="1">
      <c r="A708" s="5" t="s">
        <v>1482</v>
      </c>
      <c r="B708" s="6">
        <v>5</v>
      </c>
      <c r="C708" s="5" t="s">
        <v>36</v>
      </c>
      <c r="D708" s="7">
        <v>45205</v>
      </c>
      <c r="E708" s="7"/>
      <c r="F708" s="6" t="s">
        <v>227</v>
      </c>
      <c r="G708" s="6">
        <v>4</v>
      </c>
      <c r="H708" s="5" t="s">
        <v>73</v>
      </c>
      <c r="I708" s="6">
        <v>5</v>
      </c>
      <c r="J708" s="5" t="s">
        <v>52</v>
      </c>
      <c r="K708" s="6">
        <v>42089</v>
      </c>
      <c r="L708" s="5" t="s">
        <v>26</v>
      </c>
      <c r="M708" s="5" t="s">
        <v>66</v>
      </c>
      <c r="N708" s="5" t="s">
        <v>28</v>
      </c>
      <c r="O708" s="7">
        <v>45175</v>
      </c>
      <c r="P708" s="7">
        <v>45205.583333333336</v>
      </c>
      <c r="Q708" s="5" t="s">
        <v>43</v>
      </c>
      <c r="R708" s="5" t="s">
        <v>32</v>
      </c>
      <c r="S708" s="5" t="s">
        <v>49</v>
      </c>
      <c r="T708" s="6">
        <v>5</v>
      </c>
      <c r="U708" s="6">
        <v>8</v>
      </c>
      <c r="V708" s="5" t="s">
        <v>54</v>
      </c>
      <c r="W708" s="8"/>
      <c r="Y708">
        <f t="shared" si="14"/>
        <v>62.5</v>
      </c>
    </row>
    <row r="709" spans="1:25" ht="15.75" customHeight="1">
      <c r="A709" s="5" t="s">
        <v>1483</v>
      </c>
      <c r="B709" s="6">
        <v>3</v>
      </c>
      <c r="C709" s="5" t="s">
        <v>47</v>
      </c>
      <c r="D709" s="7">
        <v>44994</v>
      </c>
      <c r="E709" s="7"/>
      <c r="F709" s="6" t="s">
        <v>364</v>
      </c>
      <c r="G709" s="6">
        <v>13</v>
      </c>
      <c r="H709" s="5" t="s">
        <v>46</v>
      </c>
      <c r="I709" s="6">
        <v>2</v>
      </c>
      <c r="J709" s="5" t="s">
        <v>97</v>
      </c>
      <c r="K709" s="6">
        <v>34759</v>
      </c>
      <c r="L709" s="5" t="s">
        <v>65</v>
      </c>
      <c r="M709" s="5" t="s">
        <v>66</v>
      </c>
      <c r="N709" s="5" t="s">
        <v>28</v>
      </c>
      <c r="O709" s="7">
        <v>44966</v>
      </c>
      <c r="P709" s="7">
        <v>44966.208333333336</v>
      </c>
      <c r="Q709" s="5" t="s">
        <v>43</v>
      </c>
      <c r="R709" s="5" t="s">
        <v>32</v>
      </c>
      <c r="S709" s="5" t="s">
        <v>53</v>
      </c>
      <c r="T709" s="6">
        <v>4</v>
      </c>
      <c r="U709" s="6">
        <v>10</v>
      </c>
      <c r="V709" s="5" t="s">
        <v>54</v>
      </c>
      <c r="W709" s="8"/>
      <c r="Y709">
        <f t="shared" si="14"/>
        <v>40</v>
      </c>
    </row>
    <row r="710" spans="1:25" ht="15.75" customHeight="1">
      <c r="A710" s="5" t="s">
        <v>1484</v>
      </c>
      <c r="B710" s="6">
        <v>53</v>
      </c>
      <c r="C710" s="5" t="s">
        <v>47</v>
      </c>
      <c r="D710" s="6" t="s">
        <v>393</v>
      </c>
      <c r="E710" s="6"/>
      <c r="F710" s="7">
        <v>45114</v>
      </c>
      <c r="G710" s="6">
        <v>10</v>
      </c>
      <c r="H710" s="5" t="s">
        <v>46</v>
      </c>
      <c r="I710" s="6">
        <v>4</v>
      </c>
      <c r="J710" s="5" t="s">
        <v>89</v>
      </c>
      <c r="K710" s="6">
        <v>5559</v>
      </c>
      <c r="L710" s="5" t="s">
        <v>90</v>
      </c>
      <c r="M710" s="5" t="s">
        <v>27</v>
      </c>
      <c r="N710" s="5" t="s">
        <v>28</v>
      </c>
      <c r="O710" s="6" t="s">
        <v>393</v>
      </c>
      <c r="P710" s="6" t="s">
        <v>1485</v>
      </c>
      <c r="Q710" s="5" t="s">
        <v>86</v>
      </c>
      <c r="R710" s="5" t="s">
        <v>32</v>
      </c>
      <c r="S710" s="5" t="s">
        <v>53</v>
      </c>
      <c r="T710" s="6">
        <v>5</v>
      </c>
      <c r="U710" s="6">
        <v>12</v>
      </c>
      <c r="V710" s="5" t="s">
        <v>92</v>
      </c>
      <c r="W710" s="8"/>
      <c r="Y710">
        <f t="shared" si="14"/>
        <v>41.666666666666671</v>
      </c>
    </row>
    <row r="711" spans="1:25" ht="15.75" customHeight="1">
      <c r="A711" s="5" t="s">
        <v>1486</v>
      </c>
      <c r="B711" s="6">
        <v>23</v>
      </c>
      <c r="C711" s="5" t="s">
        <v>47</v>
      </c>
      <c r="D711" s="6" t="s">
        <v>349</v>
      </c>
      <c r="E711" s="6"/>
      <c r="F711" s="6" t="s">
        <v>180</v>
      </c>
      <c r="G711" s="6">
        <v>3</v>
      </c>
      <c r="H711" s="5" t="s">
        <v>73</v>
      </c>
      <c r="I711" s="6">
        <v>5</v>
      </c>
      <c r="J711" s="5" t="s">
        <v>39</v>
      </c>
      <c r="K711" s="6">
        <v>5713</v>
      </c>
      <c r="L711" s="5" t="s">
        <v>90</v>
      </c>
      <c r="M711" s="5" t="s">
        <v>66</v>
      </c>
      <c r="N711" s="5" t="s">
        <v>28</v>
      </c>
      <c r="O711" s="6" t="s">
        <v>349</v>
      </c>
      <c r="P711" s="6" t="s">
        <v>1487</v>
      </c>
      <c r="Q711" s="5" t="s">
        <v>43</v>
      </c>
      <c r="R711" s="5" t="s">
        <v>32</v>
      </c>
      <c r="S711" s="5" t="s">
        <v>33</v>
      </c>
      <c r="T711" s="6">
        <v>10</v>
      </c>
      <c r="U711" s="6">
        <v>8</v>
      </c>
      <c r="V711" s="5" t="s">
        <v>34</v>
      </c>
      <c r="W711" s="8"/>
      <c r="Y711">
        <f t="shared" si="14"/>
        <v>125</v>
      </c>
    </row>
    <row r="712" spans="1:25" ht="15.75" customHeight="1">
      <c r="A712" s="5" t="s">
        <v>1488</v>
      </c>
      <c r="B712" s="6">
        <v>53</v>
      </c>
      <c r="C712" s="5" t="s">
        <v>51</v>
      </c>
      <c r="D712" s="7">
        <v>45205</v>
      </c>
      <c r="E712" s="7"/>
      <c r="F712" s="6" t="s">
        <v>141</v>
      </c>
      <c r="G712" s="6">
        <v>14</v>
      </c>
      <c r="H712" s="5" t="s">
        <v>73</v>
      </c>
      <c r="I712" s="6">
        <v>5</v>
      </c>
      <c r="J712" s="5" t="s">
        <v>39</v>
      </c>
      <c r="K712" s="6">
        <v>42361</v>
      </c>
      <c r="L712" s="5" t="s">
        <v>65</v>
      </c>
      <c r="M712" s="5" t="s">
        <v>27</v>
      </c>
      <c r="N712" s="5" t="s">
        <v>47</v>
      </c>
      <c r="O712" s="7">
        <v>45083</v>
      </c>
      <c r="P712" s="7">
        <v>45083.583333333336</v>
      </c>
      <c r="Q712" s="5" t="s">
        <v>31</v>
      </c>
      <c r="R712" s="5" t="s">
        <v>32</v>
      </c>
      <c r="S712" s="5" t="s">
        <v>33</v>
      </c>
      <c r="T712" s="6">
        <v>8</v>
      </c>
      <c r="U712" s="6">
        <v>12</v>
      </c>
      <c r="V712" s="5" t="s">
        <v>92</v>
      </c>
      <c r="W712" s="8"/>
      <c r="Y712">
        <f t="shared" si="14"/>
        <v>66.666666666666657</v>
      </c>
    </row>
    <row r="713" spans="1:25" ht="15.75" customHeight="1">
      <c r="A713" s="5" t="s">
        <v>1489</v>
      </c>
      <c r="B713" s="6">
        <v>37</v>
      </c>
      <c r="C713" s="5" t="s">
        <v>82</v>
      </c>
      <c r="D713" s="7">
        <v>44986</v>
      </c>
      <c r="E713" s="7"/>
      <c r="F713" s="7">
        <v>45139</v>
      </c>
      <c r="G713" s="6">
        <v>5</v>
      </c>
      <c r="H713" s="5" t="s">
        <v>24</v>
      </c>
      <c r="I713" s="6">
        <v>1</v>
      </c>
      <c r="J713" s="5" t="s">
        <v>89</v>
      </c>
      <c r="K713" s="6">
        <v>20184</v>
      </c>
      <c r="L713" s="5" t="s">
        <v>90</v>
      </c>
      <c r="M713" s="5" t="s">
        <v>66</v>
      </c>
      <c r="N713" s="5" t="s">
        <v>28</v>
      </c>
      <c r="O713" s="7">
        <v>44986</v>
      </c>
      <c r="P713" s="7">
        <v>44986.125</v>
      </c>
      <c r="Q713" s="5" t="s">
        <v>69</v>
      </c>
      <c r="R713" s="5" t="s">
        <v>32</v>
      </c>
      <c r="S713" s="5" t="s">
        <v>53</v>
      </c>
      <c r="T713" s="6">
        <v>11</v>
      </c>
      <c r="U713" s="6">
        <v>8</v>
      </c>
      <c r="V713" s="5" t="s">
        <v>92</v>
      </c>
      <c r="W713" s="8"/>
      <c r="Y713">
        <f t="shared" si="14"/>
        <v>137.5</v>
      </c>
    </row>
    <row r="714" spans="1:25" ht="15.75" customHeight="1">
      <c r="A714" s="5" t="s">
        <v>1490</v>
      </c>
      <c r="B714" s="6">
        <v>74</v>
      </c>
      <c r="C714" s="5" t="s">
        <v>47</v>
      </c>
      <c r="D714" s="6" t="s">
        <v>554</v>
      </c>
      <c r="E714" s="6"/>
      <c r="F714" s="6" t="s">
        <v>1251</v>
      </c>
      <c r="G714" s="6">
        <v>1</v>
      </c>
      <c r="H714" s="5" t="s">
        <v>83</v>
      </c>
      <c r="I714" s="6">
        <v>2</v>
      </c>
      <c r="J714" s="5" t="s">
        <v>89</v>
      </c>
      <c r="K714" s="6">
        <v>20261</v>
      </c>
      <c r="L714" s="5" t="s">
        <v>80</v>
      </c>
      <c r="M714" s="5" t="s">
        <v>27</v>
      </c>
      <c r="N714" s="5" t="s">
        <v>28</v>
      </c>
      <c r="O714" s="6" t="s">
        <v>685</v>
      </c>
      <c r="P714" s="6" t="s">
        <v>1491</v>
      </c>
      <c r="Q714" s="5" t="s">
        <v>43</v>
      </c>
      <c r="R714" s="5" t="s">
        <v>32</v>
      </c>
      <c r="S714" s="5" t="s">
        <v>53</v>
      </c>
      <c r="T714" s="6">
        <v>8</v>
      </c>
      <c r="U714" s="6">
        <v>10</v>
      </c>
      <c r="V714" s="5" t="s">
        <v>34</v>
      </c>
      <c r="W714" s="8"/>
      <c r="Y714">
        <f t="shared" si="14"/>
        <v>80</v>
      </c>
    </row>
    <row r="715" spans="1:25" ht="15.75" customHeight="1">
      <c r="A715" s="5" t="s">
        <v>1492</v>
      </c>
      <c r="B715" s="6">
        <v>74</v>
      </c>
      <c r="C715" s="5" t="s">
        <v>47</v>
      </c>
      <c r="D715" s="7">
        <v>45447</v>
      </c>
      <c r="E715" s="7"/>
      <c r="F715" s="6" t="s">
        <v>589</v>
      </c>
      <c r="G715" s="6">
        <v>11</v>
      </c>
      <c r="H715" s="5" t="s">
        <v>73</v>
      </c>
      <c r="I715" s="6">
        <v>5</v>
      </c>
      <c r="J715" s="5" t="s">
        <v>39</v>
      </c>
      <c r="K715" s="6">
        <v>25372</v>
      </c>
      <c r="L715" s="5" t="s">
        <v>65</v>
      </c>
      <c r="M715" s="5" t="s">
        <v>66</v>
      </c>
      <c r="N715" s="5" t="s">
        <v>28</v>
      </c>
      <c r="O715" s="7">
        <v>45326</v>
      </c>
      <c r="P715" s="7">
        <v>45355.083333333336</v>
      </c>
      <c r="Q715" s="5" t="s">
        <v>86</v>
      </c>
      <c r="R715" s="5" t="s">
        <v>32</v>
      </c>
      <c r="S715" s="5" t="s">
        <v>49</v>
      </c>
      <c r="T715" s="6">
        <v>4</v>
      </c>
      <c r="U715" s="6">
        <v>8</v>
      </c>
      <c r="V715" s="5" t="s">
        <v>34</v>
      </c>
      <c r="W715" s="8"/>
      <c r="Y715">
        <f t="shared" si="14"/>
        <v>50</v>
      </c>
    </row>
    <row r="716" spans="1:25" ht="15.75" customHeight="1">
      <c r="A716" s="5" t="s">
        <v>1493</v>
      </c>
      <c r="B716" s="6">
        <v>83</v>
      </c>
      <c r="C716" s="5" t="s">
        <v>82</v>
      </c>
      <c r="D716" s="6" t="s">
        <v>531</v>
      </c>
      <c r="E716" s="6"/>
      <c r="F716" s="7">
        <v>45387</v>
      </c>
      <c r="G716" s="6">
        <v>8</v>
      </c>
      <c r="H716" s="5" t="s">
        <v>38</v>
      </c>
      <c r="I716" s="6">
        <v>5</v>
      </c>
      <c r="J716" s="5" t="s">
        <v>89</v>
      </c>
      <c r="K716" s="6">
        <v>37140</v>
      </c>
      <c r="L716" s="5" t="s">
        <v>80</v>
      </c>
      <c r="M716" s="5" t="s">
        <v>27</v>
      </c>
      <c r="N716" s="5" t="s">
        <v>28</v>
      </c>
      <c r="O716" s="6" t="s">
        <v>171</v>
      </c>
      <c r="P716" s="6" t="s">
        <v>1494</v>
      </c>
      <c r="Q716" s="5" t="s">
        <v>69</v>
      </c>
      <c r="R716" s="5" t="s">
        <v>32</v>
      </c>
      <c r="S716" s="5" t="s">
        <v>49</v>
      </c>
      <c r="T716" s="6">
        <v>4</v>
      </c>
      <c r="U716" s="6">
        <v>10</v>
      </c>
      <c r="V716" s="5" t="s">
        <v>92</v>
      </c>
      <c r="W716" s="8"/>
      <c r="Y716">
        <f t="shared" si="14"/>
        <v>40</v>
      </c>
    </row>
    <row r="717" spans="1:25" ht="15.75" customHeight="1">
      <c r="A717" s="5" t="s">
        <v>1495</v>
      </c>
      <c r="B717" s="6">
        <v>17</v>
      </c>
      <c r="C717" s="5" t="s">
        <v>62</v>
      </c>
      <c r="D717" s="6" t="s">
        <v>1421</v>
      </c>
      <c r="E717" s="6"/>
      <c r="F717" s="7">
        <v>45180</v>
      </c>
      <c r="G717" s="6">
        <v>14</v>
      </c>
      <c r="H717" s="5" t="s">
        <v>46</v>
      </c>
      <c r="I717" s="6">
        <v>4</v>
      </c>
      <c r="J717" s="5" t="s">
        <v>25</v>
      </c>
      <c r="K717" s="6">
        <v>38024</v>
      </c>
      <c r="L717" s="5" t="s">
        <v>90</v>
      </c>
      <c r="M717" s="5" t="s">
        <v>66</v>
      </c>
      <c r="N717" s="5" t="s">
        <v>28</v>
      </c>
      <c r="O717" s="6" t="s">
        <v>126</v>
      </c>
      <c r="P717" s="6" t="s">
        <v>1496</v>
      </c>
      <c r="Q717" s="5" t="s">
        <v>48</v>
      </c>
      <c r="R717" s="5" t="s">
        <v>32</v>
      </c>
      <c r="S717" s="5" t="s">
        <v>33</v>
      </c>
      <c r="T717" s="6">
        <v>5</v>
      </c>
      <c r="U717" s="6">
        <v>10</v>
      </c>
      <c r="V717" s="5" t="s">
        <v>54</v>
      </c>
      <c r="W717" s="8"/>
      <c r="Y717">
        <f t="shared" si="14"/>
        <v>50</v>
      </c>
    </row>
    <row r="718" spans="1:25" ht="15.75" customHeight="1">
      <c r="A718" s="5" t="s">
        <v>1497</v>
      </c>
      <c r="B718" s="6">
        <v>85</v>
      </c>
      <c r="C718" s="5" t="s">
        <v>47</v>
      </c>
      <c r="D718" s="7">
        <v>44987</v>
      </c>
      <c r="E718" s="7"/>
      <c r="F718" s="7">
        <v>45171</v>
      </c>
      <c r="G718" s="6">
        <v>6</v>
      </c>
      <c r="H718" s="5" t="s">
        <v>73</v>
      </c>
      <c r="I718" s="6">
        <v>1</v>
      </c>
      <c r="J718" s="5" t="s">
        <v>97</v>
      </c>
      <c r="K718" s="6">
        <v>37544</v>
      </c>
      <c r="L718" s="5" t="s">
        <v>65</v>
      </c>
      <c r="M718" s="5" t="s">
        <v>66</v>
      </c>
      <c r="N718" s="5" t="s">
        <v>28</v>
      </c>
      <c r="O718" s="7">
        <v>44987</v>
      </c>
      <c r="P718" s="7">
        <v>45018.708333333336</v>
      </c>
      <c r="Q718" s="5" t="s">
        <v>43</v>
      </c>
      <c r="R718" s="5" t="s">
        <v>32</v>
      </c>
      <c r="S718" s="5" t="s">
        <v>33</v>
      </c>
      <c r="T718" s="6">
        <v>5</v>
      </c>
      <c r="U718" s="6">
        <v>8</v>
      </c>
      <c r="V718" s="5" t="s">
        <v>92</v>
      </c>
      <c r="W718" s="8"/>
      <c r="Y718">
        <f t="shared" si="14"/>
        <v>62.5</v>
      </c>
    </row>
    <row r="719" spans="1:25" ht="15.75" customHeight="1">
      <c r="A719" s="5" t="s">
        <v>1498</v>
      </c>
      <c r="B719" s="6">
        <v>78</v>
      </c>
      <c r="C719" s="5" t="s">
        <v>51</v>
      </c>
      <c r="D719" s="6" t="s">
        <v>121</v>
      </c>
      <c r="E719" s="6"/>
      <c r="F719" s="7">
        <v>45025</v>
      </c>
      <c r="G719" s="6">
        <v>9</v>
      </c>
      <c r="H719" s="5" t="s">
        <v>38</v>
      </c>
      <c r="I719" s="6">
        <v>3</v>
      </c>
      <c r="J719" s="5" t="s">
        <v>97</v>
      </c>
      <c r="K719" s="6">
        <v>5037</v>
      </c>
      <c r="L719" s="5" t="s">
        <v>90</v>
      </c>
      <c r="M719" s="5" t="s">
        <v>27</v>
      </c>
      <c r="N719" s="5" t="s">
        <v>28</v>
      </c>
      <c r="O719" s="6" t="s">
        <v>1111</v>
      </c>
      <c r="P719" s="6" t="s">
        <v>1499</v>
      </c>
      <c r="Q719" s="5" t="s">
        <v>69</v>
      </c>
      <c r="R719" s="5" t="s">
        <v>32</v>
      </c>
      <c r="S719" s="5" t="s">
        <v>53</v>
      </c>
      <c r="T719" s="6">
        <v>6</v>
      </c>
      <c r="U719" s="6">
        <v>12</v>
      </c>
      <c r="V719" s="5" t="s">
        <v>54</v>
      </c>
      <c r="W719" s="8"/>
      <c r="Y719">
        <f t="shared" si="14"/>
        <v>50</v>
      </c>
    </row>
    <row r="720" spans="1:25" ht="15.75" customHeight="1">
      <c r="A720" s="5" t="s">
        <v>1500</v>
      </c>
      <c r="B720" s="6">
        <v>73</v>
      </c>
      <c r="C720" s="5" t="s">
        <v>36</v>
      </c>
      <c r="D720" s="6" t="s">
        <v>792</v>
      </c>
      <c r="E720" s="6"/>
      <c r="F720" s="7">
        <v>45118</v>
      </c>
      <c r="G720" s="6">
        <v>15</v>
      </c>
      <c r="H720" s="5" t="s">
        <v>38</v>
      </c>
      <c r="I720" s="6">
        <v>1</v>
      </c>
      <c r="J720" s="5" t="s">
        <v>97</v>
      </c>
      <c r="K720" s="6">
        <v>48032</v>
      </c>
      <c r="L720" s="5" t="s">
        <v>65</v>
      </c>
      <c r="M720" s="5" t="s">
        <v>66</v>
      </c>
      <c r="N720" s="5" t="s">
        <v>47</v>
      </c>
      <c r="O720" s="6" t="s">
        <v>520</v>
      </c>
      <c r="P720" s="6" t="s">
        <v>1501</v>
      </c>
      <c r="Q720" s="5" t="s">
        <v>48</v>
      </c>
      <c r="R720" s="5" t="s">
        <v>32</v>
      </c>
      <c r="S720" s="5" t="s">
        <v>33</v>
      </c>
      <c r="T720" s="6">
        <v>10</v>
      </c>
      <c r="U720" s="6">
        <v>10</v>
      </c>
      <c r="V720" s="5" t="s">
        <v>92</v>
      </c>
      <c r="W720" s="8"/>
      <c r="Y720">
        <f t="shared" si="14"/>
        <v>100</v>
      </c>
    </row>
    <row r="721" spans="1:25" ht="15.75" customHeight="1">
      <c r="A721" s="5" t="s">
        <v>1502</v>
      </c>
      <c r="B721" s="6">
        <v>1</v>
      </c>
      <c r="C721" s="5" t="s">
        <v>36</v>
      </c>
      <c r="D721" s="6" t="s">
        <v>1005</v>
      </c>
      <c r="E721" s="6"/>
      <c r="F721" s="6" t="s">
        <v>205</v>
      </c>
      <c r="G721" s="6">
        <v>2</v>
      </c>
      <c r="H721" s="5" t="s">
        <v>38</v>
      </c>
      <c r="I721" s="6">
        <v>3</v>
      </c>
      <c r="J721" s="5" t="s">
        <v>25</v>
      </c>
      <c r="K721" s="6">
        <v>17697</v>
      </c>
      <c r="L721" s="5" t="s">
        <v>90</v>
      </c>
      <c r="M721" s="5" t="s">
        <v>27</v>
      </c>
      <c r="N721" s="5" t="s">
        <v>28</v>
      </c>
      <c r="O721" s="6" t="s">
        <v>1005</v>
      </c>
      <c r="P721" s="6" t="s">
        <v>1503</v>
      </c>
      <c r="Q721" s="5" t="s">
        <v>86</v>
      </c>
      <c r="R721" s="5" t="s">
        <v>44</v>
      </c>
      <c r="S721" s="5" t="s">
        <v>49</v>
      </c>
      <c r="T721" s="6">
        <v>6</v>
      </c>
      <c r="U721" s="6">
        <v>12</v>
      </c>
      <c r="V721" s="5" t="s">
        <v>34</v>
      </c>
      <c r="W721" s="8"/>
      <c r="Y721">
        <f t="shared" si="14"/>
        <v>50</v>
      </c>
    </row>
    <row r="722" spans="1:25" ht="15.75" customHeight="1">
      <c r="A722" s="5" t="s">
        <v>1504</v>
      </c>
      <c r="B722" s="6">
        <v>51</v>
      </c>
      <c r="C722" s="5" t="s">
        <v>22</v>
      </c>
      <c r="D722" s="7">
        <v>45539</v>
      </c>
      <c r="E722" s="7"/>
      <c r="F722" s="6" t="s">
        <v>171</v>
      </c>
      <c r="G722" s="6">
        <v>12</v>
      </c>
      <c r="H722" s="5" t="s">
        <v>24</v>
      </c>
      <c r="I722" s="6">
        <v>2</v>
      </c>
      <c r="J722" s="5" t="s">
        <v>89</v>
      </c>
      <c r="K722" s="6">
        <v>46420</v>
      </c>
      <c r="L722" s="5" t="s">
        <v>80</v>
      </c>
      <c r="M722" s="5" t="s">
        <v>66</v>
      </c>
      <c r="N722" s="5" t="s">
        <v>28</v>
      </c>
      <c r="O722" s="7">
        <v>45447</v>
      </c>
      <c r="P722" s="7">
        <v>45477.166666666664</v>
      </c>
      <c r="Q722" s="5" t="s">
        <v>31</v>
      </c>
      <c r="R722" s="5" t="s">
        <v>32</v>
      </c>
      <c r="S722" s="5" t="s">
        <v>53</v>
      </c>
      <c r="T722" s="6">
        <v>6</v>
      </c>
      <c r="U722" s="6">
        <v>8</v>
      </c>
      <c r="V722" s="5" t="s">
        <v>54</v>
      </c>
      <c r="W722" s="8"/>
      <c r="Y722">
        <f t="shared" si="14"/>
        <v>75</v>
      </c>
    </row>
    <row r="723" spans="1:25" ht="15.75" customHeight="1">
      <c r="A723" s="5" t="s">
        <v>1505</v>
      </c>
      <c r="B723" s="6">
        <v>45</v>
      </c>
      <c r="C723" s="5" t="s">
        <v>22</v>
      </c>
      <c r="D723" s="6" t="s">
        <v>500</v>
      </c>
      <c r="E723" s="6"/>
      <c r="F723" s="6" t="s">
        <v>694</v>
      </c>
      <c r="G723" s="6">
        <v>14</v>
      </c>
      <c r="H723" s="5" t="s">
        <v>24</v>
      </c>
      <c r="I723" s="6">
        <v>2</v>
      </c>
      <c r="J723" s="5" t="s">
        <v>52</v>
      </c>
      <c r="K723" s="6">
        <v>36707</v>
      </c>
      <c r="L723" s="5" t="s">
        <v>80</v>
      </c>
      <c r="M723" s="5" t="s">
        <v>27</v>
      </c>
      <c r="N723" s="5" t="s">
        <v>28</v>
      </c>
      <c r="O723" s="7">
        <v>45233</v>
      </c>
      <c r="P723" s="7">
        <v>45263.875</v>
      </c>
      <c r="Q723" s="5" t="s">
        <v>43</v>
      </c>
      <c r="R723" s="5" t="s">
        <v>32</v>
      </c>
      <c r="S723" s="5" t="s">
        <v>49</v>
      </c>
      <c r="T723" s="6">
        <v>4</v>
      </c>
      <c r="U723" s="6">
        <v>10</v>
      </c>
      <c r="V723" s="5" t="s">
        <v>34</v>
      </c>
      <c r="W723" s="8"/>
      <c r="Y723">
        <f t="shared" si="14"/>
        <v>40</v>
      </c>
    </row>
    <row r="724" spans="1:25" ht="15.75" customHeight="1">
      <c r="A724" s="5" t="s">
        <v>1506</v>
      </c>
      <c r="B724" s="6">
        <v>77</v>
      </c>
      <c r="C724" s="5" t="s">
        <v>36</v>
      </c>
      <c r="D724" s="6" t="s">
        <v>201</v>
      </c>
      <c r="E724" s="6"/>
      <c r="F724" s="7">
        <v>45086</v>
      </c>
      <c r="G724" s="6">
        <v>9</v>
      </c>
      <c r="H724" s="5" t="s">
        <v>38</v>
      </c>
      <c r="I724" s="6">
        <v>5</v>
      </c>
      <c r="J724" s="5" t="s">
        <v>89</v>
      </c>
      <c r="K724" s="6">
        <v>31016</v>
      </c>
      <c r="L724" s="5" t="s">
        <v>90</v>
      </c>
      <c r="M724" s="5" t="s">
        <v>27</v>
      </c>
      <c r="N724" s="5" t="s">
        <v>28</v>
      </c>
      <c r="O724" s="6" t="s">
        <v>99</v>
      </c>
      <c r="P724" s="6" t="s">
        <v>1507</v>
      </c>
      <c r="Q724" s="5" t="s">
        <v>31</v>
      </c>
      <c r="R724" s="5" t="s">
        <v>32</v>
      </c>
      <c r="S724" s="5" t="s">
        <v>53</v>
      </c>
      <c r="T724" s="6">
        <v>9</v>
      </c>
      <c r="U724" s="6">
        <v>12</v>
      </c>
      <c r="V724" s="5" t="s">
        <v>34</v>
      </c>
      <c r="W724" s="8"/>
      <c r="Y724">
        <f t="shared" si="14"/>
        <v>75</v>
      </c>
    </row>
    <row r="725" spans="1:25" ht="15.75" customHeight="1">
      <c r="A725" s="5" t="s">
        <v>1508</v>
      </c>
      <c r="B725" s="6">
        <v>4</v>
      </c>
      <c r="C725" s="5" t="s">
        <v>36</v>
      </c>
      <c r="D725" s="6" t="s">
        <v>162</v>
      </c>
      <c r="E725" s="6"/>
      <c r="F725" s="7">
        <v>45270</v>
      </c>
      <c r="G725" s="6">
        <v>14</v>
      </c>
      <c r="H725" s="5" t="s">
        <v>24</v>
      </c>
      <c r="I725" s="6">
        <v>2</v>
      </c>
      <c r="J725" s="5" t="s">
        <v>39</v>
      </c>
      <c r="K725" s="6">
        <v>39600</v>
      </c>
      <c r="L725" s="5" t="s">
        <v>65</v>
      </c>
      <c r="M725" s="5" t="s">
        <v>27</v>
      </c>
      <c r="N725" s="5" t="s">
        <v>28</v>
      </c>
      <c r="O725" s="6" t="s">
        <v>314</v>
      </c>
      <c r="P725" s="6" t="s">
        <v>1509</v>
      </c>
      <c r="Q725" s="5" t="s">
        <v>86</v>
      </c>
      <c r="R725" s="5" t="s">
        <v>32</v>
      </c>
      <c r="S725" s="5" t="s">
        <v>53</v>
      </c>
      <c r="T725" s="6">
        <v>9</v>
      </c>
      <c r="U725" s="6">
        <v>10</v>
      </c>
      <c r="V725" s="5" t="s">
        <v>34</v>
      </c>
      <c r="W725" s="8"/>
      <c r="Y725">
        <f t="shared" si="14"/>
        <v>90</v>
      </c>
    </row>
    <row r="726" spans="1:25" ht="15.75" customHeight="1">
      <c r="A726" s="5" t="s">
        <v>1510</v>
      </c>
      <c r="B726" s="6">
        <v>62</v>
      </c>
      <c r="C726" s="5" t="s">
        <v>51</v>
      </c>
      <c r="D726" s="6" t="s">
        <v>188</v>
      </c>
      <c r="E726" s="6"/>
      <c r="F726" s="6" t="s">
        <v>776</v>
      </c>
      <c r="G726" s="6">
        <v>2</v>
      </c>
      <c r="H726" s="5" t="s">
        <v>83</v>
      </c>
      <c r="I726" s="6">
        <v>5</v>
      </c>
      <c r="J726" s="5" t="s">
        <v>97</v>
      </c>
      <c r="K726" s="6">
        <v>28984</v>
      </c>
      <c r="L726" s="5" t="s">
        <v>26</v>
      </c>
      <c r="M726" s="5" t="s">
        <v>27</v>
      </c>
      <c r="N726" s="5" t="s">
        <v>28</v>
      </c>
      <c r="O726" s="6" t="s">
        <v>113</v>
      </c>
      <c r="P726" s="6" t="s">
        <v>1511</v>
      </c>
      <c r="Q726" s="5" t="s">
        <v>69</v>
      </c>
      <c r="R726" s="5" t="s">
        <v>32</v>
      </c>
      <c r="S726" s="5" t="s">
        <v>49</v>
      </c>
      <c r="T726" s="6">
        <v>9</v>
      </c>
      <c r="U726" s="6">
        <v>8</v>
      </c>
      <c r="V726" s="5" t="s">
        <v>34</v>
      </c>
      <c r="W726" s="8"/>
      <c r="Y726">
        <f t="shared" si="14"/>
        <v>112.5</v>
      </c>
    </row>
    <row r="727" spans="1:25" ht="15.75" customHeight="1">
      <c r="A727" s="5" t="s">
        <v>1512</v>
      </c>
      <c r="B727" s="6">
        <v>65</v>
      </c>
      <c r="C727" s="5" t="s">
        <v>82</v>
      </c>
      <c r="D727" s="7">
        <v>45599</v>
      </c>
      <c r="E727" s="7"/>
      <c r="F727" s="6" t="s">
        <v>116</v>
      </c>
      <c r="G727" s="6">
        <v>5</v>
      </c>
      <c r="H727" s="5" t="s">
        <v>38</v>
      </c>
      <c r="I727" s="6">
        <v>1</v>
      </c>
      <c r="J727" s="5" t="s">
        <v>89</v>
      </c>
      <c r="K727" s="6">
        <v>10167</v>
      </c>
      <c r="L727" s="5" t="s">
        <v>80</v>
      </c>
      <c r="M727" s="5" t="s">
        <v>27</v>
      </c>
      <c r="N727" s="5" t="s">
        <v>28</v>
      </c>
      <c r="O727" s="7">
        <v>45599</v>
      </c>
      <c r="P727" s="7">
        <v>45629.458333333336</v>
      </c>
      <c r="Q727" s="5" t="s">
        <v>69</v>
      </c>
      <c r="R727" s="5" t="s">
        <v>32</v>
      </c>
      <c r="S727" s="5" t="s">
        <v>33</v>
      </c>
      <c r="T727" s="6">
        <v>9</v>
      </c>
      <c r="U727" s="6">
        <v>10</v>
      </c>
      <c r="V727" s="5" t="s">
        <v>34</v>
      </c>
      <c r="W727" s="8"/>
      <c r="Y727">
        <f t="shared" si="14"/>
        <v>90</v>
      </c>
    </row>
    <row r="728" spans="1:25" ht="15.75" customHeight="1">
      <c r="A728" s="5" t="s">
        <v>1513</v>
      </c>
      <c r="B728" s="6">
        <v>32</v>
      </c>
      <c r="C728" s="5" t="s">
        <v>22</v>
      </c>
      <c r="D728" s="6" t="s">
        <v>342</v>
      </c>
      <c r="E728" s="6"/>
      <c r="F728" s="6" t="s">
        <v>861</v>
      </c>
      <c r="G728" s="6">
        <v>2</v>
      </c>
      <c r="H728" s="5" t="s">
        <v>83</v>
      </c>
      <c r="I728" s="6">
        <v>2</v>
      </c>
      <c r="J728" s="5" t="s">
        <v>52</v>
      </c>
      <c r="K728" s="6">
        <v>5432</v>
      </c>
      <c r="L728" s="5" t="s">
        <v>80</v>
      </c>
      <c r="M728" s="5" t="s">
        <v>27</v>
      </c>
      <c r="N728" s="5" t="s">
        <v>47</v>
      </c>
      <c r="O728" s="6" t="s">
        <v>368</v>
      </c>
      <c r="P728" s="6" t="s">
        <v>1514</v>
      </c>
      <c r="Q728" s="5" t="s">
        <v>86</v>
      </c>
      <c r="R728" s="5" t="s">
        <v>32</v>
      </c>
      <c r="S728" s="5" t="s">
        <v>33</v>
      </c>
      <c r="T728" s="6">
        <v>6</v>
      </c>
      <c r="U728" s="6">
        <v>8</v>
      </c>
      <c r="V728" s="5" t="s">
        <v>92</v>
      </c>
      <c r="W728" s="8"/>
      <c r="Y728">
        <f t="shared" si="14"/>
        <v>75</v>
      </c>
    </row>
    <row r="729" spans="1:25" ht="15.75" customHeight="1">
      <c r="A729" s="5" t="s">
        <v>1515</v>
      </c>
      <c r="B729" s="6">
        <v>34</v>
      </c>
      <c r="C729" s="5" t="s">
        <v>82</v>
      </c>
      <c r="D729" s="6" t="s">
        <v>486</v>
      </c>
      <c r="E729" s="6"/>
      <c r="F729" s="7">
        <v>44935</v>
      </c>
      <c r="G729" s="6">
        <v>13</v>
      </c>
      <c r="H729" s="5" t="s">
        <v>83</v>
      </c>
      <c r="I729" s="6">
        <v>1</v>
      </c>
      <c r="J729" s="5" t="s">
        <v>39</v>
      </c>
      <c r="K729" s="6">
        <v>9151</v>
      </c>
      <c r="L729" s="5" t="s">
        <v>26</v>
      </c>
      <c r="M729" s="5" t="s">
        <v>66</v>
      </c>
      <c r="N729" s="5" t="s">
        <v>28</v>
      </c>
      <c r="O729" s="6" t="s">
        <v>869</v>
      </c>
      <c r="P729" s="6" t="s">
        <v>1516</v>
      </c>
      <c r="Q729" s="5" t="s">
        <v>86</v>
      </c>
      <c r="R729" s="5" t="s">
        <v>32</v>
      </c>
      <c r="S729" s="5" t="s">
        <v>33</v>
      </c>
      <c r="T729" s="6">
        <v>4</v>
      </c>
      <c r="U729" s="6">
        <v>12</v>
      </c>
      <c r="V729" s="5" t="s">
        <v>54</v>
      </c>
      <c r="W729" s="8"/>
      <c r="Y729">
        <f t="shared" si="14"/>
        <v>33.333333333333329</v>
      </c>
    </row>
    <row r="730" spans="1:25" ht="15.75" customHeight="1">
      <c r="A730" s="5" t="s">
        <v>1517</v>
      </c>
      <c r="B730" s="6">
        <v>72</v>
      </c>
      <c r="C730" s="5" t="s">
        <v>51</v>
      </c>
      <c r="D730" s="7">
        <v>44963</v>
      </c>
      <c r="E730" s="7"/>
      <c r="F730" s="7">
        <v>45052</v>
      </c>
      <c r="G730" s="6">
        <v>3</v>
      </c>
      <c r="H730" s="5" t="s">
        <v>38</v>
      </c>
      <c r="I730" s="6">
        <v>1</v>
      </c>
      <c r="J730" s="5" t="s">
        <v>25</v>
      </c>
      <c r="K730" s="6">
        <v>11411</v>
      </c>
      <c r="L730" s="5" t="s">
        <v>90</v>
      </c>
      <c r="M730" s="5" t="s">
        <v>66</v>
      </c>
      <c r="N730" s="5" t="s">
        <v>47</v>
      </c>
      <c r="O730" s="6" t="s">
        <v>581</v>
      </c>
      <c r="P730" s="6" t="s">
        <v>1518</v>
      </c>
      <c r="Q730" s="5" t="s">
        <v>43</v>
      </c>
      <c r="R730" s="5" t="s">
        <v>32</v>
      </c>
      <c r="S730" s="5" t="s">
        <v>33</v>
      </c>
      <c r="T730" s="6">
        <v>9</v>
      </c>
      <c r="U730" s="6">
        <v>10</v>
      </c>
      <c r="V730" s="5" t="s">
        <v>92</v>
      </c>
      <c r="W730" s="8"/>
      <c r="Y730">
        <f t="shared" si="14"/>
        <v>90</v>
      </c>
    </row>
    <row r="731" spans="1:25" ht="15.75" customHeight="1">
      <c r="A731" s="5" t="s">
        <v>1519</v>
      </c>
      <c r="B731" s="6">
        <v>39</v>
      </c>
      <c r="C731" s="5" t="s">
        <v>36</v>
      </c>
      <c r="D731" s="6" t="s">
        <v>313</v>
      </c>
      <c r="E731" s="6"/>
      <c r="F731" s="7">
        <v>45056</v>
      </c>
      <c r="G731" s="6">
        <v>5</v>
      </c>
      <c r="H731" s="5" t="s">
        <v>46</v>
      </c>
      <c r="I731" s="6">
        <v>2</v>
      </c>
      <c r="J731" s="5" t="s">
        <v>25</v>
      </c>
      <c r="K731" s="6">
        <v>35788</v>
      </c>
      <c r="L731" s="5" t="s">
        <v>65</v>
      </c>
      <c r="M731" s="5" t="s">
        <v>27</v>
      </c>
      <c r="N731" s="5" t="s">
        <v>47</v>
      </c>
      <c r="O731" s="6" t="s">
        <v>163</v>
      </c>
      <c r="P731" s="6" t="s">
        <v>1520</v>
      </c>
      <c r="Q731" s="5" t="s">
        <v>48</v>
      </c>
      <c r="R731" s="5" t="s">
        <v>44</v>
      </c>
      <c r="S731" s="5" t="s">
        <v>49</v>
      </c>
      <c r="T731" s="6">
        <v>11</v>
      </c>
      <c r="U731" s="6">
        <v>12</v>
      </c>
      <c r="V731" s="5" t="s">
        <v>92</v>
      </c>
      <c r="W731" s="8"/>
      <c r="Y731">
        <f t="shared" si="14"/>
        <v>91.666666666666657</v>
      </c>
    </row>
    <row r="732" spans="1:25" ht="15.75" customHeight="1">
      <c r="A732" s="5" t="s">
        <v>1521</v>
      </c>
      <c r="B732" s="6">
        <v>26</v>
      </c>
      <c r="C732" s="5" t="s">
        <v>47</v>
      </c>
      <c r="D732" s="6" t="s">
        <v>526</v>
      </c>
      <c r="E732" s="6"/>
      <c r="F732" s="7">
        <v>44991</v>
      </c>
      <c r="G732" s="6">
        <v>8</v>
      </c>
      <c r="H732" s="5" t="s">
        <v>38</v>
      </c>
      <c r="I732" s="6">
        <v>1</v>
      </c>
      <c r="J732" s="5" t="s">
        <v>52</v>
      </c>
      <c r="K732" s="6">
        <v>31623</v>
      </c>
      <c r="L732" s="5" t="s">
        <v>90</v>
      </c>
      <c r="M732" s="5" t="s">
        <v>27</v>
      </c>
      <c r="N732" s="5" t="s">
        <v>28</v>
      </c>
      <c r="O732" s="6" t="s">
        <v>756</v>
      </c>
      <c r="P732" s="6" t="s">
        <v>1522</v>
      </c>
      <c r="Q732" s="5" t="s">
        <v>31</v>
      </c>
      <c r="R732" s="5" t="s">
        <v>32</v>
      </c>
      <c r="S732" s="5" t="s">
        <v>53</v>
      </c>
      <c r="T732" s="6">
        <v>8</v>
      </c>
      <c r="U732" s="6">
        <v>8</v>
      </c>
      <c r="V732" s="5" t="s">
        <v>92</v>
      </c>
      <c r="W732" s="8"/>
      <c r="Y732">
        <f t="shared" si="14"/>
        <v>100</v>
      </c>
    </row>
    <row r="733" spans="1:25" ht="15.75" customHeight="1">
      <c r="A733" s="5" t="s">
        <v>1523</v>
      </c>
      <c r="B733" s="6">
        <v>34</v>
      </c>
      <c r="C733" s="5" t="s">
        <v>82</v>
      </c>
      <c r="D733" s="6" t="s">
        <v>193</v>
      </c>
      <c r="E733" s="6"/>
      <c r="F733" s="6" t="s">
        <v>179</v>
      </c>
      <c r="G733" s="6">
        <v>15</v>
      </c>
      <c r="H733" s="5" t="s">
        <v>38</v>
      </c>
      <c r="I733" s="6">
        <v>2</v>
      </c>
      <c r="J733" s="5" t="s">
        <v>39</v>
      </c>
      <c r="K733" s="6">
        <v>27104</v>
      </c>
      <c r="L733" s="5" t="s">
        <v>40</v>
      </c>
      <c r="M733" s="5" t="s">
        <v>27</v>
      </c>
      <c r="N733" s="5" t="s">
        <v>28</v>
      </c>
      <c r="O733" s="7">
        <v>45233</v>
      </c>
      <c r="P733" s="7">
        <v>45233.833333333336</v>
      </c>
      <c r="Q733" s="5" t="s">
        <v>31</v>
      </c>
      <c r="R733" s="5" t="s">
        <v>32</v>
      </c>
      <c r="S733" s="5" t="s">
        <v>49</v>
      </c>
      <c r="T733" s="6">
        <v>7</v>
      </c>
      <c r="U733" s="6">
        <v>8</v>
      </c>
      <c r="V733" s="5" t="s">
        <v>34</v>
      </c>
      <c r="W733" s="8"/>
      <c r="Y733">
        <f t="shared" si="14"/>
        <v>87.5</v>
      </c>
    </row>
    <row r="734" spans="1:25" ht="15.75" customHeight="1">
      <c r="A734" s="5" t="s">
        <v>1524</v>
      </c>
      <c r="B734" s="6">
        <v>54</v>
      </c>
      <c r="C734" s="5" t="s">
        <v>36</v>
      </c>
      <c r="D734" s="7">
        <v>44988</v>
      </c>
      <c r="E734" s="7"/>
      <c r="F734" s="7">
        <v>45263</v>
      </c>
      <c r="G734" s="6">
        <v>9</v>
      </c>
      <c r="H734" s="5" t="s">
        <v>24</v>
      </c>
      <c r="I734" s="6">
        <v>2</v>
      </c>
      <c r="J734" s="5" t="s">
        <v>97</v>
      </c>
      <c r="K734" s="6">
        <v>5256</v>
      </c>
      <c r="L734" s="5" t="s">
        <v>80</v>
      </c>
      <c r="M734" s="5" t="s">
        <v>27</v>
      </c>
      <c r="N734" s="5" t="s">
        <v>28</v>
      </c>
      <c r="O734" s="7">
        <v>44929</v>
      </c>
      <c r="P734" s="7">
        <v>44929.25</v>
      </c>
      <c r="Q734" s="5" t="s">
        <v>69</v>
      </c>
      <c r="R734" s="5" t="s">
        <v>32</v>
      </c>
      <c r="S734" s="5" t="s">
        <v>33</v>
      </c>
      <c r="T734" s="6">
        <v>8</v>
      </c>
      <c r="U734" s="6">
        <v>12</v>
      </c>
      <c r="V734" s="5" t="s">
        <v>92</v>
      </c>
      <c r="W734" s="8"/>
      <c r="Y734">
        <f t="shared" si="14"/>
        <v>66.666666666666657</v>
      </c>
    </row>
    <row r="735" spans="1:25" ht="15.75" customHeight="1">
      <c r="A735" s="5" t="s">
        <v>1525</v>
      </c>
      <c r="B735" s="6">
        <v>3</v>
      </c>
      <c r="C735" s="5" t="s">
        <v>36</v>
      </c>
      <c r="D735" s="6" t="s">
        <v>345</v>
      </c>
      <c r="E735" s="6"/>
      <c r="F735" s="6" t="s">
        <v>1526</v>
      </c>
      <c r="G735" s="6">
        <v>3</v>
      </c>
      <c r="H735" s="5" t="s">
        <v>38</v>
      </c>
      <c r="I735" s="6">
        <v>2</v>
      </c>
      <c r="J735" s="5" t="s">
        <v>89</v>
      </c>
      <c r="K735" s="6">
        <v>38439</v>
      </c>
      <c r="L735" s="5" t="s">
        <v>40</v>
      </c>
      <c r="M735" s="5" t="s">
        <v>27</v>
      </c>
      <c r="N735" s="5" t="s">
        <v>47</v>
      </c>
      <c r="O735" s="6" t="s">
        <v>253</v>
      </c>
      <c r="P735" s="6" t="s">
        <v>1527</v>
      </c>
      <c r="Q735" s="5" t="s">
        <v>69</v>
      </c>
      <c r="R735" s="5" t="s">
        <v>44</v>
      </c>
      <c r="S735" s="5" t="s">
        <v>33</v>
      </c>
      <c r="T735" s="6">
        <v>4</v>
      </c>
      <c r="U735" s="6">
        <v>12</v>
      </c>
      <c r="V735" s="5" t="s">
        <v>54</v>
      </c>
      <c r="W735" s="8"/>
      <c r="Y735">
        <f t="shared" si="14"/>
        <v>33.333333333333329</v>
      </c>
    </row>
    <row r="736" spans="1:25" ht="15.75" customHeight="1">
      <c r="A736" s="5" t="s">
        <v>1528</v>
      </c>
      <c r="B736" s="6">
        <v>50</v>
      </c>
      <c r="C736" s="5" t="s">
        <v>62</v>
      </c>
      <c r="D736" s="7">
        <v>45241</v>
      </c>
      <c r="E736" s="7"/>
      <c r="F736" s="6" t="s">
        <v>1068</v>
      </c>
      <c r="G736" s="6">
        <v>14</v>
      </c>
      <c r="H736" s="5" t="s">
        <v>46</v>
      </c>
      <c r="I736" s="6">
        <v>3</v>
      </c>
      <c r="J736" s="5" t="s">
        <v>39</v>
      </c>
      <c r="K736" s="6">
        <v>38257</v>
      </c>
      <c r="L736" s="5" t="s">
        <v>80</v>
      </c>
      <c r="M736" s="5" t="s">
        <v>66</v>
      </c>
      <c r="N736" s="5" t="s">
        <v>28</v>
      </c>
      <c r="O736" s="7">
        <v>45118</v>
      </c>
      <c r="P736" s="7">
        <v>45118.583333333336</v>
      </c>
      <c r="Q736" s="5" t="s">
        <v>43</v>
      </c>
      <c r="R736" s="5" t="s">
        <v>32</v>
      </c>
      <c r="S736" s="5" t="s">
        <v>49</v>
      </c>
      <c r="T736" s="6">
        <v>4</v>
      </c>
      <c r="U736" s="6">
        <v>8</v>
      </c>
      <c r="V736" s="5" t="s">
        <v>92</v>
      </c>
      <c r="W736" s="8"/>
      <c r="Y736">
        <f t="shared" si="14"/>
        <v>50</v>
      </c>
    </row>
    <row r="737" spans="1:25" ht="15.75" customHeight="1">
      <c r="A737" s="5" t="s">
        <v>1529</v>
      </c>
      <c r="B737" s="6">
        <v>12</v>
      </c>
      <c r="C737" s="5" t="s">
        <v>82</v>
      </c>
      <c r="D737" s="6" t="s">
        <v>792</v>
      </c>
      <c r="E737" s="6"/>
      <c r="F737" s="6" t="s">
        <v>650</v>
      </c>
      <c r="G737" s="6">
        <v>7</v>
      </c>
      <c r="H737" s="5" t="s">
        <v>24</v>
      </c>
      <c r="I737" s="6">
        <v>1</v>
      </c>
      <c r="J737" s="5" t="s">
        <v>25</v>
      </c>
      <c r="K737" s="6">
        <v>44657</v>
      </c>
      <c r="L737" s="5" t="s">
        <v>80</v>
      </c>
      <c r="M737" s="5" t="s">
        <v>66</v>
      </c>
      <c r="N737" s="5" t="s">
        <v>28</v>
      </c>
      <c r="O737" s="6" t="s">
        <v>520</v>
      </c>
      <c r="P737" s="6" t="s">
        <v>1530</v>
      </c>
      <c r="Q737" s="5" t="s">
        <v>86</v>
      </c>
      <c r="R737" s="5" t="s">
        <v>32</v>
      </c>
      <c r="S737" s="5" t="s">
        <v>53</v>
      </c>
      <c r="T737" s="6">
        <v>7</v>
      </c>
      <c r="U737" s="6">
        <v>12</v>
      </c>
      <c r="V737" s="5" t="s">
        <v>34</v>
      </c>
      <c r="W737" s="8"/>
      <c r="Y737">
        <f t="shared" si="14"/>
        <v>58.333333333333336</v>
      </c>
    </row>
    <row r="738" spans="1:25" ht="15.75" customHeight="1">
      <c r="A738" s="5" t="s">
        <v>1531</v>
      </c>
      <c r="B738" s="6">
        <v>65</v>
      </c>
      <c r="C738" s="5" t="s">
        <v>47</v>
      </c>
      <c r="D738" s="6" t="s">
        <v>1295</v>
      </c>
      <c r="E738" s="6"/>
      <c r="F738" s="6" t="s">
        <v>318</v>
      </c>
      <c r="G738" s="6">
        <v>2</v>
      </c>
      <c r="H738" s="5" t="s">
        <v>58</v>
      </c>
      <c r="I738" s="6">
        <v>4</v>
      </c>
      <c r="J738" s="5" t="s">
        <v>52</v>
      </c>
      <c r="K738" s="6">
        <v>49674</v>
      </c>
      <c r="L738" s="5" t="s">
        <v>40</v>
      </c>
      <c r="M738" s="5" t="s">
        <v>66</v>
      </c>
      <c r="N738" s="5" t="s">
        <v>28</v>
      </c>
      <c r="O738" s="6" t="s">
        <v>463</v>
      </c>
      <c r="P738" s="6" t="s">
        <v>994</v>
      </c>
      <c r="Q738" s="5" t="s">
        <v>31</v>
      </c>
      <c r="R738" s="5" t="s">
        <v>32</v>
      </c>
      <c r="S738" s="5" t="s">
        <v>49</v>
      </c>
      <c r="T738" s="6">
        <v>5</v>
      </c>
      <c r="U738" s="6">
        <v>8</v>
      </c>
      <c r="V738" s="5" t="s">
        <v>54</v>
      </c>
      <c r="W738" s="8"/>
      <c r="Y738">
        <f t="shared" si="14"/>
        <v>62.5</v>
      </c>
    </row>
    <row r="739" spans="1:25" ht="15.75" customHeight="1">
      <c r="A739" s="5" t="s">
        <v>1532</v>
      </c>
      <c r="B739" s="6">
        <v>54</v>
      </c>
      <c r="C739" s="5" t="s">
        <v>82</v>
      </c>
      <c r="D739" s="7">
        <v>45143</v>
      </c>
      <c r="E739" s="7"/>
      <c r="F739" s="6" t="s">
        <v>63</v>
      </c>
      <c r="G739" s="6">
        <v>15</v>
      </c>
      <c r="H739" s="5" t="s">
        <v>58</v>
      </c>
      <c r="I739" s="6">
        <v>2</v>
      </c>
      <c r="J739" s="5" t="s">
        <v>52</v>
      </c>
      <c r="K739" s="6">
        <v>23066</v>
      </c>
      <c r="L739" s="5" t="s">
        <v>40</v>
      </c>
      <c r="M739" s="5" t="s">
        <v>66</v>
      </c>
      <c r="N739" s="5" t="s">
        <v>28</v>
      </c>
      <c r="O739" s="7">
        <v>45112</v>
      </c>
      <c r="P739" s="7">
        <v>45112.875</v>
      </c>
      <c r="Q739" s="5" t="s">
        <v>43</v>
      </c>
      <c r="R739" s="5" t="s">
        <v>32</v>
      </c>
      <c r="S739" s="5" t="s">
        <v>49</v>
      </c>
      <c r="T739" s="6">
        <v>5</v>
      </c>
      <c r="U739" s="6">
        <v>12</v>
      </c>
      <c r="V739" s="5" t="s">
        <v>54</v>
      </c>
      <c r="W739" s="8"/>
      <c r="Y739">
        <f t="shared" si="14"/>
        <v>41.666666666666671</v>
      </c>
    </row>
    <row r="740" spans="1:25" ht="15.75" customHeight="1">
      <c r="A740" s="5" t="s">
        <v>1533</v>
      </c>
      <c r="B740" s="6">
        <v>5</v>
      </c>
      <c r="C740" s="5" t="s">
        <v>36</v>
      </c>
      <c r="D740" s="6" t="s">
        <v>358</v>
      </c>
      <c r="E740" s="6"/>
      <c r="F740" s="6" t="s">
        <v>257</v>
      </c>
      <c r="G740" s="6">
        <v>4</v>
      </c>
      <c r="H740" s="5" t="s">
        <v>83</v>
      </c>
      <c r="I740" s="6">
        <v>1</v>
      </c>
      <c r="J740" s="5" t="s">
        <v>89</v>
      </c>
      <c r="K740" s="6">
        <v>37746</v>
      </c>
      <c r="L740" s="5" t="s">
        <v>90</v>
      </c>
      <c r="M740" s="5" t="s">
        <v>66</v>
      </c>
      <c r="N740" s="5" t="s">
        <v>28</v>
      </c>
      <c r="O740" s="6" t="s">
        <v>1124</v>
      </c>
      <c r="P740" s="6" t="s">
        <v>1534</v>
      </c>
      <c r="Q740" s="5" t="s">
        <v>69</v>
      </c>
      <c r="R740" s="5" t="s">
        <v>44</v>
      </c>
      <c r="S740" s="5" t="s">
        <v>49</v>
      </c>
      <c r="T740" s="6">
        <v>11</v>
      </c>
      <c r="U740" s="6">
        <v>8</v>
      </c>
      <c r="V740" s="5" t="s">
        <v>54</v>
      </c>
      <c r="W740" s="8"/>
      <c r="Y740">
        <f t="shared" si="14"/>
        <v>137.5</v>
      </c>
    </row>
    <row r="741" spans="1:25" ht="15.75" customHeight="1">
      <c r="A741" s="5" t="s">
        <v>1535</v>
      </c>
      <c r="B741" s="6">
        <v>57</v>
      </c>
      <c r="C741" s="5" t="s">
        <v>47</v>
      </c>
      <c r="D741" s="7">
        <v>45149</v>
      </c>
      <c r="E741" s="7"/>
      <c r="F741" s="6" t="s">
        <v>1470</v>
      </c>
      <c r="G741" s="6">
        <v>14</v>
      </c>
      <c r="H741" s="5" t="s">
        <v>83</v>
      </c>
      <c r="I741" s="6">
        <v>5</v>
      </c>
      <c r="J741" s="5" t="s">
        <v>52</v>
      </c>
      <c r="K741" s="6">
        <v>7460</v>
      </c>
      <c r="L741" s="5" t="s">
        <v>40</v>
      </c>
      <c r="M741" s="5" t="s">
        <v>27</v>
      </c>
      <c r="N741" s="5" t="s">
        <v>28</v>
      </c>
      <c r="O741" s="7">
        <v>45118</v>
      </c>
      <c r="P741" s="7">
        <v>45149.583333333336</v>
      </c>
      <c r="Q741" s="5" t="s">
        <v>69</v>
      </c>
      <c r="R741" s="5" t="s">
        <v>32</v>
      </c>
      <c r="S741" s="5" t="s">
        <v>53</v>
      </c>
      <c r="T741" s="6">
        <v>5</v>
      </c>
      <c r="U741" s="6">
        <v>8</v>
      </c>
      <c r="V741" s="5" t="s">
        <v>54</v>
      </c>
      <c r="W741" s="8"/>
      <c r="Y741">
        <f t="shared" si="14"/>
        <v>62.5</v>
      </c>
    </row>
    <row r="742" spans="1:25" ht="15.75" customHeight="1">
      <c r="A742" s="5" t="s">
        <v>1536</v>
      </c>
      <c r="B742" s="6">
        <v>17</v>
      </c>
      <c r="C742" s="5" t="s">
        <v>51</v>
      </c>
      <c r="D742" s="6" t="s">
        <v>565</v>
      </c>
      <c r="E742" s="6"/>
      <c r="F742" s="6" t="s">
        <v>553</v>
      </c>
      <c r="G742" s="6">
        <v>8</v>
      </c>
      <c r="H742" s="5" t="s">
        <v>46</v>
      </c>
      <c r="I742" s="6">
        <v>2</v>
      </c>
      <c r="J742" s="5" t="s">
        <v>52</v>
      </c>
      <c r="K742" s="6">
        <v>42297</v>
      </c>
      <c r="L742" s="5" t="s">
        <v>90</v>
      </c>
      <c r="M742" s="5" t="s">
        <v>27</v>
      </c>
      <c r="N742" s="5" t="s">
        <v>28</v>
      </c>
      <c r="O742" s="7">
        <v>45628</v>
      </c>
      <c r="P742" s="6" t="s">
        <v>1537</v>
      </c>
      <c r="Q742" s="5" t="s">
        <v>31</v>
      </c>
      <c r="R742" s="5" t="s">
        <v>32</v>
      </c>
      <c r="S742" s="5" t="s">
        <v>49</v>
      </c>
      <c r="T742" s="6">
        <v>6</v>
      </c>
      <c r="U742" s="6">
        <v>10</v>
      </c>
      <c r="V742" s="5" t="s">
        <v>92</v>
      </c>
      <c r="W742" s="8"/>
      <c r="Y742">
        <f t="shared" si="14"/>
        <v>60</v>
      </c>
    </row>
    <row r="743" spans="1:25" ht="15.75" customHeight="1">
      <c r="A743" s="5" t="s">
        <v>1538</v>
      </c>
      <c r="B743" s="6">
        <v>47</v>
      </c>
      <c r="C743" s="5" t="s">
        <v>62</v>
      </c>
      <c r="D743" s="7">
        <v>45087</v>
      </c>
      <c r="E743" s="7"/>
      <c r="F743" s="6" t="s">
        <v>126</v>
      </c>
      <c r="G743" s="6">
        <v>15</v>
      </c>
      <c r="H743" s="5" t="s">
        <v>73</v>
      </c>
      <c r="I743" s="6">
        <v>2</v>
      </c>
      <c r="J743" s="5" t="s">
        <v>39</v>
      </c>
      <c r="K743" s="6">
        <v>39743</v>
      </c>
      <c r="L743" s="5" t="s">
        <v>90</v>
      </c>
      <c r="M743" s="5" t="s">
        <v>66</v>
      </c>
      <c r="N743" s="5" t="s">
        <v>47</v>
      </c>
      <c r="O743" s="7">
        <v>44967</v>
      </c>
      <c r="P743" s="7">
        <v>44995.75</v>
      </c>
      <c r="Q743" s="5" t="s">
        <v>69</v>
      </c>
      <c r="R743" s="5" t="s">
        <v>32</v>
      </c>
      <c r="S743" s="5" t="s">
        <v>49</v>
      </c>
      <c r="T743" s="6">
        <v>5</v>
      </c>
      <c r="U743" s="6">
        <v>8</v>
      </c>
      <c r="V743" s="5" t="s">
        <v>34</v>
      </c>
      <c r="W743" s="8"/>
      <c r="Y743">
        <f t="shared" si="14"/>
        <v>62.5</v>
      </c>
    </row>
    <row r="744" spans="1:25" ht="15.75" customHeight="1">
      <c r="A744" s="5" t="s">
        <v>1539</v>
      </c>
      <c r="B744" s="6">
        <v>23</v>
      </c>
      <c r="C744" s="5" t="s">
        <v>36</v>
      </c>
      <c r="D744" s="6" t="s">
        <v>389</v>
      </c>
      <c r="E744" s="6"/>
      <c r="F744" s="7">
        <v>45328</v>
      </c>
      <c r="G744" s="6">
        <v>6</v>
      </c>
      <c r="H744" s="5" t="s">
        <v>58</v>
      </c>
      <c r="I744" s="6">
        <v>4</v>
      </c>
      <c r="J744" s="5" t="s">
        <v>97</v>
      </c>
      <c r="K744" s="6">
        <v>8216</v>
      </c>
      <c r="L744" s="5" t="s">
        <v>90</v>
      </c>
      <c r="M744" s="5" t="s">
        <v>66</v>
      </c>
      <c r="N744" s="5" t="s">
        <v>28</v>
      </c>
      <c r="O744" s="6" t="s">
        <v>293</v>
      </c>
      <c r="P744" s="6" t="s">
        <v>1540</v>
      </c>
      <c r="Q744" s="5" t="s">
        <v>69</v>
      </c>
      <c r="R744" s="5" t="s">
        <v>32</v>
      </c>
      <c r="S744" s="5" t="s">
        <v>33</v>
      </c>
      <c r="T744" s="6">
        <v>10</v>
      </c>
      <c r="U744" s="6">
        <v>8</v>
      </c>
      <c r="V744" s="5" t="s">
        <v>54</v>
      </c>
      <c r="W744" s="8"/>
      <c r="Y744">
        <f t="shared" si="14"/>
        <v>125</v>
      </c>
    </row>
    <row r="745" spans="1:25" ht="15.75" customHeight="1">
      <c r="A745" s="5" t="s">
        <v>1541</v>
      </c>
      <c r="B745" s="6">
        <v>79</v>
      </c>
      <c r="C745" s="5" t="s">
        <v>22</v>
      </c>
      <c r="D745" s="6" t="s">
        <v>331</v>
      </c>
      <c r="E745" s="6"/>
      <c r="F745" s="7">
        <v>45388</v>
      </c>
      <c r="G745" s="6">
        <v>15</v>
      </c>
      <c r="H745" s="5" t="s">
        <v>83</v>
      </c>
      <c r="I745" s="6">
        <v>3</v>
      </c>
      <c r="J745" s="5" t="s">
        <v>89</v>
      </c>
      <c r="K745" s="6">
        <v>19267</v>
      </c>
      <c r="L745" s="5" t="s">
        <v>80</v>
      </c>
      <c r="M745" s="5" t="s">
        <v>66</v>
      </c>
      <c r="N745" s="5" t="s">
        <v>28</v>
      </c>
      <c r="O745" s="6" t="s">
        <v>421</v>
      </c>
      <c r="P745" s="6" t="s">
        <v>1542</v>
      </c>
      <c r="Q745" s="5" t="s">
        <v>48</v>
      </c>
      <c r="R745" s="5" t="s">
        <v>32</v>
      </c>
      <c r="S745" s="5" t="s">
        <v>49</v>
      </c>
      <c r="T745" s="6">
        <v>6</v>
      </c>
      <c r="U745" s="6">
        <v>10</v>
      </c>
      <c r="V745" s="5" t="s">
        <v>54</v>
      </c>
      <c r="W745" s="8"/>
      <c r="Y745">
        <f t="shared" si="14"/>
        <v>60</v>
      </c>
    </row>
    <row r="746" spans="1:25" ht="15.75" customHeight="1">
      <c r="A746" s="5" t="s">
        <v>1543</v>
      </c>
      <c r="B746" s="6">
        <v>85</v>
      </c>
      <c r="C746" s="5" t="s">
        <v>22</v>
      </c>
      <c r="D746" s="6" t="s">
        <v>477</v>
      </c>
      <c r="E746" s="6"/>
      <c r="F746" s="6" t="s">
        <v>1295</v>
      </c>
      <c r="G746" s="6">
        <v>1</v>
      </c>
      <c r="H746" s="5" t="s">
        <v>58</v>
      </c>
      <c r="I746" s="6">
        <v>3</v>
      </c>
      <c r="J746" s="5" t="s">
        <v>39</v>
      </c>
      <c r="K746" s="6">
        <v>14581</v>
      </c>
      <c r="L746" s="5" t="s">
        <v>80</v>
      </c>
      <c r="M746" s="5" t="s">
        <v>66</v>
      </c>
      <c r="N746" s="5" t="s">
        <v>28</v>
      </c>
      <c r="O746" s="6" t="s">
        <v>380</v>
      </c>
      <c r="P746" s="6" t="s">
        <v>1544</v>
      </c>
      <c r="Q746" s="5" t="s">
        <v>86</v>
      </c>
      <c r="R746" s="5" t="s">
        <v>32</v>
      </c>
      <c r="S746" s="5" t="s">
        <v>33</v>
      </c>
      <c r="T746" s="6">
        <v>6</v>
      </c>
      <c r="U746" s="6">
        <v>10</v>
      </c>
      <c r="V746" s="5" t="s">
        <v>34</v>
      </c>
      <c r="W746" s="8"/>
      <c r="Y746">
        <f t="shared" si="14"/>
        <v>60</v>
      </c>
    </row>
    <row r="747" spans="1:25" ht="15.75" customHeight="1">
      <c r="A747" s="5" t="s">
        <v>1545</v>
      </c>
      <c r="B747" s="6">
        <v>14</v>
      </c>
      <c r="C747" s="5" t="s">
        <v>62</v>
      </c>
      <c r="D747" s="6" t="s">
        <v>501</v>
      </c>
      <c r="E747" s="6"/>
      <c r="F747" s="6" t="s">
        <v>76</v>
      </c>
      <c r="G747" s="6">
        <v>7</v>
      </c>
      <c r="H747" s="5" t="s">
        <v>46</v>
      </c>
      <c r="I747" s="6">
        <v>2</v>
      </c>
      <c r="J747" s="5" t="s">
        <v>97</v>
      </c>
      <c r="K747" s="6">
        <v>9515</v>
      </c>
      <c r="L747" s="5" t="s">
        <v>40</v>
      </c>
      <c r="M747" s="5" t="s">
        <v>66</v>
      </c>
      <c r="N747" s="5" t="s">
        <v>47</v>
      </c>
      <c r="O747" s="6" t="s">
        <v>178</v>
      </c>
      <c r="P747" s="6" t="s">
        <v>1546</v>
      </c>
      <c r="Q747" s="5" t="s">
        <v>69</v>
      </c>
      <c r="R747" s="5" t="s">
        <v>32</v>
      </c>
      <c r="S747" s="5" t="s">
        <v>33</v>
      </c>
      <c r="T747" s="6">
        <v>11</v>
      </c>
      <c r="U747" s="6">
        <v>12</v>
      </c>
      <c r="V747" s="5" t="s">
        <v>92</v>
      </c>
      <c r="W747" s="8"/>
      <c r="Y747">
        <f t="shared" si="14"/>
        <v>91.666666666666657</v>
      </c>
    </row>
    <row r="748" spans="1:25" ht="15.75" customHeight="1">
      <c r="A748" s="5" t="s">
        <v>1547</v>
      </c>
      <c r="B748" s="6">
        <v>66</v>
      </c>
      <c r="C748" s="5" t="s">
        <v>51</v>
      </c>
      <c r="D748" s="7">
        <v>45201</v>
      </c>
      <c r="E748" s="7"/>
      <c r="F748" s="7">
        <v>45232</v>
      </c>
      <c r="G748" s="6">
        <v>1</v>
      </c>
      <c r="H748" s="5" t="s">
        <v>46</v>
      </c>
      <c r="I748" s="6">
        <v>1</v>
      </c>
      <c r="J748" s="5" t="s">
        <v>39</v>
      </c>
      <c r="K748" s="6">
        <v>27076</v>
      </c>
      <c r="L748" s="5" t="s">
        <v>80</v>
      </c>
      <c r="M748" s="5" t="s">
        <v>66</v>
      </c>
      <c r="N748" s="5" t="s">
        <v>28</v>
      </c>
      <c r="O748" s="7">
        <v>45201</v>
      </c>
      <c r="P748" s="7">
        <v>45232.875</v>
      </c>
      <c r="Q748" s="5" t="s">
        <v>48</v>
      </c>
      <c r="R748" s="5" t="s">
        <v>32</v>
      </c>
      <c r="S748" s="5" t="s">
        <v>33</v>
      </c>
      <c r="T748" s="6">
        <v>5</v>
      </c>
      <c r="U748" s="6">
        <v>12</v>
      </c>
      <c r="V748" s="5" t="s">
        <v>54</v>
      </c>
      <c r="W748" s="8"/>
      <c r="Y748">
        <f t="shared" si="14"/>
        <v>41.666666666666671</v>
      </c>
    </row>
    <row r="749" spans="1:25" ht="15.75" customHeight="1">
      <c r="A749" s="5" t="s">
        <v>1548</v>
      </c>
      <c r="B749" s="6">
        <v>75</v>
      </c>
      <c r="C749" s="5" t="s">
        <v>36</v>
      </c>
      <c r="D749" s="6" t="s">
        <v>1153</v>
      </c>
      <c r="E749" s="6"/>
      <c r="F749" s="6" t="s">
        <v>1295</v>
      </c>
      <c r="G749" s="6">
        <v>7</v>
      </c>
      <c r="H749" s="5" t="s">
        <v>73</v>
      </c>
      <c r="I749" s="6">
        <v>5</v>
      </c>
      <c r="J749" s="5" t="s">
        <v>39</v>
      </c>
      <c r="K749" s="6">
        <v>49816</v>
      </c>
      <c r="L749" s="5" t="s">
        <v>40</v>
      </c>
      <c r="M749" s="5" t="s">
        <v>66</v>
      </c>
      <c r="N749" s="5" t="s">
        <v>28</v>
      </c>
      <c r="O749" s="6" t="s">
        <v>317</v>
      </c>
      <c r="P749" s="6" t="s">
        <v>1549</v>
      </c>
      <c r="Q749" s="5" t="s">
        <v>43</v>
      </c>
      <c r="R749" s="5" t="s">
        <v>44</v>
      </c>
      <c r="S749" s="5" t="s">
        <v>53</v>
      </c>
      <c r="T749" s="6">
        <v>5</v>
      </c>
      <c r="U749" s="6">
        <v>8</v>
      </c>
      <c r="V749" s="5" t="s">
        <v>92</v>
      </c>
      <c r="W749" s="8"/>
      <c r="Y749">
        <f t="shared" si="14"/>
        <v>62.5</v>
      </c>
    </row>
    <row r="750" spans="1:25" ht="15.75" customHeight="1">
      <c r="A750" s="5" t="s">
        <v>1550</v>
      </c>
      <c r="B750" s="6">
        <v>51</v>
      </c>
      <c r="C750" s="5" t="s">
        <v>82</v>
      </c>
      <c r="D750" s="6" t="s">
        <v>470</v>
      </c>
      <c r="E750" s="6"/>
      <c r="F750" s="7">
        <v>45089</v>
      </c>
      <c r="G750" s="6">
        <v>9</v>
      </c>
      <c r="H750" s="5" t="s">
        <v>73</v>
      </c>
      <c r="I750" s="6">
        <v>5</v>
      </c>
      <c r="J750" s="5" t="s">
        <v>52</v>
      </c>
      <c r="K750" s="6">
        <v>14776</v>
      </c>
      <c r="L750" s="5" t="s">
        <v>80</v>
      </c>
      <c r="M750" s="5" t="s">
        <v>66</v>
      </c>
      <c r="N750" s="5" t="s">
        <v>28</v>
      </c>
      <c r="O750" s="6" t="s">
        <v>1246</v>
      </c>
      <c r="P750" s="6" t="s">
        <v>1551</v>
      </c>
      <c r="Q750" s="5" t="s">
        <v>69</v>
      </c>
      <c r="R750" s="5" t="s">
        <v>32</v>
      </c>
      <c r="S750" s="5" t="s">
        <v>33</v>
      </c>
      <c r="T750" s="6">
        <v>11</v>
      </c>
      <c r="U750" s="6">
        <v>12</v>
      </c>
      <c r="V750" s="5" t="s">
        <v>92</v>
      </c>
      <c r="W750" s="8"/>
      <c r="Y750">
        <f t="shared" si="14"/>
        <v>91.666666666666657</v>
      </c>
    </row>
    <row r="751" spans="1:25" ht="15.75" customHeight="1">
      <c r="A751" s="5" t="s">
        <v>1552</v>
      </c>
      <c r="B751" s="6">
        <v>38</v>
      </c>
      <c r="C751" s="5" t="s">
        <v>62</v>
      </c>
      <c r="D751" s="6" t="s">
        <v>1302</v>
      </c>
      <c r="E751" s="6"/>
      <c r="F751" s="6" t="s">
        <v>592</v>
      </c>
      <c r="G751" s="6">
        <v>6</v>
      </c>
      <c r="H751" s="5" t="s">
        <v>24</v>
      </c>
      <c r="I751" s="6">
        <v>1</v>
      </c>
      <c r="J751" s="5" t="s">
        <v>97</v>
      </c>
      <c r="K751" s="6">
        <v>26947</v>
      </c>
      <c r="L751" s="5" t="s">
        <v>65</v>
      </c>
      <c r="M751" s="5" t="s">
        <v>27</v>
      </c>
      <c r="N751" s="5" t="s">
        <v>47</v>
      </c>
      <c r="O751" s="7">
        <v>45178</v>
      </c>
      <c r="P751" s="7">
        <v>45178.666666666664</v>
      </c>
      <c r="Q751" s="5" t="s">
        <v>43</v>
      </c>
      <c r="R751" s="5" t="s">
        <v>32</v>
      </c>
      <c r="S751" s="5" t="s">
        <v>49</v>
      </c>
      <c r="T751" s="6">
        <v>7</v>
      </c>
      <c r="U751" s="6">
        <v>12</v>
      </c>
      <c r="V751" s="5" t="s">
        <v>92</v>
      </c>
      <c r="W751" s="8"/>
      <c r="Y751">
        <f t="shared" si="14"/>
        <v>58.333333333333336</v>
      </c>
    </row>
    <row r="752" spans="1:25" ht="15.75" customHeight="1">
      <c r="A752" s="5" t="s">
        <v>1553</v>
      </c>
      <c r="B752" s="6">
        <v>64</v>
      </c>
      <c r="C752" s="5" t="s">
        <v>51</v>
      </c>
      <c r="D752" s="6" t="s">
        <v>1243</v>
      </c>
      <c r="E752" s="6"/>
      <c r="F752" s="6" t="s">
        <v>88</v>
      </c>
      <c r="G752" s="6">
        <v>4</v>
      </c>
      <c r="H752" s="5" t="s">
        <v>46</v>
      </c>
      <c r="I752" s="6">
        <v>2</v>
      </c>
      <c r="J752" s="5" t="s">
        <v>89</v>
      </c>
      <c r="K752" s="6">
        <v>7963</v>
      </c>
      <c r="L752" s="5" t="s">
        <v>65</v>
      </c>
      <c r="M752" s="5" t="s">
        <v>66</v>
      </c>
      <c r="N752" s="5" t="s">
        <v>28</v>
      </c>
      <c r="O752" s="6" t="s">
        <v>37</v>
      </c>
      <c r="P752" s="6" t="s">
        <v>1554</v>
      </c>
      <c r="Q752" s="5" t="s">
        <v>69</v>
      </c>
      <c r="R752" s="5" t="s">
        <v>32</v>
      </c>
      <c r="S752" s="5" t="s">
        <v>49</v>
      </c>
      <c r="T752" s="6">
        <v>9</v>
      </c>
      <c r="U752" s="6">
        <v>8</v>
      </c>
      <c r="V752" s="5" t="s">
        <v>92</v>
      </c>
      <c r="W752" s="8"/>
      <c r="Y752">
        <f t="shared" si="14"/>
        <v>112.5</v>
      </c>
    </row>
    <row r="753" spans="1:25" ht="15.75" customHeight="1">
      <c r="A753" s="5" t="s">
        <v>1555</v>
      </c>
      <c r="B753" s="6">
        <v>38</v>
      </c>
      <c r="C753" s="5" t="s">
        <v>82</v>
      </c>
      <c r="D753" s="7">
        <v>45020</v>
      </c>
      <c r="E753" s="7"/>
      <c r="F753" s="7">
        <v>45234</v>
      </c>
      <c r="G753" s="6">
        <v>7</v>
      </c>
      <c r="H753" s="5" t="s">
        <v>83</v>
      </c>
      <c r="I753" s="6">
        <v>5</v>
      </c>
      <c r="J753" s="5" t="s">
        <v>89</v>
      </c>
      <c r="K753" s="6">
        <v>11786</v>
      </c>
      <c r="L753" s="5" t="s">
        <v>40</v>
      </c>
      <c r="M753" s="5" t="s">
        <v>66</v>
      </c>
      <c r="N753" s="5" t="s">
        <v>28</v>
      </c>
      <c r="O753" s="6" t="s">
        <v>179</v>
      </c>
      <c r="P753" s="6" t="s">
        <v>1556</v>
      </c>
      <c r="Q753" s="5" t="s">
        <v>31</v>
      </c>
      <c r="R753" s="5" t="s">
        <v>32</v>
      </c>
      <c r="S753" s="5" t="s">
        <v>33</v>
      </c>
      <c r="T753" s="6">
        <v>11</v>
      </c>
      <c r="U753" s="6">
        <v>10</v>
      </c>
      <c r="V753" s="5" t="s">
        <v>54</v>
      </c>
      <c r="W753" s="8"/>
      <c r="Y753">
        <f t="shared" si="14"/>
        <v>110.00000000000001</v>
      </c>
    </row>
    <row r="754" spans="1:25" ht="15.75" customHeight="1">
      <c r="A754" s="5" t="s">
        <v>1557</v>
      </c>
      <c r="B754" s="6">
        <v>50</v>
      </c>
      <c r="C754" s="5" t="s">
        <v>22</v>
      </c>
      <c r="D754" s="6" t="s">
        <v>101</v>
      </c>
      <c r="E754" s="6"/>
      <c r="F754" s="6" t="s">
        <v>1111</v>
      </c>
      <c r="G754" s="6">
        <v>2</v>
      </c>
      <c r="H754" s="5" t="s">
        <v>58</v>
      </c>
      <c r="I754" s="6">
        <v>3</v>
      </c>
      <c r="J754" s="5" t="s">
        <v>97</v>
      </c>
      <c r="K754" s="6">
        <v>18866</v>
      </c>
      <c r="L754" s="5" t="s">
        <v>80</v>
      </c>
      <c r="M754" s="5" t="s">
        <v>66</v>
      </c>
      <c r="N754" s="5" t="s">
        <v>28</v>
      </c>
      <c r="O754" s="6" t="s">
        <v>57</v>
      </c>
      <c r="P754" s="6" t="s">
        <v>1016</v>
      </c>
      <c r="Q754" s="5" t="s">
        <v>48</v>
      </c>
      <c r="R754" s="5" t="s">
        <v>32</v>
      </c>
      <c r="S754" s="5" t="s">
        <v>33</v>
      </c>
      <c r="T754" s="6">
        <v>7</v>
      </c>
      <c r="U754" s="6">
        <v>10</v>
      </c>
      <c r="V754" s="5" t="s">
        <v>54</v>
      </c>
      <c r="W754" s="8"/>
      <c r="Y754">
        <f t="shared" si="14"/>
        <v>70</v>
      </c>
    </row>
    <row r="755" spans="1:25" ht="15.75" customHeight="1">
      <c r="A755" s="5" t="s">
        <v>1558</v>
      </c>
      <c r="B755" s="6">
        <v>82</v>
      </c>
      <c r="C755" s="5" t="s">
        <v>22</v>
      </c>
      <c r="D755" s="6" t="s">
        <v>41</v>
      </c>
      <c r="E755" s="6"/>
      <c r="F755" s="6" t="s">
        <v>107</v>
      </c>
      <c r="G755" s="6">
        <v>6</v>
      </c>
      <c r="H755" s="5" t="s">
        <v>38</v>
      </c>
      <c r="I755" s="6">
        <v>1</v>
      </c>
      <c r="J755" s="5" t="s">
        <v>52</v>
      </c>
      <c r="K755" s="6">
        <v>43968</v>
      </c>
      <c r="L755" s="5" t="s">
        <v>80</v>
      </c>
      <c r="M755" s="5" t="s">
        <v>66</v>
      </c>
      <c r="N755" s="5" t="s">
        <v>47</v>
      </c>
      <c r="O755" s="6" t="s">
        <v>608</v>
      </c>
      <c r="P755" s="6" t="s">
        <v>1559</v>
      </c>
      <c r="Q755" s="5" t="s">
        <v>48</v>
      </c>
      <c r="R755" s="5" t="s">
        <v>32</v>
      </c>
      <c r="S755" s="5" t="s">
        <v>49</v>
      </c>
      <c r="T755" s="6">
        <v>6</v>
      </c>
      <c r="U755" s="6">
        <v>8</v>
      </c>
      <c r="V755" s="5" t="s">
        <v>92</v>
      </c>
      <c r="W755" s="8"/>
      <c r="Y755">
        <f t="shared" si="14"/>
        <v>75</v>
      </c>
    </row>
    <row r="756" spans="1:25" ht="15.75" customHeight="1">
      <c r="A756" s="5" t="s">
        <v>1560</v>
      </c>
      <c r="B756" s="6">
        <v>30</v>
      </c>
      <c r="C756" s="5" t="s">
        <v>82</v>
      </c>
      <c r="D756" s="7">
        <v>44995</v>
      </c>
      <c r="E756" s="7"/>
      <c r="F756" s="7">
        <v>45117</v>
      </c>
      <c r="G756" s="6">
        <v>4</v>
      </c>
      <c r="H756" s="5" t="s">
        <v>73</v>
      </c>
      <c r="I756" s="6">
        <v>4</v>
      </c>
      <c r="J756" s="5" t="s">
        <v>25</v>
      </c>
      <c r="K756" s="6">
        <v>37305</v>
      </c>
      <c r="L756" s="5" t="s">
        <v>90</v>
      </c>
      <c r="M756" s="5" t="s">
        <v>27</v>
      </c>
      <c r="N756" s="5" t="s">
        <v>28</v>
      </c>
      <c r="O756" s="6" t="s">
        <v>163</v>
      </c>
      <c r="P756" s="6" t="s">
        <v>1561</v>
      </c>
      <c r="Q756" s="5" t="s">
        <v>31</v>
      </c>
      <c r="R756" s="5" t="s">
        <v>32</v>
      </c>
      <c r="S756" s="5" t="s">
        <v>33</v>
      </c>
      <c r="T756" s="6">
        <v>7</v>
      </c>
      <c r="U756" s="6">
        <v>8</v>
      </c>
      <c r="V756" s="5" t="s">
        <v>92</v>
      </c>
      <c r="W756" s="8"/>
      <c r="Y756">
        <f t="shared" si="14"/>
        <v>87.5</v>
      </c>
    </row>
    <row r="757" spans="1:25" ht="15.75" customHeight="1">
      <c r="A757" s="5" t="s">
        <v>1562</v>
      </c>
      <c r="B757" s="6">
        <v>79</v>
      </c>
      <c r="C757" s="5" t="s">
        <v>62</v>
      </c>
      <c r="D757" s="7">
        <v>45232</v>
      </c>
      <c r="E757" s="7"/>
      <c r="F757" s="7">
        <v>45262</v>
      </c>
      <c r="G757" s="6">
        <v>1</v>
      </c>
      <c r="H757" s="5" t="s">
        <v>38</v>
      </c>
      <c r="I757" s="6">
        <v>2</v>
      </c>
      <c r="J757" s="5" t="s">
        <v>39</v>
      </c>
      <c r="K757" s="6">
        <v>22360</v>
      </c>
      <c r="L757" s="5" t="s">
        <v>26</v>
      </c>
      <c r="M757" s="5" t="s">
        <v>27</v>
      </c>
      <c r="N757" s="5" t="s">
        <v>28</v>
      </c>
      <c r="O757" s="7">
        <v>45140</v>
      </c>
      <c r="P757" s="7">
        <v>45171.25</v>
      </c>
      <c r="Q757" s="5" t="s">
        <v>86</v>
      </c>
      <c r="R757" s="5" t="s">
        <v>32</v>
      </c>
      <c r="S757" s="5" t="s">
        <v>53</v>
      </c>
      <c r="T757" s="6">
        <v>6</v>
      </c>
      <c r="U757" s="6">
        <v>8</v>
      </c>
      <c r="V757" s="5" t="s">
        <v>34</v>
      </c>
      <c r="W757" s="8"/>
      <c r="Y757">
        <f t="shared" si="14"/>
        <v>75</v>
      </c>
    </row>
    <row r="758" spans="1:25" ht="15.75" customHeight="1">
      <c r="A758" s="5" t="s">
        <v>1563</v>
      </c>
      <c r="B758" s="6">
        <v>51</v>
      </c>
      <c r="C758" s="5" t="s">
        <v>22</v>
      </c>
      <c r="D758" s="6" t="s">
        <v>245</v>
      </c>
      <c r="E758" s="6"/>
      <c r="F758" s="7">
        <v>45053</v>
      </c>
      <c r="G758" s="6">
        <v>6</v>
      </c>
      <c r="H758" s="5" t="s">
        <v>83</v>
      </c>
      <c r="I758" s="6">
        <v>1</v>
      </c>
      <c r="J758" s="5" t="s">
        <v>52</v>
      </c>
      <c r="K758" s="6">
        <v>45113</v>
      </c>
      <c r="L758" s="5" t="s">
        <v>40</v>
      </c>
      <c r="M758" s="5" t="s">
        <v>66</v>
      </c>
      <c r="N758" s="5" t="s">
        <v>47</v>
      </c>
      <c r="O758" s="6" t="s">
        <v>245</v>
      </c>
      <c r="P758" s="6" t="s">
        <v>1564</v>
      </c>
      <c r="Q758" s="5" t="s">
        <v>48</v>
      </c>
      <c r="R758" s="5" t="s">
        <v>44</v>
      </c>
      <c r="S758" s="5" t="s">
        <v>33</v>
      </c>
      <c r="T758" s="6">
        <v>4</v>
      </c>
      <c r="U758" s="6">
        <v>8</v>
      </c>
      <c r="V758" s="5" t="s">
        <v>34</v>
      </c>
      <c r="W758" s="8"/>
      <c r="Y758">
        <f t="shared" si="14"/>
        <v>50</v>
      </c>
    </row>
    <row r="759" spans="1:25" ht="15.75" customHeight="1">
      <c r="A759" s="5" t="s">
        <v>1565</v>
      </c>
      <c r="B759" s="6">
        <v>63</v>
      </c>
      <c r="C759" s="5" t="s">
        <v>36</v>
      </c>
      <c r="D759" s="6" t="s">
        <v>531</v>
      </c>
      <c r="E759" s="6"/>
      <c r="F759" s="7">
        <v>45601</v>
      </c>
      <c r="G759" s="6">
        <v>15</v>
      </c>
      <c r="H759" s="5" t="s">
        <v>73</v>
      </c>
      <c r="I759" s="6">
        <v>5</v>
      </c>
      <c r="J759" s="5" t="s">
        <v>97</v>
      </c>
      <c r="K759" s="6">
        <v>37813</v>
      </c>
      <c r="L759" s="5" t="s">
        <v>26</v>
      </c>
      <c r="M759" s="5" t="s">
        <v>27</v>
      </c>
      <c r="N759" s="5" t="s">
        <v>47</v>
      </c>
      <c r="O759" s="6" t="s">
        <v>358</v>
      </c>
      <c r="P759" s="6" t="s">
        <v>1566</v>
      </c>
      <c r="Q759" s="5" t="s">
        <v>43</v>
      </c>
      <c r="R759" s="5" t="s">
        <v>32</v>
      </c>
      <c r="S759" s="5" t="s">
        <v>53</v>
      </c>
      <c r="T759" s="6">
        <v>6</v>
      </c>
      <c r="U759" s="6">
        <v>8</v>
      </c>
      <c r="V759" s="5" t="s">
        <v>34</v>
      </c>
      <c r="W759" s="8"/>
      <c r="Y759">
        <f t="shared" si="14"/>
        <v>75</v>
      </c>
    </row>
    <row r="760" spans="1:25" ht="15.75" customHeight="1">
      <c r="A760" s="5" t="s">
        <v>1567</v>
      </c>
      <c r="B760" s="6">
        <v>52</v>
      </c>
      <c r="C760" s="5" t="s">
        <v>47</v>
      </c>
      <c r="D760" s="6" t="s">
        <v>1288</v>
      </c>
      <c r="E760" s="6"/>
      <c r="F760" s="6" t="s">
        <v>1085</v>
      </c>
      <c r="G760" s="6">
        <v>2</v>
      </c>
      <c r="H760" s="5" t="s">
        <v>38</v>
      </c>
      <c r="I760" s="6">
        <v>2</v>
      </c>
      <c r="J760" s="5" t="s">
        <v>39</v>
      </c>
      <c r="K760" s="6">
        <v>6193</v>
      </c>
      <c r="L760" s="5" t="s">
        <v>26</v>
      </c>
      <c r="M760" s="5" t="s">
        <v>66</v>
      </c>
      <c r="N760" s="5" t="s">
        <v>28</v>
      </c>
      <c r="O760" s="7">
        <v>45571</v>
      </c>
      <c r="P760" s="7">
        <v>45571.166666666664</v>
      </c>
      <c r="Q760" s="5" t="s">
        <v>48</v>
      </c>
      <c r="R760" s="5" t="s">
        <v>32</v>
      </c>
      <c r="S760" s="5" t="s">
        <v>53</v>
      </c>
      <c r="T760" s="6">
        <v>6</v>
      </c>
      <c r="U760" s="6">
        <v>8</v>
      </c>
      <c r="V760" s="5" t="s">
        <v>54</v>
      </c>
      <c r="W760" s="8"/>
      <c r="Y760">
        <f t="shared" si="14"/>
        <v>75</v>
      </c>
    </row>
    <row r="761" spans="1:25" ht="15.75" customHeight="1">
      <c r="A761" s="5" t="s">
        <v>1568</v>
      </c>
      <c r="B761" s="6">
        <v>38</v>
      </c>
      <c r="C761" s="5" t="s">
        <v>82</v>
      </c>
      <c r="D761" s="6" t="s">
        <v>547</v>
      </c>
      <c r="E761" s="6"/>
      <c r="F761" s="7">
        <v>45600</v>
      </c>
      <c r="G761" s="6">
        <v>14</v>
      </c>
      <c r="H761" s="5" t="s">
        <v>83</v>
      </c>
      <c r="I761" s="6">
        <v>3</v>
      </c>
      <c r="J761" s="5" t="s">
        <v>89</v>
      </c>
      <c r="K761" s="6">
        <v>9512</v>
      </c>
      <c r="L761" s="5" t="s">
        <v>40</v>
      </c>
      <c r="M761" s="5" t="s">
        <v>27</v>
      </c>
      <c r="N761" s="5" t="s">
        <v>47</v>
      </c>
      <c r="O761" s="6" t="s">
        <v>463</v>
      </c>
      <c r="P761" s="6" t="s">
        <v>1569</v>
      </c>
      <c r="Q761" s="5" t="s">
        <v>86</v>
      </c>
      <c r="R761" s="5" t="s">
        <v>44</v>
      </c>
      <c r="S761" s="5" t="s">
        <v>53</v>
      </c>
      <c r="T761" s="6">
        <v>7</v>
      </c>
      <c r="U761" s="6">
        <v>12</v>
      </c>
      <c r="V761" s="5" t="s">
        <v>34</v>
      </c>
      <c r="W761" s="8"/>
      <c r="Y761">
        <f t="shared" si="14"/>
        <v>58.333333333333336</v>
      </c>
    </row>
    <row r="762" spans="1:25" ht="15.75" customHeight="1">
      <c r="A762" s="5" t="s">
        <v>1570</v>
      </c>
      <c r="B762" s="6">
        <v>88</v>
      </c>
      <c r="C762" s="5" t="s">
        <v>82</v>
      </c>
      <c r="D762" s="7">
        <v>45270</v>
      </c>
      <c r="E762" s="7"/>
      <c r="F762" s="6" t="s">
        <v>204</v>
      </c>
      <c r="G762" s="6">
        <v>12</v>
      </c>
      <c r="H762" s="5" t="s">
        <v>58</v>
      </c>
      <c r="I762" s="6">
        <v>2</v>
      </c>
      <c r="J762" s="5" t="s">
        <v>25</v>
      </c>
      <c r="K762" s="6">
        <v>27666</v>
      </c>
      <c r="L762" s="5" t="s">
        <v>80</v>
      </c>
      <c r="M762" s="5" t="s">
        <v>66</v>
      </c>
      <c r="N762" s="5" t="s">
        <v>47</v>
      </c>
      <c r="O762" s="7">
        <v>45179</v>
      </c>
      <c r="P762" s="7">
        <v>45209.791666666664</v>
      </c>
      <c r="Q762" s="5" t="s">
        <v>43</v>
      </c>
      <c r="R762" s="5" t="s">
        <v>32</v>
      </c>
      <c r="S762" s="5" t="s">
        <v>33</v>
      </c>
      <c r="T762" s="6">
        <v>9</v>
      </c>
      <c r="U762" s="6">
        <v>12</v>
      </c>
      <c r="V762" s="5" t="s">
        <v>54</v>
      </c>
      <c r="W762" s="8"/>
      <c r="Y762">
        <f t="shared" si="14"/>
        <v>75</v>
      </c>
    </row>
    <row r="763" spans="1:25" ht="15.75" customHeight="1">
      <c r="A763" s="5" t="s">
        <v>1571</v>
      </c>
      <c r="B763" s="6">
        <v>79</v>
      </c>
      <c r="C763" s="5" t="s">
        <v>22</v>
      </c>
      <c r="D763" s="7">
        <v>45053</v>
      </c>
      <c r="E763" s="7"/>
      <c r="F763" s="6" t="s">
        <v>187</v>
      </c>
      <c r="G763" s="6">
        <v>11</v>
      </c>
      <c r="H763" s="5" t="s">
        <v>83</v>
      </c>
      <c r="I763" s="6">
        <v>2</v>
      </c>
      <c r="J763" s="5" t="s">
        <v>89</v>
      </c>
      <c r="K763" s="6">
        <v>21630</v>
      </c>
      <c r="L763" s="5" t="s">
        <v>40</v>
      </c>
      <c r="M763" s="5" t="s">
        <v>66</v>
      </c>
      <c r="N763" s="5" t="s">
        <v>28</v>
      </c>
      <c r="O763" s="7">
        <v>44933</v>
      </c>
      <c r="P763" s="7">
        <v>44992</v>
      </c>
      <c r="Q763" s="5" t="s">
        <v>43</v>
      </c>
      <c r="R763" s="5" t="s">
        <v>32</v>
      </c>
      <c r="S763" s="5" t="s">
        <v>53</v>
      </c>
      <c r="T763" s="6">
        <v>4</v>
      </c>
      <c r="U763" s="6">
        <v>12</v>
      </c>
      <c r="V763" s="5" t="s">
        <v>54</v>
      </c>
      <c r="W763" s="8"/>
      <c r="Y763">
        <f t="shared" si="14"/>
        <v>33.333333333333329</v>
      </c>
    </row>
    <row r="764" spans="1:25" ht="15.75" customHeight="1">
      <c r="A764" s="5" t="s">
        <v>1572</v>
      </c>
      <c r="B764" s="6">
        <v>30</v>
      </c>
      <c r="C764" s="5" t="s">
        <v>62</v>
      </c>
      <c r="D764" s="6" t="s">
        <v>380</v>
      </c>
      <c r="E764" s="6"/>
      <c r="F764" s="6" t="s">
        <v>547</v>
      </c>
      <c r="G764" s="6">
        <v>6</v>
      </c>
      <c r="H764" s="5" t="s">
        <v>24</v>
      </c>
      <c r="I764" s="6">
        <v>3</v>
      </c>
      <c r="J764" s="5" t="s">
        <v>97</v>
      </c>
      <c r="K764" s="6">
        <v>13983</v>
      </c>
      <c r="L764" s="5" t="s">
        <v>26</v>
      </c>
      <c r="M764" s="5" t="s">
        <v>27</v>
      </c>
      <c r="N764" s="5" t="s">
        <v>28</v>
      </c>
      <c r="O764" s="6" t="s">
        <v>133</v>
      </c>
      <c r="P764" s="6" t="s">
        <v>1573</v>
      </c>
      <c r="Q764" s="5" t="s">
        <v>31</v>
      </c>
      <c r="R764" s="5" t="s">
        <v>32</v>
      </c>
      <c r="S764" s="5" t="s">
        <v>53</v>
      </c>
      <c r="T764" s="6">
        <v>8</v>
      </c>
      <c r="U764" s="6">
        <v>10</v>
      </c>
      <c r="V764" s="5" t="s">
        <v>54</v>
      </c>
      <c r="W764" s="8"/>
      <c r="Y764">
        <f t="shared" si="14"/>
        <v>80</v>
      </c>
    </row>
    <row r="765" spans="1:25" ht="15.75" customHeight="1">
      <c r="A765" s="5" t="s">
        <v>1574</v>
      </c>
      <c r="B765" s="6">
        <v>51</v>
      </c>
      <c r="C765" s="5" t="s">
        <v>36</v>
      </c>
      <c r="D765" s="6" t="s">
        <v>333</v>
      </c>
      <c r="E765" s="6"/>
      <c r="F765" s="6" t="s">
        <v>781</v>
      </c>
      <c r="G765" s="6">
        <v>13</v>
      </c>
      <c r="H765" s="5" t="s">
        <v>73</v>
      </c>
      <c r="I765" s="6">
        <v>3</v>
      </c>
      <c r="J765" s="5" t="s">
        <v>39</v>
      </c>
      <c r="K765" s="6">
        <v>5636</v>
      </c>
      <c r="L765" s="5" t="s">
        <v>80</v>
      </c>
      <c r="M765" s="5" t="s">
        <v>27</v>
      </c>
      <c r="N765" s="5" t="s">
        <v>47</v>
      </c>
      <c r="O765" s="6" t="s">
        <v>644</v>
      </c>
      <c r="P765" s="6" t="s">
        <v>420</v>
      </c>
      <c r="Q765" s="5" t="s">
        <v>69</v>
      </c>
      <c r="R765" s="5" t="s">
        <v>32</v>
      </c>
      <c r="S765" s="5" t="s">
        <v>33</v>
      </c>
      <c r="T765" s="6">
        <v>8</v>
      </c>
      <c r="U765" s="6">
        <v>8</v>
      </c>
      <c r="V765" s="5" t="s">
        <v>54</v>
      </c>
      <c r="W765" s="8"/>
      <c r="Y765">
        <f t="shared" si="14"/>
        <v>100</v>
      </c>
    </row>
    <row r="766" spans="1:25" ht="15.75" customHeight="1">
      <c r="A766" s="5" t="s">
        <v>1575</v>
      </c>
      <c r="B766" s="6">
        <v>81</v>
      </c>
      <c r="C766" s="5" t="s">
        <v>62</v>
      </c>
      <c r="D766" s="7">
        <v>45020</v>
      </c>
      <c r="E766" s="7"/>
      <c r="F766" s="7">
        <v>45111</v>
      </c>
      <c r="G766" s="6">
        <v>3</v>
      </c>
      <c r="H766" s="5" t="s">
        <v>46</v>
      </c>
      <c r="I766" s="6">
        <v>2</v>
      </c>
      <c r="J766" s="5" t="s">
        <v>97</v>
      </c>
      <c r="K766" s="6">
        <v>8775</v>
      </c>
      <c r="L766" s="5" t="s">
        <v>65</v>
      </c>
      <c r="M766" s="5" t="s">
        <v>27</v>
      </c>
      <c r="N766" s="5" t="s">
        <v>28</v>
      </c>
      <c r="O766" s="7">
        <v>44930</v>
      </c>
      <c r="P766" s="7">
        <v>44930.5</v>
      </c>
      <c r="Q766" s="5" t="s">
        <v>31</v>
      </c>
      <c r="R766" s="5" t="s">
        <v>32</v>
      </c>
      <c r="S766" s="5" t="s">
        <v>53</v>
      </c>
      <c r="T766" s="6">
        <v>9</v>
      </c>
      <c r="U766" s="6">
        <v>8</v>
      </c>
      <c r="V766" s="5" t="s">
        <v>34</v>
      </c>
      <c r="W766" s="8"/>
      <c r="Y766">
        <f t="shared" si="14"/>
        <v>112.5</v>
      </c>
    </row>
    <row r="767" spans="1:25" ht="15.75" customHeight="1">
      <c r="A767" s="5" t="s">
        <v>1576</v>
      </c>
      <c r="B767" s="6">
        <v>5</v>
      </c>
      <c r="C767" s="5" t="s">
        <v>51</v>
      </c>
      <c r="D767" s="6" t="s">
        <v>531</v>
      </c>
      <c r="E767" s="6"/>
      <c r="F767" s="6" t="s">
        <v>530</v>
      </c>
      <c r="G767" s="6">
        <v>3</v>
      </c>
      <c r="H767" s="5" t="s">
        <v>58</v>
      </c>
      <c r="I767" s="6">
        <v>3</v>
      </c>
      <c r="J767" s="5" t="s">
        <v>39</v>
      </c>
      <c r="K767" s="6">
        <v>7421</v>
      </c>
      <c r="L767" s="5" t="s">
        <v>40</v>
      </c>
      <c r="M767" s="5" t="s">
        <v>66</v>
      </c>
      <c r="N767" s="5" t="s">
        <v>47</v>
      </c>
      <c r="O767" s="6" t="s">
        <v>557</v>
      </c>
      <c r="P767" s="6" t="s">
        <v>1577</v>
      </c>
      <c r="Q767" s="5" t="s">
        <v>69</v>
      </c>
      <c r="R767" s="5" t="s">
        <v>32</v>
      </c>
      <c r="S767" s="5" t="s">
        <v>33</v>
      </c>
      <c r="T767" s="6">
        <v>8</v>
      </c>
      <c r="U767" s="6">
        <v>12</v>
      </c>
      <c r="V767" s="5" t="s">
        <v>92</v>
      </c>
      <c r="W767" s="8"/>
      <c r="Y767">
        <f t="shared" si="14"/>
        <v>66.666666666666657</v>
      </c>
    </row>
    <row r="768" spans="1:25" ht="15.75" customHeight="1">
      <c r="A768" s="5" t="s">
        <v>1578</v>
      </c>
      <c r="B768" s="6">
        <v>29</v>
      </c>
      <c r="C768" s="5" t="s">
        <v>51</v>
      </c>
      <c r="D768" s="6" t="s">
        <v>491</v>
      </c>
      <c r="E768" s="6"/>
      <c r="F768" s="6" t="s">
        <v>159</v>
      </c>
      <c r="G768" s="6">
        <v>1</v>
      </c>
      <c r="H768" s="5" t="s">
        <v>38</v>
      </c>
      <c r="I768" s="6">
        <v>1</v>
      </c>
      <c r="J768" s="5" t="s">
        <v>52</v>
      </c>
      <c r="K768" s="6">
        <v>18025</v>
      </c>
      <c r="L768" s="5" t="s">
        <v>40</v>
      </c>
      <c r="M768" s="5" t="s">
        <v>66</v>
      </c>
      <c r="N768" s="5" t="s">
        <v>47</v>
      </c>
      <c r="O768" s="6" t="s">
        <v>144</v>
      </c>
      <c r="P768" s="6" t="s">
        <v>1579</v>
      </c>
      <c r="Q768" s="5" t="s">
        <v>31</v>
      </c>
      <c r="R768" s="5" t="s">
        <v>32</v>
      </c>
      <c r="S768" s="5" t="s">
        <v>49</v>
      </c>
      <c r="T768" s="6">
        <v>4</v>
      </c>
      <c r="U768" s="6">
        <v>10</v>
      </c>
      <c r="V768" s="5" t="s">
        <v>92</v>
      </c>
      <c r="W768" s="8"/>
      <c r="Y768">
        <f t="shared" si="14"/>
        <v>40</v>
      </c>
    </row>
    <row r="769" spans="1:25" ht="15.75" customHeight="1">
      <c r="A769" s="5" t="s">
        <v>1580</v>
      </c>
      <c r="B769" s="6">
        <v>4</v>
      </c>
      <c r="C769" s="5" t="s">
        <v>47</v>
      </c>
      <c r="D769" s="6" t="s">
        <v>554</v>
      </c>
      <c r="E769" s="6"/>
      <c r="F769" s="6" t="s">
        <v>321</v>
      </c>
      <c r="G769" s="6">
        <v>5</v>
      </c>
      <c r="H769" s="5" t="s">
        <v>73</v>
      </c>
      <c r="I769" s="6">
        <v>3</v>
      </c>
      <c r="J769" s="5" t="s">
        <v>25</v>
      </c>
      <c r="K769" s="6">
        <v>14280</v>
      </c>
      <c r="L769" s="5" t="s">
        <v>80</v>
      </c>
      <c r="M769" s="5" t="s">
        <v>27</v>
      </c>
      <c r="N769" s="5" t="s">
        <v>47</v>
      </c>
      <c r="O769" s="6" t="s">
        <v>537</v>
      </c>
      <c r="P769" s="6" t="s">
        <v>1581</v>
      </c>
      <c r="Q769" s="5" t="s">
        <v>69</v>
      </c>
      <c r="R769" s="5" t="s">
        <v>32</v>
      </c>
      <c r="S769" s="5" t="s">
        <v>53</v>
      </c>
      <c r="T769" s="6">
        <v>5</v>
      </c>
      <c r="U769" s="6">
        <v>12</v>
      </c>
      <c r="V769" s="5" t="s">
        <v>92</v>
      </c>
      <c r="W769" s="8"/>
      <c r="Y769">
        <f t="shared" si="14"/>
        <v>41.666666666666671</v>
      </c>
    </row>
    <row r="770" spans="1:25" ht="15.75" customHeight="1">
      <c r="A770" s="5" t="s">
        <v>1582</v>
      </c>
      <c r="B770" s="6">
        <v>10</v>
      </c>
      <c r="C770" s="5" t="s">
        <v>22</v>
      </c>
      <c r="D770" s="7">
        <v>45150</v>
      </c>
      <c r="E770" s="7"/>
      <c r="F770" s="6" t="s">
        <v>491</v>
      </c>
      <c r="G770" s="6">
        <v>15</v>
      </c>
      <c r="H770" s="5" t="s">
        <v>46</v>
      </c>
      <c r="I770" s="6">
        <v>3</v>
      </c>
      <c r="J770" s="5" t="s">
        <v>52</v>
      </c>
      <c r="K770" s="6">
        <v>41951</v>
      </c>
      <c r="L770" s="5" t="s">
        <v>65</v>
      </c>
      <c r="M770" s="5" t="s">
        <v>66</v>
      </c>
      <c r="N770" s="5" t="s">
        <v>28</v>
      </c>
      <c r="O770" s="7">
        <v>45058</v>
      </c>
      <c r="P770" s="7">
        <v>45058.375</v>
      </c>
      <c r="Q770" s="5" t="s">
        <v>48</v>
      </c>
      <c r="R770" s="5" t="s">
        <v>32</v>
      </c>
      <c r="S770" s="5" t="s">
        <v>33</v>
      </c>
      <c r="T770" s="6">
        <v>4</v>
      </c>
      <c r="U770" s="6">
        <v>8</v>
      </c>
      <c r="V770" s="5" t="s">
        <v>34</v>
      </c>
      <c r="W770" s="8"/>
      <c r="Y770">
        <f t="shared" si="14"/>
        <v>50</v>
      </c>
    </row>
    <row r="771" spans="1:25" ht="15.75" customHeight="1">
      <c r="A771" s="5" t="s">
        <v>1583</v>
      </c>
      <c r="B771" s="6">
        <v>56</v>
      </c>
      <c r="C771" s="5" t="s">
        <v>22</v>
      </c>
      <c r="D771" s="6" t="s">
        <v>1068</v>
      </c>
      <c r="E771" s="6"/>
      <c r="F771" s="7">
        <v>45181</v>
      </c>
      <c r="G771" s="6">
        <v>14</v>
      </c>
      <c r="H771" s="5" t="s">
        <v>83</v>
      </c>
      <c r="I771" s="6">
        <v>2</v>
      </c>
      <c r="J771" s="5" t="s">
        <v>52</v>
      </c>
      <c r="K771" s="6">
        <v>16351</v>
      </c>
      <c r="L771" s="5" t="s">
        <v>65</v>
      </c>
      <c r="M771" s="5" t="s">
        <v>66</v>
      </c>
      <c r="N771" s="5" t="s">
        <v>47</v>
      </c>
      <c r="O771" s="6" t="s">
        <v>657</v>
      </c>
      <c r="P771" s="6" t="s">
        <v>1584</v>
      </c>
      <c r="Q771" s="5" t="s">
        <v>43</v>
      </c>
      <c r="R771" s="5" t="s">
        <v>32</v>
      </c>
      <c r="S771" s="5" t="s">
        <v>49</v>
      </c>
      <c r="T771" s="6">
        <v>7</v>
      </c>
      <c r="U771" s="6">
        <v>8</v>
      </c>
      <c r="V771" s="5" t="s">
        <v>92</v>
      </c>
      <c r="W771" s="8"/>
      <c r="Y771">
        <f t="shared" ref="Y771:Y834" si="15">(T771/U771*100)</f>
        <v>87.5</v>
      </c>
    </row>
    <row r="772" spans="1:25" ht="15.75" customHeight="1">
      <c r="A772" s="5" t="s">
        <v>1585</v>
      </c>
      <c r="B772" s="6">
        <v>17</v>
      </c>
      <c r="C772" s="5" t="s">
        <v>22</v>
      </c>
      <c r="D772" s="6" t="s">
        <v>571</v>
      </c>
      <c r="E772" s="6"/>
      <c r="F772" s="6" t="s">
        <v>570</v>
      </c>
      <c r="G772" s="6">
        <v>8</v>
      </c>
      <c r="H772" s="5" t="s">
        <v>46</v>
      </c>
      <c r="I772" s="6">
        <v>1</v>
      </c>
      <c r="J772" s="5" t="s">
        <v>97</v>
      </c>
      <c r="K772" s="6">
        <v>43091</v>
      </c>
      <c r="L772" s="5" t="s">
        <v>80</v>
      </c>
      <c r="M772" s="5" t="s">
        <v>66</v>
      </c>
      <c r="N772" s="5" t="s">
        <v>47</v>
      </c>
      <c r="O772" s="6" t="s">
        <v>213</v>
      </c>
      <c r="P772" s="6" t="s">
        <v>1586</v>
      </c>
      <c r="Q772" s="5" t="s">
        <v>69</v>
      </c>
      <c r="R772" s="5" t="s">
        <v>32</v>
      </c>
      <c r="S772" s="5" t="s">
        <v>53</v>
      </c>
      <c r="T772" s="6">
        <v>11</v>
      </c>
      <c r="U772" s="6">
        <v>12</v>
      </c>
      <c r="V772" s="5" t="s">
        <v>34</v>
      </c>
      <c r="W772" s="8"/>
      <c r="Y772">
        <f t="shared" si="15"/>
        <v>91.666666666666657</v>
      </c>
    </row>
    <row r="773" spans="1:25" ht="15.75" customHeight="1">
      <c r="A773" s="5" t="s">
        <v>1587</v>
      </c>
      <c r="B773" s="6">
        <v>74</v>
      </c>
      <c r="C773" s="5" t="s">
        <v>47</v>
      </c>
      <c r="D773" s="6" t="s">
        <v>227</v>
      </c>
      <c r="E773" s="6"/>
      <c r="F773" s="6" t="s">
        <v>745</v>
      </c>
      <c r="G773" s="6">
        <v>12</v>
      </c>
      <c r="H773" s="5" t="s">
        <v>73</v>
      </c>
      <c r="I773" s="6">
        <v>4</v>
      </c>
      <c r="J773" s="5" t="s">
        <v>25</v>
      </c>
      <c r="K773" s="6">
        <v>35171</v>
      </c>
      <c r="L773" s="5" t="s">
        <v>90</v>
      </c>
      <c r="M773" s="5" t="s">
        <v>66</v>
      </c>
      <c r="N773" s="5" t="s">
        <v>28</v>
      </c>
      <c r="O773" s="7">
        <v>45236</v>
      </c>
      <c r="P773" s="7">
        <v>45236.458333333336</v>
      </c>
      <c r="Q773" s="5" t="s">
        <v>48</v>
      </c>
      <c r="R773" s="5" t="s">
        <v>32</v>
      </c>
      <c r="S773" s="5" t="s">
        <v>53</v>
      </c>
      <c r="T773" s="6">
        <v>10</v>
      </c>
      <c r="U773" s="6">
        <v>12</v>
      </c>
      <c r="V773" s="5" t="s">
        <v>34</v>
      </c>
      <c r="W773" s="8"/>
      <c r="Y773">
        <f t="shared" si="15"/>
        <v>83.333333333333343</v>
      </c>
    </row>
    <row r="774" spans="1:25" ht="15.75" customHeight="1">
      <c r="A774" s="5" t="s">
        <v>1588</v>
      </c>
      <c r="B774" s="6">
        <v>17</v>
      </c>
      <c r="C774" s="5" t="s">
        <v>51</v>
      </c>
      <c r="D774" s="7">
        <v>45028</v>
      </c>
      <c r="E774" s="7"/>
      <c r="F774" s="6" t="s">
        <v>772</v>
      </c>
      <c r="G774" s="6">
        <v>14</v>
      </c>
      <c r="H774" s="5" t="s">
        <v>73</v>
      </c>
      <c r="I774" s="6">
        <v>4</v>
      </c>
      <c r="J774" s="5" t="s">
        <v>39</v>
      </c>
      <c r="K774" s="6">
        <v>8644</v>
      </c>
      <c r="L774" s="5" t="s">
        <v>40</v>
      </c>
      <c r="M774" s="5" t="s">
        <v>66</v>
      </c>
      <c r="N774" s="5" t="s">
        <v>28</v>
      </c>
      <c r="O774" s="7">
        <v>44997</v>
      </c>
      <c r="P774" s="7">
        <v>45028.333333333336</v>
      </c>
      <c r="Q774" s="5" t="s">
        <v>86</v>
      </c>
      <c r="R774" s="5" t="s">
        <v>32</v>
      </c>
      <c r="S774" s="5" t="s">
        <v>33</v>
      </c>
      <c r="T774" s="6">
        <v>6</v>
      </c>
      <c r="U774" s="6">
        <v>8</v>
      </c>
      <c r="V774" s="5" t="s">
        <v>34</v>
      </c>
      <c r="W774" s="8"/>
      <c r="Y774">
        <f t="shared" si="15"/>
        <v>75</v>
      </c>
    </row>
    <row r="775" spans="1:25" ht="15.75" customHeight="1">
      <c r="A775" s="5" t="s">
        <v>1589</v>
      </c>
      <c r="B775" s="6">
        <v>84</v>
      </c>
      <c r="C775" s="5" t="s">
        <v>62</v>
      </c>
      <c r="D775" s="6" t="s">
        <v>854</v>
      </c>
      <c r="E775" s="6"/>
      <c r="F775" s="6" t="s">
        <v>117</v>
      </c>
      <c r="G775" s="6">
        <v>3</v>
      </c>
      <c r="H775" s="5" t="s">
        <v>24</v>
      </c>
      <c r="I775" s="6">
        <v>5</v>
      </c>
      <c r="J775" s="5" t="s">
        <v>39</v>
      </c>
      <c r="K775" s="6">
        <v>21142</v>
      </c>
      <c r="L775" s="5" t="s">
        <v>40</v>
      </c>
      <c r="M775" s="5" t="s">
        <v>66</v>
      </c>
      <c r="N775" s="5" t="s">
        <v>47</v>
      </c>
      <c r="O775" s="6" t="s">
        <v>553</v>
      </c>
      <c r="P775" s="6" t="s">
        <v>1590</v>
      </c>
      <c r="Q775" s="5" t="s">
        <v>31</v>
      </c>
      <c r="R775" s="5" t="s">
        <v>32</v>
      </c>
      <c r="S775" s="5" t="s">
        <v>49</v>
      </c>
      <c r="T775" s="6">
        <v>6</v>
      </c>
      <c r="U775" s="6">
        <v>12</v>
      </c>
      <c r="V775" s="5" t="s">
        <v>92</v>
      </c>
      <c r="W775" s="8"/>
      <c r="Y775">
        <f t="shared" si="15"/>
        <v>50</v>
      </c>
    </row>
    <row r="776" spans="1:25" ht="15.75" customHeight="1">
      <c r="A776" s="5" t="s">
        <v>1591</v>
      </c>
      <c r="B776" s="6">
        <v>88</v>
      </c>
      <c r="C776" s="5" t="s">
        <v>47</v>
      </c>
      <c r="D776" s="6" t="s">
        <v>294</v>
      </c>
      <c r="E776" s="6"/>
      <c r="F776" s="7">
        <v>45388</v>
      </c>
      <c r="G776" s="6">
        <v>13</v>
      </c>
      <c r="H776" s="5" t="s">
        <v>24</v>
      </c>
      <c r="I776" s="6">
        <v>3</v>
      </c>
      <c r="J776" s="5" t="s">
        <v>89</v>
      </c>
      <c r="K776" s="6">
        <v>12773</v>
      </c>
      <c r="L776" s="5" t="s">
        <v>26</v>
      </c>
      <c r="M776" s="5" t="s">
        <v>66</v>
      </c>
      <c r="N776" s="5" t="s">
        <v>28</v>
      </c>
      <c r="O776" s="6" t="s">
        <v>331</v>
      </c>
      <c r="P776" s="6" t="s">
        <v>1592</v>
      </c>
      <c r="Q776" s="5" t="s">
        <v>86</v>
      </c>
      <c r="R776" s="5" t="s">
        <v>32</v>
      </c>
      <c r="S776" s="5" t="s">
        <v>33</v>
      </c>
      <c r="T776" s="6">
        <v>11</v>
      </c>
      <c r="U776" s="6">
        <v>8</v>
      </c>
      <c r="V776" s="5" t="s">
        <v>92</v>
      </c>
      <c r="W776" s="8"/>
      <c r="Y776">
        <f t="shared" si="15"/>
        <v>137.5</v>
      </c>
    </row>
    <row r="777" spans="1:25" ht="15.75" customHeight="1">
      <c r="A777" s="5" t="s">
        <v>1593</v>
      </c>
      <c r="B777" s="6">
        <v>69</v>
      </c>
      <c r="C777" s="5" t="s">
        <v>47</v>
      </c>
      <c r="D777" s="6" t="s">
        <v>792</v>
      </c>
      <c r="E777" s="6"/>
      <c r="F777" s="7">
        <v>45027</v>
      </c>
      <c r="G777" s="6">
        <v>12</v>
      </c>
      <c r="H777" s="5" t="s">
        <v>46</v>
      </c>
      <c r="I777" s="6">
        <v>3</v>
      </c>
      <c r="J777" s="5" t="s">
        <v>39</v>
      </c>
      <c r="K777" s="6">
        <v>33466</v>
      </c>
      <c r="L777" s="5" t="s">
        <v>80</v>
      </c>
      <c r="M777" s="5" t="s">
        <v>27</v>
      </c>
      <c r="N777" s="5" t="s">
        <v>47</v>
      </c>
      <c r="O777" s="6" t="s">
        <v>520</v>
      </c>
      <c r="P777" s="6" t="s">
        <v>1594</v>
      </c>
      <c r="Q777" s="5" t="s">
        <v>48</v>
      </c>
      <c r="R777" s="5" t="s">
        <v>32</v>
      </c>
      <c r="S777" s="5" t="s">
        <v>53</v>
      </c>
      <c r="T777" s="6">
        <v>7</v>
      </c>
      <c r="U777" s="6">
        <v>12</v>
      </c>
      <c r="V777" s="5" t="s">
        <v>92</v>
      </c>
      <c r="W777" s="8"/>
      <c r="Y777">
        <f t="shared" si="15"/>
        <v>58.333333333333336</v>
      </c>
    </row>
    <row r="778" spans="1:25" ht="15.75" customHeight="1">
      <c r="A778" s="5" t="s">
        <v>1595</v>
      </c>
      <c r="B778" s="6">
        <v>34</v>
      </c>
      <c r="C778" s="5" t="s">
        <v>62</v>
      </c>
      <c r="D778" s="6" t="s">
        <v>281</v>
      </c>
      <c r="E778" s="6"/>
      <c r="F778" s="6" t="s">
        <v>554</v>
      </c>
      <c r="G778" s="6">
        <v>8</v>
      </c>
      <c r="H778" s="5" t="s">
        <v>83</v>
      </c>
      <c r="I778" s="6">
        <v>1</v>
      </c>
      <c r="J778" s="5" t="s">
        <v>97</v>
      </c>
      <c r="K778" s="6">
        <v>15778</v>
      </c>
      <c r="L778" s="5" t="s">
        <v>26</v>
      </c>
      <c r="M778" s="5" t="s">
        <v>66</v>
      </c>
      <c r="N778" s="5" t="s">
        <v>28</v>
      </c>
      <c r="O778" s="6" t="s">
        <v>297</v>
      </c>
      <c r="P778" s="6" t="s">
        <v>965</v>
      </c>
      <c r="Q778" s="5" t="s">
        <v>86</v>
      </c>
      <c r="R778" s="5" t="s">
        <v>32</v>
      </c>
      <c r="S778" s="5" t="s">
        <v>53</v>
      </c>
      <c r="T778" s="6">
        <v>7</v>
      </c>
      <c r="U778" s="6">
        <v>10</v>
      </c>
      <c r="V778" s="5" t="s">
        <v>54</v>
      </c>
      <c r="W778" s="8"/>
      <c r="Y778">
        <f t="shared" si="15"/>
        <v>70</v>
      </c>
    </row>
    <row r="779" spans="1:25" ht="15.75" customHeight="1">
      <c r="A779" s="5" t="s">
        <v>1596</v>
      </c>
      <c r="B779" s="6">
        <v>6</v>
      </c>
      <c r="C779" s="5" t="s">
        <v>22</v>
      </c>
      <c r="D779" s="7">
        <v>45109</v>
      </c>
      <c r="E779" s="7"/>
      <c r="F779" s="6" t="s">
        <v>274</v>
      </c>
      <c r="G779" s="6">
        <v>8</v>
      </c>
      <c r="H779" s="5" t="s">
        <v>46</v>
      </c>
      <c r="I779" s="6">
        <v>4</v>
      </c>
      <c r="J779" s="5" t="s">
        <v>52</v>
      </c>
      <c r="K779" s="6">
        <v>17501</v>
      </c>
      <c r="L779" s="5" t="s">
        <v>26</v>
      </c>
      <c r="M779" s="5" t="s">
        <v>66</v>
      </c>
      <c r="N779" s="5" t="s">
        <v>28</v>
      </c>
      <c r="O779" s="7">
        <v>45018</v>
      </c>
      <c r="P779" s="7">
        <v>45018.708333333336</v>
      </c>
      <c r="Q779" s="5" t="s">
        <v>86</v>
      </c>
      <c r="R779" s="5" t="s">
        <v>44</v>
      </c>
      <c r="S779" s="5" t="s">
        <v>53</v>
      </c>
      <c r="T779" s="6">
        <v>10</v>
      </c>
      <c r="U779" s="6">
        <v>8</v>
      </c>
      <c r="V779" s="5" t="s">
        <v>34</v>
      </c>
      <c r="W779" s="8"/>
      <c r="Y779">
        <f t="shared" si="15"/>
        <v>125</v>
      </c>
    </row>
    <row r="780" spans="1:25" ht="15.75" customHeight="1">
      <c r="A780" s="5" t="s">
        <v>1597</v>
      </c>
      <c r="B780" s="6">
        <v>53</v>
      </c>
      <c r="C780" s="5" t="s">
        <v>36</v>
      </c>
      <c r="D780" s="7">
        <v>45569</v>
      </c>
      <c r="E780" s="7"/>
      <c r="F780" s="6" t="s">
        <v>1055</v>
      </c>
      <c r="G780" s="6">
        <v>10</v>
      </c>
      <c r="H780" s="5" t="s">
        <v>73</v>
      </c>
      <c r="I780" s="6">
        <v>5</v>
      </c>
      <c r="J780" s="5" t="s">
        <v>52</v>
      </c>
      <c r="K780" s="6">
        <v>7108</v>
      </c>
      <c r="L780" s="5" t="s">
        <v>65</v>
      </c>
      <c r="M780" s="5" t="s">
        <v>66</v>
      </c>
      <c r="N780" s="5" t="s">
        <v>28</v>
      </c>
      <c r="O780" s="7">
        <v>45569</v>
      </c>
      <c r="P780" s="7">
        <v>45569.458333333336</v>
      </c>
      <c r="Q780" s="5" t="s">
        <v>48</v>
      </c>
      <c r="R780" s="5" t="s">
        <v>32</v>
      </c>
      <c r="S780" s="5" t="s">
        <v>53</v>
      </c>
      <c r="T780" s="6">
        <v>10</v>
      </c>
      <c r="U780" s="6">
        <v>10</v>
      </c>
      <c r="V780" s="5" t="s">
        <v>54</v>
      </c>
      <c r="W780" s="8"/>
      <c r="Y780">
        <f t="shared" si="15"/>
        <v>100</v>
      </c>
    </row>
    <row r="781" spans="1:25" ht="15.75" customHeight="1">
      <c r="A781" s="5" t="s">
        <v>1598</v>
      </c>
      <c r="B781" s="6">
        <v>66</v>
      </c>
      <c r="C781" s="5" t="s">
        <v>62</v>
      </c>
      <c r="D781" s="7">
        <v>44930</v>
      </c>
      <c r="E781" s="7"/>
      <c r="F781" s="7">
        <v>44961</v>
      </c>
      <c r="G781" s="6">
        <v>1</v>
      </c>
      <c r="H781" s="5" t="s">
        <v>73</v>
      </c>
      <c r="I781" s="6">
        <v>1</v>
      </c>
      <c r="J781" s="5" t="s">
        <v>52</v>
      </c>
      <c r="K781" s="6">
        <v>34369</v>
      </c>
      <c r="L781" s="5" t="s">
        <v>40</v>
      </c>
      <c r="M781" s="5" t="s">
        <v>66</v>
      </c>
      <c r="N781" s="5" t="s">
        <v>28</v>
      </c>
      <c r="O781" s="6" t="s">
        <v>694</v>
      </c>
      <c r="P781" s="6" t="s">
        <v>77</v>
      </c>
      <c r="Q781" s="5" t="s">
        <v>43</v>
      </c>
      <c r="R781" s="5" t="s">
        <v>32</v>
      </c>
      <c r="S781" s="5" t="s">
        <v>49</v>
      </c>
      <c r="T781" s="6">
        <v>6</v>
      </c>
      <c r="U781" s="6">
        <v>12</v>
      </c>
      <c r="V781" s="5" t="s">
        <v>34</v>
      </c>
      <c r="W781" s="8"/>
      <c r="Y781">
        <f t="shared" si="15"/>
        <v>50</v>
      </c>
    </row>
    <row r="782" spans="1:25" ht="15.75" customHeight="1">
      <c r="A782" s="5" t="s">
        <v>1599</v>
      </c>
      <c r="B782" s="6">
        <v>77</v>
      </c>
      <c r="C782" s="5" t="s">
        <v>51</v>
      </c>
      <c r="D782" s="6" t="s">
        <v>288</v>
      </c>
      <c r="E782" s="6"/>
      <c r="F782" s="7">
        <v>45028</v>
      </c>
      <c r="G782" s="6">
        <v>15</v>
      </c>
      <c r="H782" s="5" t="s">
        <v>38</v>
      </c>
      <c r="I782" s="6">
        <v>3</v>
      </c>
      <c r="J782" s="5" t="s">
        <v>25</v>
      </c>
      <c r="K782" s="6">
        <v>41382</v>
      </c>
      <c r="L782" s="5" t="s">
        <v>26</v>
      </c>
      <c r="M782" s="5" t="s">
        <v>66</v>
      </c>
      <c r="N782" s="5" t="s">
        <v>28</v>
      </c>
      <c r="O782" s="6" t="s">
        <v>469</v>
      </c>
      <c r="P782" s="6" t="s">
        <v>471</v>
      </c>
      <c r="Q782" s="5" t="s">
        <v>69</v>
      </c>
      <c r="R782" s="5" t="s">
        <v>32</v>
      </c>
      <c r="S782" s="5" t="s">
        <v>49</v>
      </c>
      <c r="T782" s="6">
        <v>10</v>
      </c>
      <c r="U782" s="6">
        <v>10</v>
      </c>
      <c r="V782" s="5" t="s">
        <v>92</v>
      </c>
      <c r="W782" s="8"/>
      <c r="Y782">
        <f t="shared" si="15"/>
        <v>100</v>
      </c>
    </row>
    <row r="783" spans="1:25" ht="15.75" customHeight="1">
      <c r="A783" s="5" t="s">
        <v>1600</v>
      </c>
      <c r="B783" s="6">
        <v>43</v>
      </c>
      <c r="C783" s="5" t="s">
        <v>82</v>
      </c>
      <c r="D783" s="6" t="s">
        <v>364</v>
      </c>
      <c r="E783" s="6"/>
      <c r="F783" s="6" t="s">
        <v>931</v>
      </c>
      <c r="G783" s="6">
        <v>2</v>
      </c>
      <c r="H783" s="5" t="s">
        <v>24</v>
      </c>
      <c r="I783" s="6">
        <v>4</v>
      </c>
      <c r="J783" s="5" t="s">
        <v>39</v>
      </c>
      <c r="K783" s="6">
        <v>30818</v>
      </c>
      <c r="L783" s="5" t="s">
        <v>65</v>
      </c>
      <c r="M783" s="5" t="s">
        <v>27</v>
      </c>
      <c r="N783" s="5" t="s">
        <v>47</v>
      </c>
      <c r="O783" s="6" t="s">
        <v>591</v>
      </c>
      <c r="P783" s="6" t="s">
        <v>363</v>
      </c>
      <c r="Q783" s="5" t="s">
        <v>31</v>
      </c>
      <c r="R783" s="5" t="s">
        <v>44</v>
      </c>
      <c r="S783" s="5" t="s">
        <v>33</v>
      </c>
      <c r="T783" s="6">
        <v>10</v>
      </c>
      <c r="U783" s="6">
        <v>12</v>
      </c>
      <c r="V783" s="5" t="s">
        <v>34</v>
      </c>
      <c r="W783" s="8"/>
      <c r="Y783">
        <f t="shared" si="15"/>
        <v>83.333333333333343</v>
      </c>
    </row>
    <row r="784" spans="1:25" ht="15.75" customHeight="1">
      <c r="A784" s="5" t="s">
        <v>1601</v>
      </c>
      <c r="B784" s="6">
        <v>75</v>
      </c>
      <c r="C784" s="5" t="s">
        <v>82</v>
      </c>
      <c r="D784" s="6" t="s">
        <v>267</v>
      </c>
      <c r="E784" s="6"/>
      <c r="F784" s="6" t="s">
        <v>266</v>
      </c>
      <c r="G784" s="6">
        <v>1</v>
      </c>
      <c r="H784" s="5" t="s">
        <v>38</v>
      </c>
      <c r="I784" s="6">
        <v>5</v>
      </c>
      <c r="J784" s="5" t="s">
        <v>97</v>
      </c>
      <c r="K784" s="6">
        <v>15251</v>
      </c>
      <c r="L784" s="5" t="s">
        <v>80</v>
      </c>
      <c r="M784" s="5" t="s">
        <v>66</v>
      </c>
      <c r="N784" s="5" t="s">
        <v>28</v>
      </c>
      <c r="O784" s="6" t="s">
        <v>657</v>
      </c>
      <c r="P784" s="6" t="s">
        <v>1602</v>
      </c>
      <c r="Q784" s="5" t="s">
        <v>69</v>
      </c>
      <c r="R784" s="5" t="s">
        <v>32</v>
      </c>
      <c r="S784" s="5" t="s">
        <v>33</v>
      </c>
      <c r="T784" s="6">
        <v>10</v>
      </c>
      <c r="U784" s="6">
        <v>10</v>
      </c>
      <c r="V784" s="5" t="s">
        <v>34</v>
      </c>
      <c r="W784" s="8"/>
      <c r="Y784">
        <f t="shared" si="15"/>
        <v>100</v>
      </c>
    </row>
    <row r="785" spans="1:25" ht="15.75" customHeight="1">
      <c r="A785" s="5" t="s">
        <v>1603</v>
      </c>
      <c r="B785" s="6">
        <v>23</v>
      </c>
      <c r="C785" s="5" t="s">
        <v>47</v>
      </c>
      <c r="D785" s="6" t="s">
        <v>761</v>
      </c>
      <c r="E785" s="6"/>
      <c r="F785" s="7">
        <v>45021</v>
      </c>
      <c r="G785" s="6">
        <v>5</v>
      </c>
      <c r="H785" s="5" t="s">
        <v>58</v>
      </c>
      <c r="I785" s="6">
        <v>2</v>
      </c>
      <c r="J785" s="5" t="s">
        <v>25</v>
      </c>
      <c r="K785" s="6">
        <v>28341</v>
      </c>
      <c r="L785" s="5" t="s">
        <v>26</v>
      </c>
      <c r="M785" s="5" t="s">
        <v>27</v>
      </c>
      <c r="N785" s="5" t="s">
        <v>47</v>
      </c>
      <c r="O785" s="6" t="s">
        <v>23</v>
      </c>
      <c r="P785" s="6" t="s">
        <v>1604</v>
      </c>
      <c r="Q785" s="5" t="s">
        <v>31</v>
      </c>
      <c r="R785" s="5" t="s">
        <v>32</v>
      </c>
      <c r="S785" s="5" t="s">
        <v>33</v>
      </c>
      <c r="T785" s="6">
        <v>11</v>
      </c>
      <c r="U785" s="6">
        <v>10</v>
      </c>
      <c r="V785" s="5" t="s">
        <v>54</v>
      </c>
      <c r="W785" s="8"/>
      <c r="Y785">
        <f t="shared" si="15"/>
        <v>110.00000000000001</v>
      </c>
    </row>
    <row r="786" spans="1:25" ht="15.75" customHeight="1">
      <c r="A786" s="5" t="s">
        <v>1605</v>
      </c>
      <c r="B786" s="6">
        <v>55</v>
      </c>
      <c r="C786" s="5" t="s">
        <v>82</v>
      </c>
      <c r="D786" s="6" t="s">
        <v>538</v>
      </c>
      <c r="E786" s="6"/>
      <c r="F786" s="6" t="s">
        <v>846</v>
      </c>
      <c r="G786" s="6">
        <v>4</v>
      </c>
      <c r="H786" s="5" t="s">
        <v>73</v>
      </c>
      <c r="I786" s="6">
        <v>4</v>
      </c>
      <c r="J786" s="5" t="s">
        <v>89</v>
      </c>
      <c r="K786" s="6">
        <v>16678</v>
      </c>
      <c r="L786" s="5" t="s">
        <v>40</v>
      </c>
      <c r="M786" s="5" t="s">
        <v>66</v>
      </c>
      <c r="N786" s="5" t="s">
        <v>28</v>
      </c>
      <c r="O786" s="6" t="s">
        <v>565</v>
      </c>
      <c r="P786" s="6" t="s">
        <v>1606</v>
      </c>
      <c r="Q786" s="5" t="s">
        <v>69</v>
      </c>
      <c r="R786" s="5" t="s">
        <v>32</v>
      </c>
      <c r="S786" s="5" t="s">
        <v>53</v>
      </c>
      <c r="T786" s="6">
        <v>9</v>
      </c>
      <c r="U786" s="6">
        <v>10</v>
      </c>
      <c r="V786" s="5" t="s">
        <v>34</v>
      </c>
      <c r="W786" s="8"/>
      <c r="Y786">
        <f t="shared" si="15"/>
        <v>90</v>
      </c>
    </row>
    <row r="787" spans="1:25" ht="15.75" customHeight="1">
      <c r="A787" s="5" t="s">
        <v>1607</v>
      </c>
      <c r="B787" s="6">
        <v>80</v>
      </c>
      <c r="C787" s="5" t="s">
        <v>36</v>
      </c>
      <c r="D787" s="7">
        <v>45571</v>
      </c>
      <c r="E787" s="7"/>
      <c r="F787" s="6" t="s">
        <v>459</v>
      </c>
      <c r="G787" s="6">
        <v>14</v>
      </c>
      <c r="H787" s="5" t="s">
        <v>38</v>
      </c>
      <c r="I787" s="6">
        <v>5</v>
      </c>
      <c r="J787" s="5" t="s">
        <v>97</v>
      </c>
      <c r="K787" s="6">
        <v>19367</v>
      </c>
      <c r="L787" s="5" t="s">
        <v>26</v>
      </c>
      <c r="M787" s="5" t="s">
        <v>66</v>
      </c>
      <c r="N787" s="5" t="s">
        <v>28</v>
      </c>
      <c r="O787" s="7">
        <v>45479</v>
      </c>
      <c r="P787" s="7">
        <v>45479.083333333336</v>
      </c>
      <c r="Q787" s="5" t="s">
        <v>86</v>
      </c>
      <c r="R787" s="5" t="s">
        <v>32</v>
      </c>
      <c r="S787" s="5" t="s">
        <v>33</v>
      </c>
      <c r="T787" s="6">
        <v>5</v>
      </c>
      <c r="U787" s="6">
        <v>8</v>
      </c>
      <c r="V787" s="5" t="s">
        <v>92</v>
      </c>
      <c r="W787" s="8"/>
      <c r="Y787">
        <f t="shared" si="15"/>
        <v>62.5</v>
      </c>
    </row>
    <row r="788" spans="1:25" ht="15.75" customHeight="1">
      <c r="A788" s="5" t="s">
        <v>1608</v>
      </c>
      <c r="B788" s="6">
        <v>75</v>
      </c>
      <c r="C788" s="5" t="s">
        <v>22</v>
      </c>
      <c r="D788" s="7">
        <v>44958</v>
      </c>
      <c r="E788" s="7"/>
      <c r="F788" s="7">
        <v>45047</v>
      </c>
      <c r="G788" s="6">
        <v>3</v>
      </c>
      <c r="H788" s="5" t="s">
        <v>46</v>
      </c>
      <c r="I788" s="6">
        <v>1</v>
      </c>
      <c r="J788" s="5" t="s">
        <v>97</v>
      </c>
      <c r="K788" s="6">
        <v>34672</v>
      </c>
      <c r="L788" s="5" t="s">
        <v>80</v>
      </c>
      <c r="M788" s="5" t="s">
        <v>27</v>
      </c>
      <c r="N788" s="5" t="s">
        <v>28</v>
      </c>
      <c r="O788" s="7">
        <v>44927</v>
      </c>
      <c r="P788" s="7">
        <v>44927.916666666664</v>
      </c>
      <c r="Q788" s="5" t="s">
        <v>43</v>
      </c>
      <c r="R788" s="5" t="s">
        <v>44</v>
      </c>
      <c r="S788" s="5" t="s">
        <v>49</v>
      </c>
      <c r="T788" s="6">
        <v>10</v>
      </c>
      <c r="U788" s="6">
        <v>10</v>
      </c>
      <c r="V788" s="5" t="s">
        <v>34</v>
      </c>
      <c r="W788" s="8"/>
      <c r="Y788">
        <f t="shared" si="15"/>
        <v>100</v>
      </c>
    </row>
    <row r="789" spans="1:25" ht="15.75" customHeight="1">
      <c r="A789" s="5" t="s">
        <v>1609</v>
      </c>
      <c r="B789" s="6">
        <v>16</v>
      </c>
      <c r="C789" s="5" t="s">
        <v>51</v>
      </c>
      <c r="D789" s="6" t="s">
        <v>256</v>
      </c>
      <c r="E789" s="6"/>
      <c r="F789" s="6" t="s">
        <v>359</v>
      </c>
      <c r="G789" s="6">
        <v>9</v>
      </c>
      <c r="H789" s="5" t="s">
        <v>24</v>
      </c>
      <c r="I789" s="6">
        <v>2</v>
      </c>
      <c r="J789" s="5" t="s">
        <v>97</v>
      </c>
      <c r="K789" s="6">
        <v>9332</v>
      </c>
      <c r="L789" s="5" t="s">
        <v>26</v>
      </c>
      <c r="M789" s="5" t="s">
        <v>66</v>
      </c>
      <c r="N789" s="5" t="s">
        <v>28</v>
      </c>
      <c r="O789" s="6" t="s">
        <v>124</v>
      </c>
      <c r="P789" s="6" t="s">
        <v>1610</v>
      </c>
      <c r="Q789" s="5" t="s">
        <v>86</v>
      </c>
      <c r="R789" s="5" t="s">
        <v>32</v>
      </c>
      <c r="S789" s="5" t="s">
        <v>33</v>
      </c>
      <c r="T789" s="6">
        <v>5</v>
      </c>
      <c r="U789" s="6">
        <v>12</v>
      </c>
      <c r="V789" s="5" t="s">
        <v>34</v>
      </c>
      <c r="W789" s="8"/>
      <c r="Y789">
        <f t="shared" si="15"/>
        <v>41.666666666666671</v>
      </c>
    </row>
    <row r="790" spans="1:25" ht="15.75" customHeight="1">
      <c r="A790" s="5" t="s">
        <v>1611</v>
      </c>
      <c r="B790" s="6">
        <v>8</v>
      </c>
      <c r="C790" s="5" t="s">
        <v>36</v>
      </c>
      <c r="D790" s="6" t="s">
        <v>321</v>
      </c>
      <c r="E790" s="6"/>
      <c r="F790" s="7">
        <v>45599</v>
      </c>
      <c r="G790" s="6">
        <v>12</v>
      </c>
      <c r="H790" s="5" t="s">
        <v>24</v>
      </c>
      <c r="I790" s="6">
        <v>5</v>
      </c>
      <c r="J790" s="5" t="s">
        <v>52</v>
      </c>
      <c r="K790" s="6">
        <v>17002</v>
      </c>
      <c r="L790" s="5" t="s">
        <v>40</v>
      </c>
      <c r="M790" s="5" t="s">
        <v>66</v>
      </c>
      <c r="N790" s="5" t="s">
        <v>28</v>
      </c>
      <c r="O790" s="6" t="s">
        <v>845</v>
      </c>
      <c r="P790" s="6" t="s">
        <v>1035</v>
      </c>
      <c r="Q790" s="5" t="s">
        <v>43</v>
      </c>
      <c r="R790" s="5" t="s">
        <v>32</v>
      </c>
      <c r="S790" s="5" t="s">
        <v>33</v>
      </c>
      <c r="T790" s="6">
        <v>5</v>
      </c>
      <c r="U790" s="6">
        <v>12</v>
      </c>
      <c r="V790" s="5" t="s">
        <v>34</v>
      </c>
      <c r="W790" s="8"/>
      <c r="Y790">
        <f t="shared" si="15"/>
        <v>41.666666666666671</v>
      </c>
    </row>
    <row r="791" spans="1:25" ht="15.75" customHeight="1">
      <c r="A791" s="5" t="s">
        <v>1612</v>
      </c>
      <c r="B791" s="6">
        <v>4</v>
      </c>
      <c r="C791" s="5" t="s">
        <v>51</v>
      </c>
      <c r="D791" s="6" t="s">
        <v>435</v>
      </c>
      <c r="E791" s="6"/>
      <c r="F791" s="7">
        <v>45110</v>
      </c>
      <c r="G791" s="6">
        <v>10</v>
      </c>
      <c r="H791" s="5" t="s">
        <v>83</v>
      </c>
      <c r="I791" s="6">
        <v>5</v>
      </c>
      <c r="J791" s="5" t="s">
        <v>97</v>
      </c>
      <c r="K791" s="6">
        <v>25284</v>
      </c>
      <c r="L791" s="5" t="s">
        <v>65</v>
      </c>
      <c r="M791" s="5" t="s">
        <v>66</v>
      </c>
      <c r="N791" s="5" t="s">
        <v>28</v>
      </c>
      <c r="O791" s="6" t="s">
        <v>560</v>
      </c>
      <c r="P791" s="6" t="s">
        <v>1613</v>
      </c>
      <c r="Q791" s="5" t="s">
        <v>48</v>
      </c>
      <c r="R791" s="5" t="s">
        <v>32</v>
      </c>
      <c r="S791" s="5" t="s">
        <v>49</v>
      </c>
      <c r="T791" s="6">
        <v>7</v>
      </c>
      <c r="U791" s="6">
        <v>8</v>
      </c>
      <c r="V791" s="5" t="s">
        <v>54</v>
      </c>
      <c r="W791" s="8"/>
      <c r="Y791">
        <f t="shared" si="15"/>
        <v>87.5</v>
      </c>
    </row>
    <row r="792" spans="1:25" ht="15.75" customHeight="1">
      <c r="A792" s="5" t="s">
        <v>1614</v>
      </c>
      <c r="B792" s="6">
        <v>4</v>
      </c>
      <c r="C792" s="5" t="s">
        <v>51</v>
      </c>
      <c r="D792" s="7">
        <v>45267</v>
      </c>
      <c r="E792" s="7"/>
      <c r="F792" s="6" t="s">
        <v>113</v>
      </c>
      <c r="G792" s="6">
        <v>9</v>
      </c>
      <c r="H792" s="5" t="s">
        <v>46</v>
      </c>
      <c r="I792" s="6">
        <v>3</v>
      </c>
      <c r="J792" s="5" t="s">
        <v>39</v>
      </c>
      <c r="K792" s="6">
        <v>20700</v>
      </c>
      <c r="L792" s="5" t="s">
        <v>40</v>
      </c>
      <c r="M792" s="5" t="s">
        <v>66</v>
      </c>
      <c r="N792" s="5" t="s">
        <v>47</v>
      </c>
      <c r="O792" s="7">
        <v>45114</v>
      </c>
      <c r="P792" s="7">
        <v>45114.208333333336</v>
      </c>
      <c r="Q792" s="5" t="s">
        <v>31</v>
      </c>
      <c r="R792" s="5" t="s">
        <v>32</v>
      </c>
      <c r="S792" s="5" t="s">
        <v>49</v>
      </c>
      <c r="T792" s="6">
        <v>10</v>
      </c>
      <c r="U792" s="6">
        <v>8</v>
      </c>
      <c r="V792" s="5" t="s">
        <v>34</v>
      </c>
      <c r="W792" s="8"/>
      <c r="Y792">
        <f t="shared" si="15"/>
        <v>125</v>
      </c>
    </row>
    <row r="793" spans="1:25" ht="15.75" customHeight="1">
      <c r="A793" s="5" t="s">
        <v>1615</v>
      </c>
      <c r="B793" s="6">
        <v>56</v>
      </c>
      <c r="C793" s="5" t="s">
        <v>22</v>
      </c>
      <c r="D793" s="6" t="s">
        <v>943</v>
      </c>
      <c r="E793" s="6"/>
      <c r="F793" s="6" t="s">
        <v>997</v>
      </c>
      <c r="G793" s="6">
        <v>7</v>
      </c>
      <c r="H793" s="5" t="s">
        <v>83</v>
      </c>
      <c r="I793" s="6">
        <v>4</v>
      </c>
      <c r="J793" s="5" t="s">
        <v>97</v>
      </c>
      <c r="K793" s="6">
        <v>18769</v>
      </c>
      <c r="L793" s="5" t="s">
        <v>65</v>
      </c>
      <c r="M793" s="5" t="s">
        <v>66</v>
      </c>
      <c r="N793" s="5" t="s">
        <v>28</v>
      </c>
      <c r="O793" s="6" t="s">
        <v>943</v>
      </c>
      <c r="P793" s="6" t="s">
        <v>1616</v>
      </c>
      <c r="Q793" s="5" t="s">
        <v>31</v>
      </c>
      <c r="R793" s="5" t="s">
        <v>32</v>
      </c>
      <c r="S793" s="5" t="s">
        <v>53</v>
      </c>
      <c r="T793" s="6">
        <v>6</v>
      </c>
      <c r="U793" s="6">
        <v>12</v>
      </c>
      <c r="V793" s="5" t="s">
        <v>34</v>
      </c>
      <c r="W793" s="8"/>
      <c r="Y793">
        <f t="shared" si="15"/>
        <v>50</v>
      </c>
    </row>
    <row r="794" spans="1:25" ht="15.75" customHeight="1">
      <c r="A794" s="5" t="s">
        <v>1617</v>
      </c>
      <c r="B794" s="6">
        <v>25</v>
      </c>
      <c r="C794" s="5" t="s">
        <v>47</v>
      </c>
      <c r="D794" s="7">
        <v>45444</v>
      </c>
      <c r="E794" s="7"/>
      <c r="F794" s="7">
        <v>45505</v>
      </c>
      <c r="G794" s="6">
        <v>2</v>
      </c>
      <c r="H794" s="5" t="s">
        <v>38</v>
      </c>
      <c r="I794" s="6">
        <v>3</v>
      </c>
      <c r="J794" s="5" t="s">
        <v>52</v>
      </c>
      <c r="K794" s="6">
        <v>34318</v>
      </c>
      <c r="L794" s="5" t="s">
        <v>90</v>
      </c>
      <c r="M794" s="5" t="s">
        <v>66</v>
      </c>
      <c r="N794" s="5" t="s">
        <v>28</v>
      </c>
      <c r="O794" s="7">
        <v>45352</v>
      </c>
      <c r="P794" s="7">
        <v>45383.916666666664</v>
      </c>
      <c r="Q794" s="5" t="s">
        <v>48</v>
      </c>
      <c r="R794" s="5" t="s">
        <v>32</v>
      </c>
      <c r="S794" s="5" t="s">
        <v>49</v>
      </c>
      <c r="T794" s="6">
        <v>9</v>
      </c>
      <c r="U794" s="6">
        <v>10</v>
      </c>
      <c r="V794" s="5" t="s">
        <v>54</v>
      </c>
      <c r="W794" s="8"/>
      <c r="Y794">
        <f t="shared" si="15"/>
        <v>90</v>
      </c>
    </row>
    <row r="795" spans="1:25" ht="15.75" customHeight="1">
      <c r="A795" s="5" t="s">
        <v>1618</v>
      </c>
      <c r="B795" s="6">
        <v>67</v>
      </c>
      <c r="C795" s="5" t="s">
        <v>82</v>
      </c>
      <c r="D795" s="6" t="s">
        <v>390</v>
      </c>
      <c r="E795" s="6"/>
      <c r="F795" s="7">
        <v>45479</v>
      </c>
      <c r="G795" s="6">
        <v>13</v>
      </c>
      <c r="H795" s="5" t="s">
        <v>58</v>
      </c>
      <c r="I795" s="6">
        <v>2</v>
      </c>
      <c r="J795" s="5" t="s">
        <v>97</v>
      </c>
      <c r="K795" s="6">
        <v>29323</v>
      </c>
      <c r="L795" s="5" t="s">
        <v>40</v>
      </c>
      <c r="M795" s="5" t="s">
        <v>66</v>
      </c>
      <c r="N795" s="5" t="s">
        <v>28</v>
      </c>
      <c r="O795" s="6" t="s">
        <v>332</v>
      </c>
      <c r="P795" s="6" t="s">
        <v>1619</v>
      </c>
      <c r="Q795" s="5" t="s">
        <v>69</v>
      </c>
      <c r="R795" s="5" t="s">
        <v>32</v>
      </c>
      <c r="S795" s="5" t="s">
        <v>49</v>
      </c>
      <c r="T795" s="6">
        <v>6</v>
      </c>
      <c r="U795" s="6">
        <v>12</v>
      </c>
      <c r="V795" s="5" t="s">
        <v>54</v>
      </c>
      <c r="W795" s="8"/>
      <c r="Y795">
        <f t="shared" si="15"/>
        <v>50</v>
      </c>
    </row>
    <row r="796" spans="1:25" ht="15.75" customHeight="1">
      <c r="A796" s="5" t="s">
        <v>1620</v>
      </c>
      <c r="B796" s="6">
        <v>67</v>
      </c>
      <c r="C796" s="5" t="s">
        <v>22</v>
      </c>
      <c r="D796" s="6" t="s">
        <v>547</v>
      </c>
      <c r="E796" s="6"/>
      <c r="F796" s="7">
        <v>45326</v>
      </c>
      <c r="G796" s="6">
        <v>5</v>
      </c>
      <c r="H796" s="5" t="s">
        <v>46</v>
      </c>
      <c r="I796" s="6">
        <v>5</v>
      </c>
      <c r="J796" s="5" t="s">
        <v>89</v>
      </c>
      <c r="K796" s="6">
        <v>32610</v>
      </c>
      <c r="L796" s="5" t="s">
        <v>40</v>
      </c>
      <c r="M796" s="5" t="s">
        <v>66</v>
      </c>
      <c r="N796" s="5" t="s">
        <v>28</v>
      </c>
      <c r="O796" s="6" t="s">
        <v>547</v>
      </c>
      <c r="P796" s="6" t="s">
        <v>1621</v>
      </c>
      <c r="Q796" s="5" t="s">
        <v>48</v>
      </c>
      <c r="R796" s="5" t="s">
        <v>32</v>
      </c>
      <c r="S796" s="5" t="s">
        <v>33</v>
      </c>
      <c r="T796" s="6">
        <v>10</v>
      </c>
      <c r="U796" s="6">
        <v>8</v>
      </c>
      <c r="V796" s="5" t="s">
        <v>54</v>
      </c>
      <c r="W796" s="8"/>
      <c r="Y796">
        <f t="shared" si="15"/>
        <v>125</v>
      </c>
    </row>
    <row r="797" spans="1:25" ht="15.75" customHeight="1">
      <c r="A797" s="5" t="s">
        <v>1622</v>
      </c>
      <c r="B797" s="6">
        <v>27</v>
      </c>
      <c r="C797" s="5" t="s">
        <v>36</v>
      </c>
      <c r="D797" s="6" t="s">
        <v>786</v>
      </c>
      <c r="E797" s="6"/>
      <c r="F797" s="6" t="s">
        <v>168</v>
      </c>
      <c r="G797" s="6">
        <v>4</v>
      </c>
      <c r="H797" s="5" t="s">
        <v>46</v>
      </c>
      <c r="I797" s="6">
        <v>3</v>
      </c>
      <c r="J797" s="5" t="s">
        <v>89</v>
      </c>
      <c r="K797" s="6">
        <v>11963</v>
      </c>
      <c r="L797" s="5" t="s">
        <v>80</v>
      </c>
      <c r="M797" s="5" t="s">
        <v>27</v>
      </c>
      <c r="N797" s="5" t="s">
        <v>47</v>
      </c>
      <c r="O797" s="6" t="s">
        <v>338</v>
      </c>
      <c r="P797" s="6" t="s">
        <v>1623</v>
      </c>
      <c r="Q797" s="5" t="s">
        <v>48</v>
      </c>
      <c r="R797" s="5" t="s">
        <v>32</v>
      </c>
      <c r="S797" s="5" t="s">
        <v>49</v>
      </c>
      <c r="T797" s="6">
        <v>6</v>
      </c>
      <c r="U797" s="6">
        <v>8</v>
      </c>
      <c r="V797" s="5" t="s">
        <v>54</v>
      </c>
      <c r="W797" s="8"/>
      <c r="Y797">
        <f t="shared" si="15"/>
        <v>75</v>
      </c>
    </row>
    <row r="798" spans="1:25" ht="15.75" customHeight="1">
      <c r="A798" s="5" t="s">
        <v>1624</v>
      </c>
      <c r="B798" s="6">
        <v>32</v>
      </c>
      <c r="C798" s="5" t="s">
        <v>47</v>
      </c>
      <c r="D798" s="6" t="s">
        <v>577</v>
      </c>
      <c r="E798" s="6"/>
      <c r="F798" s="7">
        <v>44965</v>
      </c>
      <c r="G798" s="6">
        <v>5</v>
      </c>
      <c r="H798" s="5" t="s">
        <v>46</v>
      </c>
      <c r="I798" s="6">
        <v>4</v>
      </c>
      <c r="J798" s="5" t="s">
        <v>52</v>
      </c>
      <c r="K798" s="6">
        <v>12838</v>
      </c>
      <c r="L798" s="5" t="s">
        <v>26</v>
      </c>
      <c r="M798" s="5" t="s">
        <v>27</v>
      </c>
      <c r="N798" s="5" t="s">
        <v>28</v>
      </c>
      <c r="O798" s="6" t="s">
        <v>111</v>
      </c>
      <c r="P798" s="6" t="s">
        <v>1625</v>
      </c>
      <c r="Q798" s="5" t="s">
        <v>43</v>
      </c>
      <c r="R798" s="5" t="s">
        <v>32</v>
      </c>
      <c r="S798" s="5" t="s">
        <v>53</v>
      </c>
      <c r="T798" s="6">
        <v>10</v>
      </c>
      <c r="U798" s="6">
        <v>12</v>
      </c>
      <c r="V798" s="5" t="s">
        <v>92</v>
      </c>
      <c r="W798" s="8"/>
      <c r="Y798">
        <f t="shared" si="15"/>
        <v>83.333333333333343</v>
      </c>
    </row>
    <row r="799" spans="1:25" ht="15.75" customHeight="1">
      <c r="A799" s="5" t="s">
        <v>1626</v>
      </c>
      <c r="B799" s="6">
        <v>50</v>
      </c>
      <c r="C799" s="5" t="s">
        <v>36</v>
      </c>
      <c r="D799" s="7">
        <v>44936</v>
      </c>
      <c r="E799" s="7"/>
      <c r="F799" s="7">
        <v>44995</v>
      </c>
      <c r="G799" s="6">
        <v>2</v>
      </c>
      <c r="H799" s="5" t="s">
        <v>83</v>
      </c>
      <c r="I799" s="6">
        <v>2</v>
      </c>
      <c r="J799" s="5" t="s">
        <v>39</v>
      </c>
      <c r="K799" s="6">
        <v>17243</v>
      </c>
      <c r="L799" s="5" t="s">
        <v>65</v>
      </c>
      <c r="M799" s="5" t="s">
        <v>27</v>
      </c>
      <c r="N799" s="5" t="s">
        <v>28</v>
      </c>
      <c r="O799" s="6" t="s">
        <v>313</v>
      </c>
      <c r="P799" s="7">
        <v>44936.25</v>
      </c>
      <c r="Q799" s="5" t="s">
        <v>48</v>
      </c>
      <c r="R799" s="5" t="s">
        <v>32</v>
      </c>
      <c r="S799" s="5" t="s">
        <v>33</v>
      </c>
      <c r="T799" s="6">
        <v>9</v>
      </c>
      <c r="U799" s="6">
        <v>10</v>
      </c>
      <c r="V799" s="5" t="s">
        <v>92</v>
      </c>
      <c r="W799" s="8"/>
      <c r="Y799">
        <f t="shared" si="15"/>
        <v>90</v>
      </c>
    </row>
    <row r="800" spans="1:25" ht="15.75" customHeight="1">
      <c r="A800" s="5" t="s">
        <v>1627</v>
      </c>
      <c r="B800" s="6">
        <v>61</v>
      </c>
      <c r="C800" s="5" t="s">
        <v>47</v>
      </c>
      <c r="D800" s="6" t="s">
        <v>527</v>
      </c>
      <c r="E800" s="6"/>
      <c r="F800" s="6" t="s">
        <v>525</v>
      </c>
      <c r="G800" s="6">
        <v>1</v>
      </c>
      <c r="H800" s="5" t="s">
        <v>38</v>
      </c>
      <c r="I800" s="6">
        <v>1</v>
      </c>
      <c r="J800" s="5" t="s">
        <v>39</v>
      </c>
      <c r="K800" s="6">
        <v>32939</v>
      </c>
      <c r="L800" s="5" t="s">
        <v>65</v>
      </c>
      <c r="M800" s="5" t="s">
        <v>66</v>
      </c>
      <c r="N800" s="5" t="s">
        <v>47</v>
      </c>
      <c r="O800" s="6" t="s">
        <v>527</v>
      </c>
      <c r="P800" s="6" t="s">
        <v>1628</v>
      </c>
      <c r="Q800" s="5" t="s">
        <v>31</v>
      </c>
      <c r="R800" s="5" t="s">
        <v>32</v>
      </c>
      <c r="S800" s="5" t="s">
        <v>53</v>
      </c>
      <c r="T800" s="6">
        <v>4</v>
      </c>
      <c r="U800" s="6">
        <v>10</v>
      </c>
      <c r="V800" s="5" t="s">
        <v>34</v>
      </c>
      <c r="W800" s="8"/>
      <c r="Y800">
        <f t="shared" si="15"/>
        <v>40</v>
      </c>
    </row>
    <row r="801" spans="1:25" ht="15.75" customHeight="1">
      <c r="A801" s="5" t="s">
        <v>1629</v>
      </c>
      <c r="B801" s="6">
        <v>51</v>
      </c>
      <c r="C801" s="5" t="s">
        <v>36</v>
      </c>
      <c r="D801" s="6" t="s">
        <v>769</v>
      </c>
      <c r="E801" s="6"/>
      <c r="F801" s="6" t="s">
        <v>1421</v>
      </c>
      <c r="G801" s="6">
        <v>4</v>
      </c>
      <c r="H801" s="5" t="s">
        <v>46</v>
      </c>
      <c r="I801" s="6">
        <v>3</v>
      </c>
      <c r="J801" s="5" t="s">
        <v>25</v>
      </c>
      <c r="K801" s="6">
        <v>6845</v>
      </c>
      <c r="L801" s="5" t="s">
        <v>80</v>
      </c>
      <c r="M801" s="5" t="s">
        <v>27</v>
      </c>
      <c r="N801" s="5" t="s">
        <v>28</v>
      </c>
      <c r="O801" s="6" t="s">
        <v>640</v>
      </c>
      <c r="P801" s="6" t="s">
        <v>126</v>
      </c>
      <c r="Q801" s="5" t="s">
        <v>86</v>
      </c>
      <c r="R801" s="5" t="s">
        <v>32</v>
      </c>
      <c r="S801" s="5" t="s">
        <v>49</v>
      </c>
      <c r="T801" s="6">
        <v>9</v>
      </c>
      <c r="U801" s="6">
        <v>8</v>
      </c>
      <c r="V801" s="5" t="s">
        <v>92</v>
      </c>
      <c r="W801" s="8"/>
      <c r="Y801">
        <f t="shared" si="15"/>
        <v>112.5</v>
      </c>
    </row>
    <row r="802" spans="1:25" ht="15.75" customHeight="1">
      <c r="A802" s="5" t="s">
        <v>1630</v>
      </c>
      <c r="B802" s="6">
        <v>19</v>
      </c>
      <c r="C802" s="5" t="s">
        <v>22</v>
      </c>
      <c r="D802" s="6" t="s">
        <v>477</v>
      </c>
      <c r="E802" s="6"/>
      <c r="F802" s="6" t="s">
        <v>936</v>
      </c>
      <c r="G802" s="6">
        <v>7</v>
      </c>
      <c r="H802" s="5" t="s">
        <v>46</v>
      </c>
      <c r="I802" s="6">
        <v>2</v>
      </c>
      <c r="J802" s="5" t="s">
        <v>52</v>
      </c>
      <c r="K802" s="6">
        <v>21766</v>
      </c>
      <c r="L802" s="5" t="s">
        <v>80</v>
      </c>
      <c r="M802" s="5" t="s">
        <v>27</v>
      </c>
      <c r="N802" s="5" t="s">
        <v>28</v>
      </c>
      <c r="O802" s="6" t="s">
        <v>379</v>
      </c>
      <c r="P802" s="6" t="s">
        <v>1631</v>
      </c>
      <c r="Q802" s="5" t="s">
        <v>43</v>
      </c>
      <c r="R802" s="5" t="s">
        <v>32</v>
      </c>
      <c r="S802" s="5" t="s">
        <v>53</v>
      </c>
      <c r="T802" s="6">
        <v>11</v>
      </c>
      <c r="U802" s="6">
        <v>12</v>
      </c>
      <c r="V802" s="5" t="s">
        <v>34</v>
      </c>
      <c r="W802" s="8"/>
      <c r="Y802">
        <f t="shared" si="15"/>
        <v>91.666666666666657</v>
      </c>
    </row>
    <row r="803" spans="1:25" ht="15.75" customHeight="1">
      <c r="A803" s="5" t="s">
        <v>1632</v>
      </c>
      <c r="B803" s="6">
        <v>21</v>
      </c>
      <c r="C803" s="5" t="s">
        <v>47</v>
      </c>
      <c r="D803" s="7">
        <v>45601</v>
      </c>
      <c r="E803" s="7"/>
      <c r="F803" s="6" t="s">
        <v>294</v>
      </c>
      <c r="G803" s="6">
        <v>11</v>
      </c>
      <c r="H803" s="5" t="s">
        <v>24</v>
      </c>
      <c r="I803" s="6">
        <v>1</v>
      </c>
      <c r="J803" s="5" t="s">
        <v>97</v>
      </c>
      <c r="K803" s="6">
        <v>41880</v>
      </c>
      <c r="L803" s="5" t="s">
        <v>26</v>
      </c>
      <c r="M803" s="5" t="s">
        <v>27</v>
      </c>
      <c r="N803" s="5" t="s">
        <v>28</v>
      </c>
      <c r="O803" s="7">
        <v>45448</v>
      </c>
      <c r="P803" s="7">
        <v>45478.333333333336</v>
      </c>
      <c r="Q803" s="5" t="s">
        <v>43</v>
      </c>
      <c r="R803" s="5" t="s">
        <v>32</v>
      </c>
      <c r="S803" s="5" t="s">
        <v>53</v>
      </c>
      <c r="T803" s="6">
        <v>4</v>
      </c>
      <c r="U803" s="6">
        <v>12</v>
      </c>
      <c r="V803" s="5" t="s">
        <v>92</v>
      </c>
      <c r="W803" s="8"/>
      <c r="Y803">
        <f t="shared" si="15"/>
        <v>33.333333333333329</v>
      </c>
    </row>
    <row r="804" spans="1:25" ht="15.75" customHeight="1">
      <c r="A804" s="5" t="s">
        <v>1633</v>
      </c>
      <c r="B804" s="6">
        <v>5</v>
      </c>
      <c r="C804" s="5" t="s">
        <v>47</v>
      </c>
      <c r="D804" s="7">
        <v>45051</v>
      </c>
      <c r="E804" s="7"/>
      <c r="F804" s="6" t="s">
        <v>67</v>
      </c>
      <c r="G804" s="6">
        <v>13</v>
      </c>
      <c r="H804" s="5" t="s">
        <v>58</v>
      </c>
      <c r="I804" s="6">
        <v>3</v>
      </c>
      <c r="J804" s="5" t="s">
        <v>52</v>
      </c>
      <c r="K804" s="6">
        <v>17780</v>
      </c>
      <c r="L804" s="5" t="s">
        <v>26</v>
      </c>
      <c r="M804" s="5" t="s">
        <v>66</v>
      </c>
      <c r="N804" s="5" t="s">
        <v>28</v>
      </c>
      <c r="O804" s="7">
        <v>44931</v>
      </c>
      <c r="P804" s="7">
        <v>44962.541666666664</v>
      </c>
      <c r="Q804" s="5" t="s">
        <v>69</v>
      </c>
      <c r="R804" s="5" t="s">
        <v>32</v>
      </c>
      <c r="S804" s="5" t="s">
        <v>49</v>
      </c>
      <c r="T804" s="6">
        <v>8</v>
      </c>
      <c r="U804" s="6">
        <v>8</v>
      </c>
      <c r="V804" s="5" t="s">
        <v>54</v>
      </c>
      <c r="W804" s="8"/>
      <c r="Y804">
        <f t="shared" si="15"/>
        <v>100</v>
      </c>
    </row>
    <row r="805" spans="1:25" ht="15.75" customHeight="1">
      <c r="A805" s="5" t="s">
        <v>1634</v>
      </c>
      <c r="B805" s="6">
        <v>82</v>
      </c>
      <c r="C805" s="5" t="s">
        <v>51</v>
      </c>
      <c r="D805" s="6" t="s">
        <v>84</v>
      </c>
      <c r="E805" s="6"/>
      <c r="F805" s="7">
        <v>45171</v>
      </c>
      <c r="G805" s="6">
        <v>10</v>
      </c>
      <c r="H805" s="5" t="s">
        <v>24</v>
      </c>
      <c r="I805" s="6">
        <v>2</v>
      </c>
      <c r="J805" s="5" t="s">
        <v>25</v>
      </c>
      <c r="K805" s="6">
        <v>47856</v>
      </c>
      <c r="L805" s="5" t="s">
        <v>40</v>
      </c>
      <c r="M805" s="5" t="s">
        <v>66</v>
      </c>
      <c r="N805" s="5" t="s">
        <v>47</v>
      </c>
      <c r="O805" s="6" t="s">
        <v>37</v>
      </c>
      <c r="P805" s="6" t="s">
        <v>1635</v>
      </c>
      <c r="Q805" s="5" t="s">
        <v>86</v>
      </c>
      <c r="R805" s="5" t="s">
        <v>32</v>
      </c>
      <c r="S805" s="5" t="s">
        <v>49</v>
      </c>
      <c r="T805" s="6">
        <v>4</v>
      </c>
      <c r="U805" s="6">
        <v>12</v>
      </c>
      <c r="V805" s="5" t="s">
        <v>54</v>
      </c>
      <c r="W805" s="8"/>
      <c r="Y805">
        <f t="shared" si="15"/>
        <v>33.333333333333329</v>
      </c>
    </row>
    <row r="806" spans="1:25" ht="15.75" customHeight="1">
      <c r="A806" s="5" t="s">
        <v>1636</v>
      </c>
      <c r="B806" s="6">
        <v>42</v>
      </c>
      <c r="C806" s="5" t="s">
        <v>51</v>
      </c>
      <c r="D806" s="7">
        <v>44994</v>
      </c>
      <c r="E806" s="7"/>
      <c r="F806" s="7">
        <v>45239</v>
      </c>
      <c r="G806" s="6">
        <v>8</v>
      </c>
      <c r="H806" s="5" t="s">
        <v>24</v>
      </c>
      <c r="I806" s="6">
        <v>2</v>
      </c>
      <c r="J806" s="5" t="s">
        <v>52</v>
      </c>
      <c r="K806" s="6">
        <v>6509</v>
      </c>
      <c r="L806" s="5" t="s">
        <v>90</v>
      </c>
      <c r="M806" s="5" t="s">
        <v>27</v>
      </c>
      <c r="N806" s="5" t="s">
        <v>28</v>
      </c>
      <c r="O806" s="7">
        <v>44994</v>
      </c>
      <c r="P806" s="7">
        <v>45025</v>
      </c>
      <c r="Q806" s="5" t="s">
        <v>43</v>
      </c>
      <c r="R806" s="5" t="s">
        <v>32</v>
      </c>
      <c r="S806" s="5" t="s">
        <v>33</v>
      </c>
      <c r="T806" s="6">
        <v>5</v>
      </c>
      <c r="U806" s="6">
        <v>8</v>
      </c>
      <c r="V806" s="5" t="s">
        <v>92</v>
      </c>
      <c r="W806" s="8"/>
      <c r="Y806">
        <f t="shared" si="15"/>
        <v>62.5</v>
      </c>
    </row>
    <row r="807" spans="1:25" ht="15.75" customHeight="1">
      <c r="A807" s="5" t="s">
        <v>1637</v>
      </c>
      <c r="B807" s="6">
        <v>61</v>
      </c>
      <c r="C807" s="5" t="s">
        <v>62</v>
      </c>
      <c r="D807" s="7">
        <v>45266</v>
      </c>
      <c r="E807" s="7"/>
      <c r="F807" s="6" t="s">
        <v>227</v>
      </c>
      <c r="G807" s="6">
        <v>2</v>
      </c>
      <c r="H807" s="5" t="s">
        <v>58</v>
      </c>
      <c r="I807" s="6">
        <v>3</v>
      </c>
      <c r="J807" s="5" t="s">
        <v>52</v>
      </c>
      <c r="K807" s="6">
        <v>28957</v>
      </c>
      <c r="L807" s="5" t="s">
        <v>26</v>
      </c>
      <c r="M807" s="5" t="s">
        <v>66</v>
      </c>
      <c r="N807" s="5" t="s">
        <v>28</v>
      </c>
      <c r="O807" s="7">
        <v>45266</v>
      </c>
      <c r="P807" s="7">
        <v>45266.458333333336</v>
      </c>
      <c r="Q807" s="5" t="s">
        <v>48</v>
      </c>
      <c r="R807" s="5" t="s">
        <v>32</v>
      </c>
      <c r="S807" s="5" t="s">
        <v>33</v>
      </c>
      <c r="T807" s="6">
        <v>11</v>
      </c>
      <c r="U807" s="6">
        <v>10</v>
      </c>
      <c r="V807" s="5" t="s">
        <v>92</v>
      </c>
      <c r="W807" s="8"/>
      <c r="Y807">
        <f t="shared" si="15"/>
        <v>110.00000000000001</v>
      </c>
    </row>
    <row r="808" spans="1:25" ht="15.75" customHeight="1">
      <c r="A808" s="5" t="s">
        <v>1638</v>
      </c>
      <c r="B808" s="6">
        <v>22</v>
      </c>
      <c r="C808" s="5" t="s">
        <v>36</v>
      </c>
      <c r="D808" s="6" t="s">
        <v>289</v>
      </c>
      <c r="E808" s="6"/>
      <c r="F808" s="6" t="s">
        <v>708</v>
      </c>
      <c r="G808" s="6">
        <v>2</v>
      </c>
      <c r="H808" s="5" t="s">
        <v>38</v>
      </c>
      <c r="I808" s="6">
        <v>2</v>
      </c>
      <c r="J808" s="5" t="s">
        <v>25</v>
      </c>
      <c r="K808" s="6">
        <v>39346</v>
      </c>
      <c r="L808" s="5" t="s">
        <v>80</v>
      </c>
      <c r="M808" s="5" t="s">
        <v>66</v>
      </c>
      <c r="N808" s="5" t="s">
        <v>28</v>
      </c>
      <c r="O808" s="6" t="s">
        <v>399</v>
      </c>
      <c r="P808" s="6" t="s">
        <v>1639</v>
      </c>
      <c r="Q808" s="5" t="s">
        <v>43</v>
      </c>
      <c r="R808" s="5" t="s">
        <v>32</v>
      </c>
      <c r="S808" s="5" t="s">
        <v>33</v>
      </c>
      <c r="T808" s="6">
        <v>5</v>
      </c>
      <c r="U808" s="6">
        <v>10</v>
      </c>
      <c r="V808" s="5" t="s">
        <v>34</v>
      </c>
      <c r="W808" s="8"/>
      <c r="Y808">
        <f t="shared" si="15"/>
        <v>50</v>
      </c>
    </row>
    <row r="809" spans="1:25" ht="15.75" customHeight="1">
      <c r="A809" s="5" t="s">
        <v>1640</v>
      </c>
      <c r="B809" s="6">
        <v>21</v>
      </c>
      <c r="C809" s="5" t="s">
        <v>51</v>
      </c>
      <c r="D809" s="6" t="s">
        <v>426</v>
      </c>
      <c r="E809" s="6"/>
      <c r="F809" s="6" t="s">
        <v>899</v>
      </c>
      <c r="G809" s="6">
        <v>14</v>
      </c>
      <c r="H809" s="5" t="s">
        <v>24</v>
      </c>
      <c r="I809" s="6">
        <v>5</v>
      </c>
      <c r="J809" s="5" t="s">
        <v>39</v>
      </c>
      <c r="K809" s="6">
        <v>22263</v>
      </c>
      <c r="L809" s="5" t="s">
        <v>26</v>
      </c>
      <c r="M809" s="5" t="s">
        <v>27</v>
      </c>
      <c r="N809" s="5" t="s">
        <v>28</v>
      </c>
      <c r="O809" s="7">
        <v>45231</v>
      </c>
      <c r="P809" s="7">
        <v>45231.291666666664</v>
      </c>
      <c r="Q809" s="5" t="s">
        <v>43</v>
      </c>
      <c r="R809" s="5" t="s">
        <v>44</v>
      </c>
      <c r="S809" s="5" t="s">
        <v>49</v>
      </c>
      <c r="T809" s="6">
        <v>11</v>
      </c>
      <c r="U809" s="6">
        <v>12</v>
      </c>
      <c r="V809" s="5" t="s">
        <v>34</v>
      </c>
      <c r="W809" s="8"/>
      <c r="Y809">
        <f t="shared" si="15"/>
        <v>91.666666666666657</v>
      </c>
    </row>
    <row r="810" spans="1:25" ht="15.75" customHeight="1">
      <c r="A810" s="5" t="s">
        <v>1641</v>
      </c>
      <c r="B810" s="6">
        <v>70</v>
      </c>
      <c r="C810" s="5" t="s">
        <v>62</v>
      </c>
      <c r="D810" s="6" t="s">
        <v>846</v>
      </c>
      <c r="E810" s="6"/>
      <c r="F810" s="7">
        <v>45507</v>
      </c>
      <c r="G810" s="6">
        <v>15</v>
      </c>
      <c r="H810" s="5" t="s">
        <v>38</v>
      </c>
      <c r="I810" s="6">
        <v>3</v>
      </c>
      <c r="J810" s="5" t="s">
        <v>97</v>
      </c>
      <c r="K810" s="6">
        <v>31148</v>
      </c>
      <c r="L810" s="5" t="s">
        <v>65</v>
      </c>
      <c r="M810" s="5" t="s">
        <v>27</v>
      </c>
      <c r="N810" s="5" t="s">
        <v>47</v>
      </c>
      <c r="O810" s="6" t="s">
        <v>565</v>
      </c>
      <c r="P810" s="6" t="s">
        <v>1642</v>
      </c>
      <c r="Q810" s="5" t="s">
        <v>43</v>
      </c>
      <c r="R810" s="5" t="s">
        <v>32</v>
      </c>
      <c r="S810" s="5" t="s">
        <v>53</v>
      </c>
      <c r="T810" s="6">
        <v>9</v>
      </c>
      <c r="U810" s="6">
        <v>10</v>
      </c>
      <c r="V810" s="5" t="s">
        <v>34</v>
      </c>
      <c r="W810" s="8"/>
      <c r="Y810">
        <f t="shared" si="15"/>
        <v>90</v>
      </c>
    </row>
    <row r="811" spans="1:25" ht="15.75" customHeight="1">
      <c r="A811" s="5" t="s">
        <v>1643</v>
      </c>
      <c r="B811" s="6">
        <v>1</v>
      </c>
      <c r="C811" s="5" t="s">
        <v>51</v>
      </c>
      <c r="D811" s="7">
        <v>45081</v>
      </c>
      <c r="E811" s="7"/>
      <c r="F811" s="6" t="s">
        <v>213</v>
      </c>
      <c r="G811" s="6">
        <v>8</v>
      </c>
      <c r="H811" s="5" t="s">
        <v>24</v>
      </c>
      <c r="I811" s="6">
        <v>2</v>
      </c>
      <c r="J811" s="5" t="s">
        <v>25</v>
      </c>
      <c r="K811" s="6">
        <v>36533</v>
      </c>
      <c r="L811" s="5" t="s">
        <v>90</v>
      </c>
      <c r="M811" s="5" t="s">
        <v>27</v>
      </c>
      <c r="N811" s="5" t="s">
        <v>47</v>
      </c>
      <c r="O811" s="7">
        <v>44930</v>
      </c>
      <c r="P811" s="7">
        <v>44961.833333333336</v>
      </c>
      <c r="Q811" s="5" t="s">
        <v>69</v>
      </c>
      <c r="R811" s="5" t="s">
        <v>44</v>
      </c>
      <c r="S811" s="5" t="s">
        <v>53</v>
      </c>
      <c r="T811" s="6">
        <v>5</v>
      </c>
      <c r="U811" s="6">
        <v>10</v>
      </c>
      <c r="V811" s="5" t="s">
        <v>54</v>
      </c>
      <c r="W811" s="8"/>
      <c r="Y811">
        <f t="shared" si="15"/>
        <v>50</v>
      </c>
    </row>
    <row r="812" spans="1:25" ht="15.75" customHeight="1">
      <c r="A812" s="5" t="s">
        <v>1644</v>
      </c>
      <c r="B812" s="6">
        <v>5</v>
      </c>
      <c r="C812" s="5" t="s">
        <v>36</v>
      </c>
      <c r="D812" s="6" t="s">
        <v>486</v>
      </c>
      <c r="E812" s="6"/>
      <c r="F812" s="6" t="s">
        <v>516</v>
      </c>
      <c r="G812" s="6">
        <v>10</v>
      </c>
      <c r="H812" s="5" t="s">
        <v>73</v>
      </c>
      <c r="I812" s="6">
        <v>1</v>
      </c>
      <c r="J812" s="5" t="s">
        <v>89</v>
      </c>
      <c r="K812" s="6">
        <v>47608</v>
      </c>
      <c r="L812" s="5" t="s">
        <v>40</v>
      </c>
      <c r="M812" s="5" t="s">
        <v>27</v>
      </c>
      <c r="N812" s="5" t="s">
        <v>28</v>
      </c>
      <c r="O812" s="6" t="s">
        <v>869</v>
      </c>
      <c r="P812" s="6" t="s">
        <v>1645</v>
      </c>
      <c r="Q812" s="5" t="s">
        <v>43</v>
      </c>
      <c r="R812" s="5" t="s">
        <v>32</v>
      </c>
      <c r="S812" s="5" t="s">
        <v>33</v>
      </c>
      <c r="T812" s="6">
        <v>5</v>
      </c>
      <c r="U812" s="6">
        <v>8</v>
      </c>
      <c r="V812" s="5" t="s">
        <v>54</v>
      </c>
      <c r="W812" s="8"/>
      <c r="Y812">
        <f t="shared" si="15"/>
        <v>62.5</v>
      </c>
    </row>
    <row r="813" spans="1:25" ht="15.75" customHeight="1">
      <c r="A813" s="5" t="s">
        <v>1646</v>
      </c>
      <c r="B813" s="6">
        <v>12</v>
      </c>
      <c r="C813" s="5" t="s">
        <v>47</v>
      </c>
      <c r="D813" s="6" t="s">
        <v>368</v>
      </c>
      <c r="E813" s="6"/>
      <c r="F813" s="7">
        <v>45082</v>
      </c>
      <c r="G813" s="6">
        <v>9</v>
      </c>
      <c r="H813" s="5" t="s">
        <v>58</v>
      </c>
      <c r="I813" s="6">
        <v>1</v>
      </c>
      <c r="J813" s="5" t="s">
        <v>39</v>
      </c>
      <c r="K813" s="6">
        <v>17931</v>
      </c>
      <c r="L813" s="5" t="s">
        <v>65</v>
      </c>
      <c r="M813" s="5" t="s">
        <v>66</v>
      </c>
      <c r="N813" s="5" t="s">
        <v>28</v>
      </c>
      <c r="O813" s="6" t="s">
        <v>570</v>
      </c>
      <c r="P813" s="6" t="s">
        <v>1647</v>
      </c>
      <c r="Q813" s="5" t="s">
        <v>43</v>
      </c>
      <c r="R813" s="5" t="s">
        <v>32</v>
      </c>
      <c r="S813" s="5" t="s">
        <v>33</v>
      </c>
      <c r="T813" s="6">
        <v>8</v>
      </c>
      <c r="U813" s="6">
        <v>8</v>
      </c>
      <c r="V813" s="5" t="s">
        <v>54</v>
      </c>
      <c r="W813" s="8"/>
      <c r="Y813">
        <f t="shared" si="15"/>
        <v>100</v>
      </c>
    </row>
    <row r="814" spans="1:25" ht="15.75" customHeight="1">
      <c r="A814" s="5" t="s">
        <v>1648</v>
      </c>
      <c r="B814" s="6">
        <v>46</v>
      </c>
      <c r="C814" s="5" t="s">
        <v>82</v>
      </c>
      <c r="D814" s="6" t="s">
        <v>589</v>
      </c>
      <c r="E814" s="6"/>
      <c r="F814" s="6" t="s">
        <v>256</v>
      </c>
      <c r="G814" s="6">
        <v>1</v>
      </c>
      <c r="H814" s="5" t="s">
        <v>24</v>
      </c>
      <c r="I814" s="6">
        <v>5</v>
      </c>
      <c r="J814" s="5" t="s">
        <v>89</v>
      </c>
      <c r="K814" s="6">
        <v>6359</v>
      </c>
      <c r="L814" s="5" t="s">
        <v>65</v>
      </c>
      <c r="M814" s="5" t="s">
        <v>66</v>
      </c>
      <c r="N814" s="5" t="s">
        <v>28</v>
      </c>
      <c r="O814" s="6" t="s">
        <v>221</v>
      </c>
      <c r="P814" s="6" t="s">
        <v>1649</v>
      </c>
      <c r="Q814" s="5" t="s">
        <v>69</v>
      </c>
      <c r="R814" s="5" t="s">
        <v>32</v>
      </c>
      <c r="S814" s="5" t="s">
        <v>49</v>
      </c>
      <c r="T814" s="6">
        <v>5</v>
      </c>
      <c r="U814" s="6">
        <v>12</v>
      </c>
      <c r="V814" s="5" t="s">
        <v>54</v>
      </c>
      <c r="W814" s="8"/>
      <c r="Y814">
        <f t="shared" si="15"/>
        <v>41.666666666666671</v>
      </c>
    </row>
    <row r="815" spans="1:25" ht="15.75" customHeight="1">
      <c r="A815" s="5" t="s">
        <v>1650</v>
      </c>
      <c r="B815" s="6">
        <v>34</v>
      </c>
      <c r="C815" s="5" t="s">
        <v>36</v>
      </c>
      <c r="D815" s="7">
        <v>44931</v>
      </c>
      <c r="E815" s="7"/>
      <c r="F815" s="7">
        <v>45265</v>
      </c>
      <c r="G815" s="6">
        <v>11</v>
      </c>
      <c r="H815" s="5" t="s">
        <v>73</v>
      </c>
      <c r="I815" s="6">
        <v>3</v>
      </c>
      <c r="J815" s="5" t="s">
        <v>39</v>
      </c>
      <c r="K815" s="6">
        <v>29532</v>
      </c>
      <c r="L815" s="5" t="s">
        <v>90</v>
      </c>
      <c r="M815" s="5" t="s">
        <v>66</v>
      </c>
      <c r="N815" s="5" t="s">
        <v>47</v>
      </c>
      <c r="O815" s="6" t="s">
        <v>861</v>
      </c>
      <c r="P815" s="7">
        <v>44962</v>
      </c>
      <c r="Q815" s="5" t="s">
        <v>86</v>
      </c>
      <c r="R815" s="5" t="s">
        <v>32</v>
      </c>
      <c r="S815" s="5" t="s">
        <v>53</v>
      </c>
      <c r="T815" s="6">
        <v>7</v>
      </c>
      <c r="U815" s="6">
        <v>8</v>
      </c>
      <c r="V815" s="5" t="s">
        <v>34</v>
      </c>
      <c r="W815" s="8"/>
      <c r="Y815">
        <f t="shared" si="15"/>
        <v>87.5</v>
      </c>
    </row>
    <row r="816" spans="1:25" ht="15.75" customHeight="1">
      <c r="A816" s="5" t="s">
        <v>1651</v>
      </c>
      <c r="B816" s="6">
        <v>49</v>
      </c>
      <c r="C816" s="5" t="s">
        <v>22</v>
      </c>
      <c r="D816" s="7">
        <v>45113</v>
      </c>
      <c r="E816" s="7"/>
      <c r="F816" s="6" t="s">
        <v>225</v>
      </c>
      <c r="G816" s="6">
        <v>9</v>
      </c>
      <c r="H816" s="5" t="s">
        <v>83</v>
      </c>
      <c r="I816" s="6">
        <v>2</v>
      </c>
      <c r="J816" s="5" t="s">
        <v>97</v>
      </c>
      <c r="K816" s="6">
        <v>25344</v>
      </c>
      <c r="L816" s="5" t="s">
        <v>40</v>
      </c>
      <c r="M816" s="5" t="s">
        <v>66</v>
      </c>
      <c r="N816" s="5" t="s">
        <v>28</v>
      </c>
      <c r="O816" s="7">
        <v>45052</v>
      </c>
      <c r="P816" s="7">
        <v>45083.375</v>
      </c>
      <c r="Q816" s="5" t="s">
        <v>31</v>
      </c>
      <c r="R816" s="5" t="s">
        <v>32</v>
      </c>
      <c r="S816" s="5" t="s">
        <v>33</v>
      </c>
      <c r="T816" s="6">
        <v>7</v>
      </c>
      <c r="U816" s="6">
        <v>12</v>
      </c>
      <c r="V816" s="5" t="s">
        <v>54</v>
      </c>
      <c r="W816" s="8"/>
      <c r="Y816">
        <f t="shared" si="15"/>
        <v>58.333333333333336</v>
      </c>
    </row>
    <row r="817" spans="1:25" ht="15.75" customHeight="1">
      <c r="A817" s="5" t="s">
        <v>1652</v>
      </c>
      <c r="B817" s="6">
        <v>78</v>
      </c>
      <c r="C817" s="5" t="s">
        <v>51</v>
      </c>
      <c r="D817" s="6" t="s">
        <v>390</v>
      </c>
      <c r="E817" s="6"/>
      <c r="F817" s="7">
        <v>45388</v>
      </c>
      <c r="G817" s="6">
        <v>10</v>
      </c>
      <c r="H817" s="5" t="s">
        <v>73</v>
      </c>
      <c r="I817" s="6">
        <v>2</v>
      </c>
      <c r="J817" s="5" t="s">
        <v>97</v>
      </c>
      <c r="K817" s="6">
        <v>9242</v>
      </c>
      <c r="L817" s="5" t="s">
        <v>80</v>
      </c>
      <c r="M817" s="5" t="s">
        <v>66</v>
      </c>
      <c r="N817" s="5" t="s">
        <v>28</v>
      </c>
      <c r="O817" s="6" t="s">
        <v>332</v>
      </c>
      <c r="P817" s="6" t="s">
        <v>1653</v>
      </c>
      <c r="Q817" s="5" t="s">
        <v>69</v>
      </c>
      <c r="R817" s="5" t="s">
        <v>32</v>
      </c>
      <c r="S817" s="5" t="s">
        <v>49</v>
      </c>
      <c r="T817" s="6">
        <v>7</v>
      </c>
      <c r="U817" s="6">
        <v>12</v>
      </c>
      <c r="V817" s="5" t="s">
        <v>54</v>
      </c>
      <c r="W817" s="8"/>
      <c r="Y817">
        <f t="shared" si="15"/>
        <v>58.333333333333336</v>
      </c>
    </row>
    <row r="818" spans="1:25" ht="15.75" customHeight="1">
      <c r="A818" s="5" t="s">
        <v>1654</v>
      </c>
      <c r="B818" s="6">
        <v>45</v>
      </c>
      <c r="C818" s="5" t="s">
        <v>51</v>
      </c>
      <c r="D818" s="6" t="s">
        <v>1421</v>
      </c>
      <c r="E818" s="6"/>
      <c r="F818" s="6" t="s">
        <v>650</v>
      </c>
      <c r="G818" s="6">
        <v>4</v>
      </c>
      <c r="H818" s="5" t="s">
        <v>46</v>
      </c>
      <c r="I818" s="6">
        <v>1</v>
      </c>
      <c r="J818" s="5" t="s">
        <v>52</v>
      </c>
      <c r="K818" s="6">
        <v>25601</v>
      </c>
      <c r="L818" s="5" t="s">
        <v>40</v>
      </c>
      <c r="M818" s="5" t="s">
        <v>66</v>
      </c>
      <c r="N818" s="5" t="s">
        <v>28</v>
      </c>
      <c r="O818" s="6" t="s">
        <v>1421</v>
      </c>
      <c r="P818" s="6" t="s">
        <v>1655</v>
      </c>
      <c r="Q818" s="5" t="s">
        <v>69</v>
      </c>
      <c r="R818" s="5" t="s">
        <v>32</v>
      </c>
      <c r="S818" s="5" t="s">
        <v>33</v>
      </c>
      <c r="T818" s="6">
        <v>4</v>
      </c>
      <c r="U818" s="6">
        <v>8</v>
      </c>
      <c r="V818" s="5" t="s">
        <v>54</v>
      </c>
      <c r="W818" s="8"/>
      <c r="Y818">
        <f t="shared" si="15"/>
        <v>50</v>
      </c>
    </row>
    <row r="819" spans="1:25" ht="15.75" customHeight="1">
      <c r="A819" s="5" t="s">
        <v>1656</v>
      </c>
      <c r="B819" s="6">
        <v>27</v>
      </c>
      <c r="C819" s="5" t="s">
        <v>47</v>
      </c>
      <c r="D819" s="7">
        <v>45418</v>
      </c>
      <c r="E819" s="7"/>
      <c r="F819" s="6" t="s">
        <v>1085</v>
      </c>
      <c r="G819" s="6">
        <v>12</v>
      </c>
      <c r="H819" s="5" t="s">
        <v>24</v>
      </c>
      <c r="I819" s="6">
        <v>5</v>
      </c>
      <c r="J819" s="5" t="s">
        <v>89</v>
      </c>
      <c r="K819" s="6">
        <v>24116</v>
      </c>
      <c r="L819" s="5" t="s">
        <v>26</v>
      </c>
      <c r="M819" s="5" t="s">
        <v>66</v>
      </c>
      <c r="N819" s="5" t="s">
        <v>47</v>
      </c>
      <c r="O819" s="7">
        <v>45388</v>
      </c>
      <c r="P819" s="7">
        <v>45388.041666666664</v>
      </c>
      <c r="Q819" s="5" t="s">
        <v>43</v>
      </c>
      <c r="R819" s="5" t="s">
        <v>32</v>
      </c>
      <c r="S819" s="5" t="s">
        <v>49</v>
      </c>
      <c r="T819" s="6">
        <v>9</v>
      </c>
      <c r="U819" s="6">
        <v>10</v>
      </c>
      <c r="V819" s="5" t="s">
        <v>54</v>
      </c>
      <c r="W819" s="8"/>
      <c r="Y819">
        <f t="shared" si="15"/>
        <v>90</v>
      </c>
    </row>
    <row r="820" spans="1:25" ht="15.75" customHeight="1">
      <c r="A820" s="5" t="s">
        <v>1657</v>
      </c>
      <c r="B820" s="6">
        <v>73</v>
      </c>
      <c r="C820" s="5" t="s">
        <v>22</v>
      </c>
      <c r="D820" s="7">
        <v>45117</v>
      </c>
      <c r="E820" s="7"/>
      <c r="F820" s="7">
        <v>45209</v>
      </c>
      <c r="G820" s="6">
        <v>3</v>
      </c>
      <c r="H820" s="5" t="s">
        <v>73</v>
      </c>
      <c r="I820" s="6">
        <v>1</v>
      </c>
      <c r="J820" s="5" t="s">
        <v>39</v>
      </c>
      <c r="K820" s="6">
        <v>40477</v>
      </c>
      <c r="L820" s="5" t="s">
        <v>65</v>
      </c>
      <c r="M820" s="5" t="s">
        <v>27</v>
      </c>
      <c r="N820" s="5" t="s">
        <v>28</v>
      </c>
      <c r="O820" s="7">
        <v>45087</v>
      </c>
      <c r="P820" s="7">
        <v>45087.666666666664</v>
      </c>
      <c r="Q820" s="5" t="s">
        <v>43</v>
      </c>
      <c r="R820" s="5" t="s">
        <v>32</v>
      </c>
      <c r="S820" s="5" t="s">
        <v>53</v>
      </c>
      <c r="T820" s="6">
        <v>9</v>
      </c>
      <c r="U820" s="6">
        <v>10</v>
      </c>
      <c r="V820" s="5" t="s">
        <v>92</v>
      </c>
      <c r="W820" s="8"/>
      <c r="Y820">
        <f t="shared" si="15"/>
        <v>90</v>
      </c>
    </row>
    <row r="821" spans="1:25" ht="15.75" customHeight="1">
      <c r="A821" s="5" t="s">
        <v>1658</v>
      </c>
      <c r="B821" s="6">
        <v>26</v>
      </c>
      <c r="C821" s="5" t="s">
        <v>47</v>
      </c>
      <c r="D821" s="7">
        <v>45294</v>
      </c>
      <c r="E821" s="7"/>
      <c r="F821" s="7">
        <v>45446</v>
      </c>
      <c r="G821" s="6">
        <v>5</v>
      </c>
      <c r="H821" s="5" t="s">
        <v>38</v>
      </c>
      <c r="I821" s="6">
        <v>1</v>
      </c>
      <c r="J821" s="5" t="s">
        <v>97</v>
      </c>
      <c r="K821" s="6">
        <v>35782</v>
      </c>
      <c r="L821" s="5" t="s">
        <v>26</v>
      </c>
      <c r="M821" s="5" t="s">
        <v>27</v>
      </c>
      <c r="N821" s="5" t="s">
        <v>28</v>
      </c>
      <c r="O821" s="6" t="s">
        <v>553</v>
      </c>
      <c r="P821" s="6" t="s">
        <v>1659</v>
      </c>
      <c r="Q821" s="5" t="s">
        <v>31</v>
      </c>
      <c r="R821" s="5" t="s">
        <v>32</v>
      </c>
      <c r="S821" s="5" t="s">
        <v>49</v>
      </c>
      <c r="T821" s="6">
        <v>6</v>
      </c>
      <c r="U821" s="6">
        <v>10</v>
      </c>
      <c r="V821" s="5" t="s">
        <v>34</v>
      </c>
      <c r="W821" s="8"/>
      <c r="Y821">
        <f t="shared" si="15"/>
        <v>60</v>
      </c>
    </row>
    <row r="822" spans="1:25" ht="15.75" customHeight="1">
      <c r="A822" s="5" t="s">
        <v>1660</v>
      </c>
      <c r="B822" s="6">
        <v>47</v>
      </c>
      <c r="C822" s="5" t="s">
        <v>22</v>
      </c>
      <c r="D822" s="7">
        <v>45540</v>
      </c>
      <c r="E822" s="7"/>
      <c r="F822" s="6" t="s">
        <v>665</v>
      </c>
      <c r="G822" s="6">
        <v>7</v>
      </c>
      <c r="H822" s="5" t="s">
        <v>83</v>
      </c>
      <c r="I822" s="6">
        <v>5</v>
      </c>
      <c r="J822" s="5" t="s">
        <v>25</v>
      </c>
      <c r="K822" s="6">
        <v>23880</v>
      </c>
      <c r="L822" s="5" t="s">
        <v>80</v>
      </c>
      <c r="M822" s="5" t="s">
        <v>27</v>
      </c>
      <c r="N822" s="5" t="s">
        <v>28</v>
      </c>
      <c r="O822" s="7">
        <v>45540</v>
      </c>
      <c r="P822" s="7">
        <v>45570.291666666664</v>
      </c>
      <c r="Q822" s="5" t="s">
        <v>43</v>
      </c>
      <c r="R822" s="5" t="s">
        <v>32</v>
      </c>
      <c r="S822" s="5" t="s">
        <v>33</v>
      </c>
      <c r="T822" s="6">
        <v>8</v>
      </c>
      <c r="U822" s="6">
        <v>10</v>
      </c>
      <c r="V822" s="5" t="s">
        <v>34</v>
      </c>
      <c r="W822" s="8"/>
      <c r="Y822">
        <f t="shared" si="15"/>
        <v>80</v>
      </c>
    </row>
    <row r="823" spans="1:25" ht="15.75" customHeight="1">
      <c r="A823" s="5" t="s">
        <v>1661</v>
      </c>
      <c r="B823" s="6">
        <v>86</v>
      </c>
      <c r="C823" s="5" t="s">
        <v>82</v>
      </c>
      <c r="D823" s="6" t="s">
        <v>257</v>
      </c>
      <c r="E823" s="6"/>
      <c r="F823" s="6" t="s">
        <v>530</v>
      </c>
      <c r="G823" s="6">
        <v>1</v>
      </c>
      <c r="H823" s="5" t="s">
        <v>24</v>
      </c>
      <c r="I823" s="6">
        <v>3</v>
      </c>
      <c r="J823" s="5" t="s">
        <v>97</v>
      </c>
      <c r="K823" s="6">
        <v>8499</v>
      </c>
      <c r="L823" s="5" t="s">
        <v>26</v>
      </c>
      <c r="M823" s="5" t="s">
        <v>27</v>
      </c>
      <c r="N823" s="5" t="s">
        <v>28</v>
      </c>
      <c r="O823" s="6" t="s">
        <v>557</v>
      </c>
      <c r="P823" s="6" t="s">
        <v>358</v>
      </c>
      <c r="Q823" s="5" t="s">
        <v>48</v>
      </c>
      <c r="R823" s="5" t="s">
        <v>32</v>
      </c>
      <c r="S823" s="5" t="s">
        <v>33</v>
      </c>
      <c r="T823" s="6">
        <v>7</v>
      </c>
      <c r="U823" s="6">
        <v>12</v>
      </c>
      <c r="V823" s="5" t="s">
        <v>54</v>
      </c>
      <c r="W823" s="8"/>
      <c r="Y823">
        <f t="shared" si="15"/>
        <v>58.333333333333336</v>
      </c>
    </row>
    <row r="824" spans="1:25" ht="15.75" customHeight="1">
      <c r="A824" s="5" t="s">
        <v>1662</v>
      </c>
      <c r="B824" s="6">
        <v>56</v>
      </c>
      <c r="C824" s="5" t="s">
        <v>51</v>
      </c>
      <c r="D824" s="7">
        <v>45116</v>
      </c>
      <c r="E824" s="7"/>
      <c r="F824" s="6" t="s">
        <v>438</v>
      </c>
      <c r="G824" s="6">
        <v>10</v>
      </c>
      <c r="H824" s="5" t="s">
        <v>46</v>
      </c>
      <c r="I824" s="6">
        <v>2</v>
      </c>
      <c r="J824" s="5" t="s">
        <v>25</v>
      </c>
      <c r="K824" s="6">
        <v>36587</v>
      </c>
      <c r="L824" s="5" t="s">
        <v>40</v>
      </c>
      <c r="M824" s="5" t="s">
        <v>66</v>
      </c>
      <c r="N824" s="5" t="s">
        <v>28</v>
      </c>
      <c r="O824" s="7">
        <v>45025</v>
      </c>
      <c r="P824" s="7">
        <v>45055.041666666664</v>
      </c>
      <c r="Q824" s="5" t="s">
        <v>43</v>
      </c>
      <c r="R824" s="5" t="s">
        <v>32</v>
      </c>
      <c r="S824" s="5" t="s">
        <v>53</v>
      </c>
      <c r="T824" s="6">
        <v>7</v>
      </c>
      <c r="U824" s="6">
        <v>10</v>
      </c>
      <c r="V824" s="5" t="s">
        <v>92</v>
      </c>
      <c r="W824" s="8"/>
      <c r="Y824">
        <f t="shared" si="15"/>
        <v>70</v>
      </c>
    </row>
    <row r="825" spans="1:25" ht="15.75" customHeight="1">
      <c r="A825" s="5" t="s">
        <v>1663</v>
      </c>
      <c r="B825" s="6">
        <v>63</v>
      </c>
      <c r="C825" s="5" t="s">
        <v>51</v>
      </c>
      <c r="D825" s="7">
        <v>45630</v>
      </c>
      <c r="E825" s="7"/>
      <c r="F825" s="6" t="s">
        <v>256</v>
      </c>
      <c r="G825" s="6">
        <v>6</v>
      </c>
      <c r="H825" s="5" t="s">
        <v>73</v>
      </c>
      <c r="I825" s="6">
        <v>3</v>
      </c>
      <c r="J825" s="5" t="s">
        <v>39</v>
      </c>
      <c r="K825" s="6">
        <v>49458</v>
      </c>
      <c r="L825" s="5" t="s">
        <v>26</v>
      </c>
      <c r="M825" s="5" t="s">
        <v>27</v>
      </c>
      <c r="N825" s="5" t="s">
        <v>28</v>
      </c>
      <c r="O825" s="7">
        <v>45600</v>
      </c>
      <c r="P825" s="7">
        <v>45600.416666666664</v>
      </c>
      <c r="Q825" s="5" t="s">
        <v>43</v>
      </c>
      <c r="R825" s="5" t="s">
        <v>32</v>
      </c>
      <c r="S825" s="5" t="s">
        <v>53</v>
      </c>
      <c r="T825" s="6">
        <v>5</v>
      </c>
      <c r="U825" s="6">
        <v>12</v>
      </c>
      <c r="V825" s="5" t="s">
        <v>34</v>
      </c>
      <c r="W825" s="8"/>
      <c r="Y825">
        <f t="shared" si="15"/>
        <v>41.666666666666671</v>
      </c>
    </row>
    <row r="826" spans="1:25" ht="15.75" customHeight="1">
      <c r="A826" s="5" t="s">
        <v>1664</v>
      </c>
      <c r="B826" s="6">
        <v>48</v>
      </c>
      <c r="C826" s="5" t="s">
        <v>82</v>
      </c>
      <c r="D826" s="6" t="s">
        <v>307</v>
      </c>
      <c r="E826" s="6"/>
      <c r="F826" s="7">
        <v>44963</v>
      </c>
      <c r="G826" s="6">
        <v>4</v>
      </c>
      <c r="H826" s="5" t="s">
        <v>83</v>
      </c>
      <c r="I826" s="6">
        <v>4</v>
      </c>
      <c r="J826" s="5" t="s">
        <v>97</v>
      </c>
      <c r="K826" s="6">
        <v>31020</v>
      </c>
      <c r="L826" s="5" t="s">
        <v>80</v>
      </c>
      <c r="M826" s="5" t="s">
        <v>66</v>
      </c>
      <c r="N826" s="5" t="s">
        <v>28</v>
      </c>
      <c r="O826" s="6" t="s">
        <v>64</v>
      </c>
      <c r="P826" s="6" t="s">
        <v>1665</v>
      </c>
      <c r="Q826" s="5" t="s">
        <v>48</v>
      </c>
      <c r="R826" s="5" t="s">
        <v>32</v>
      </c>
      <c r="S826" s="5" t="s">
        <v>33</v>
      </c>
      <c r="T826" s="6">
        <v>7</v>
      </c>
      <c r="U826" s="6">
        <v>8</v>
      </c>
      <c r="V826" s="5" t="s">
        <v>34</v>
      </c>
      <c r="W826" s="8"/>
      <c r="Y826">
        <f t="shared" si="15"/>
        <v>87.5</v>
      </c>
    </row>
    <row r="827" spans="1:25" ht="15.75" customHeight="1">
      <c r="A827" s="5" t="s">
        <v>1666</v>
      </c>
      <c r="B827" s="6">
        <v>61</v>
      </c>
      <c r="C827" s="5" t="s">
        <v>62</v>
      </c>
      <c r="D827" s="6" t="s">
        <v>926</v>
      </c>
      <c r="E827" s="6"/>
      <c r="F827" s="7">
        <v>45475</v>
      </c>
      <c r="G827" s="6">
        <v>10</v>
      </c>
      <c r="H827" s="5" t="s">
        <v>24</v>
      </c>
      <c r="I827" s="6">
        <v>4</v>
      </c>
      <c r="J827" s="5" t="s">
        <v>97</v>
      </c>
      <c r="K827" s="6">
        <v>13080</v>
      </c>
      <c r="L827" s="5" t="s">
        <v>80</v>
      </c>
      <c r="M827" s="5" t="s">
        <v>27</v>
      </c>
      <c r="N827" s="5" t="s">
        <v>47</v>
      </c>
      <c r="O827" s="6" t="s">
        <v>260</v>
      </c>
      <c r="P827" s="6" t="s">
        <v>1667</v>
      </c>
      <c r="Q827" s="5" t="s">
        <v>31</v>
      </c>
      <c r="R827" s="5" t="s">
        <v>32</v>
      </c>
      <c r="S827" s="5" t="s">
        <v>33</v>
      </c>
      <c r="T827" s="6">
        <v>5</v>
      </c>
      <c r="U827" s="6">
        <v>8</v>
      </c>
      <c r="V827" s="5" t="s">
        <v>54</v>
      </c>
      <c r="W827" s="8"/>
      <c r="Y827">
        <f t="shared" si="15"/>
        <v>62.5</v>
      </c>
    </row>
    <row r="828" spans="1:25" ht="15.75" customHeight="1">
      <c r="A828" s="5" t="s">
        <v>1668</v>
      </c>
      <c r="B828" s="6">
        <v>81</v>
      </c>
      <c r="C828" s="5" t="s">
        <v>47</v>
      </c>
      <c r="D828" s="6" t="s">
        <v>189</v>
      </c>
      <c r="E828" s="6"/>
      <c r="F828" s="6" t="s">
        <v>188</v>
      </c>
      <c r="G828" s="6">
        <v>7</v>
      </c>
      <c r="H828" s="5" t="s">
        <v>83</v>
      </c>
      <c r="I828" s="6">
        <v>4</v>
      </c>
      <c r="J828" s="5" t="s">
        <v>39</v>
      </c>
      <c r="K828" s="6">
        <v>28207</v>
      </c>
      <c r="L828" s="5" t="s">
        <v>80</v>
      </c>
      <c r="M828" s="5" t="s">
        <v>27</v>
      </c>
      <c r="N828" s="5" t="s">
        <v>28</v>
      </c>
      <c r="O828" s="7">
        <v>45206</v>
      </c>
      <c r="P828" s="7">
        <v>45237.5</v>
      </c>
      <c r="Q828" s="5" t="s">
        <v>48</v>
      </c>
      <c r="R828" s="5" t="s">
        <v>32</v>
      </c>
      <c r="S828" s="5" t="s">
        <v>33</v>
      </c>
      <c r="T828" s="6">
        <v>5</v>
      </c>
      <c r="U828" s="6">
        <v>12</v>
      </c>
      <c r="V828" s="5" t="s">
        <v>54</v>
      </c>
      <c r="W828" s="8"/>
      <c r="Y828">
        <f t="shared" si="15"/>
        <v>41.666666666666671</v>
      </c>
    </row>
    <row r="829" spans="1:25" ht="15.75" customHeight="1">
      <c r="A829" s="5" t="s">
        <v>1669</v>
      </c>
      <c r="B829" s="6">
        <v>26</v>
      </c>
      <c r="C829" s="5" t="s">
        <v>82</v>
      </c>
      <c r="D829" s="7">
        <v>45388</v>
      </c>
      <c r="E829" s="7"/>
      <c r="F829" s="7">
        <v>45479</v>
      </c>
      <c r="G829" s="6">
        <v>3</v>
      </c>
      <c r="H829" s="5" t="s">
        <v>46</v>
      </c>
      <c r="I829" s="6">
        <v>5</v>
      </c>
      <c r="J829" s="5" t="s">
        <v>97</v>
      </c>
      <c r="K829" s="6">
        <v>38957</v>
      </c>
      <c r="L829" s="5" t="s">
        <v>40</v>
      </c>
      <c r="M829" s="5" t="s">
        <v>27</v>
      </c>
      <c r="N829" s="5" t="s">
        <v>47</v>
      </c>
      <c r="O829" s="7">
        <v>45357</v>
      </c>
      <c r="P829" s="7">
        <v>45388.916666666664</v>
      </c>
      <c r="Q829" s="5" t="s">
        <v>69</v>
      </c>
      <c r="R829" s="5" t="s">
        <v>32</v>
      </c>
      <c r="S829" s="5" t="s">
        <v>53</v>
      </c>
      <c r="T829" s="6">
        <v>6</v>
      </c>
      <c r="U829" s="6">
        <v>10</v>
      </c>
      <c r="V829" s="5" t="s">
        <v>34</v>
      </c>
      <c r="W829" s="8"/>
      <c r="Y829">
        <f t="shared" si="15"/>
        <v>60</v>
      </c>
    </row>
    <row r="830" spans="1:25" ht="15.75" customHeight="1">
      <c r="A830" s="5" t="s">
        <v>1670</v>
      </c>
      <c r="B830" s="6">
        <v>36</v>
      </c>
      <c r="C830" s="5" t="s">
        <v>47</v>
      </c>
      <c r="D830" s="6" t="s">
        <v>450</v>
      </c>
      <c r="E830" s="6"/>
      <c r="F830" s="6" t="s">
        <v>581</v>
      </c>
      <c r="G830" s="6">
        <v>11</v>
      </c>
      <c r="H830" s="5" t="s">
        <v>73</v>
      </c>
      <c r="I830" s="6">
        <v>1</v>
      </c>
      <c r="J830" s="5" t="s">
        <v>25</v>
      </c>
      <c r="K830" s="6">
        <v>18908</v>
      </c>
      <c r="L830" s="5" t="s">
        <v>80</v>
      </c>
      <c r="M830" s="5" t="s">
        <v>66</v>
      </c>
      <c r="N830" s="5" t="s">
        <v>28</v>
      </c>
      <c r="O830" s="6" t="s">
        <v>716</v>
      </c>
      <c r="P830" s="6" t="s">
        <v>1061</v>
      </c>
      <c r="Q830" s="5" t="s">
        <v>48</v>
      </c>
      <c r="R830" s="5" t="s">
        <v>32</v>
      </c>
      <c r="S830" s="5" t="s">
        <v>33</v>
      </c>
      <c r="T830" s="6">
        <v>4</v>
      </c>
      <c r="U830" s="6">
        <v>12</v>
      </c>
      <c r="V830" s="5" t="s">
        <v>34</v>
      </c>
      <c r="W830" s="8"/>
      <c r="Y830">
        <f t="shared" si="15"/>
        <v>33.333333333333329</v>
      </c>
    </row>
    <row r="831" spans="1:25" ht="15.75" customHeight="1">
      <c r="A831" s="5" t="s">
        <v>1671</v>
      </c>
      <c r="B831" s="6">
        <v>1</v>
      </c>
      <c r="C831" s="5" t="s">
        <v>36</v>
      </c>
      <c r="D831" s="6" t="s">
        <v>192</v>
      </c>
      <c r="E831" s="6"/>
      <c r="F831" s="6" t="s">
        <v>501</v>
      </c>
      <c r="G831" s="6">
        <v>11</v>
      </c>
      <c r="H831" s="5" t="s">
        <v>83</v>
      </c>
      <c r="I831" s="6">
        <v>3</v>
      </c>
      <c r="J831" s="5" t="s">
        <v>97</v>
      </c>
      <c r="K831" s="6">
        <v>35652</v>
      </c>
      <c r="L831" s="5" t="s">
        <v>65</v>
      </c>
      <c r="M831" s="5" t="s">
        <v>66</v>
      </c>
      <c r="N831" s="5" t="s">
        <v>28</v>
      </c>
      <c r="O831" s="7">
        <v>45263</v>
      </c>
      <c r="P831" s="6" t="s">
        <v>1672</v>
      </c>
      <c r="Q831" s="5" t="s">
        <v>86</v>
      </c>
      <c r="R831" s="5" t="s">
        <v>32</v>
      </c>
      <c r="S831" s="5" t="s">
        <v>53</v>
      </c>
      <c r="T831" s="6">
        <v>5</v>
      </c>
      <c r="U831" s="6">
        <v>10</v>
      </c>
      <c r="V831" s="5" t="s">
        <v>92</v>
      </c>
      <c r="W831" s="8"/>
      <c r="Y831">
        <f t="shared" si="15"/>
        <v>50</v>
      </c>
    </row>
    <row r="832" spans="1:25" ht="15.75" customHeight="1">
      <c r="A832" s="5" t="s">
        <v>1673</v>
      </c>
      <c r="B832" s="6">
        <v>8</v>
      </c>
      <c r="C832" s="5" t="s">
        <v>51</v>
      </c>
      <c r="D832" s="7">
        <v>45209</v>
      </c>
      <c r="E832" s="7"/>
      <c r="F832" s="7">
        <v>45270</v>
      </c>
      <c r="G832" s="6">
        <v>2</v>
      </c>
      <c r="H832" s="5" t="s">
        <v>83</v>
      </c>
      <c r="I832" s="6">
        <v>2</v>
      </c>
      <c r="J832" s="5" t="s">
        <v>89</v>
      </c>
      <c r="K832" s="6">
        <v>35344</v>
      </c>
      <c r="L832" s="5" t="s">
        <v>80</v>
      </c>
      <c r="M832" s="5" t="s">
        <v>66</v>
      </c>
      <c r="N832" s="5" t="s">
        <v>28</v>
      </c>
      <c r="O832" s="7">
        <v>45087</v>
      </c>
      <c r="P832" s="7">
        <v>45117.125</v>
      </c>
      <c r="Q832" s="5" t="s">
        <v>69</v>
      </c>
      <c r="R832" s="5" t="s">
        <v>32</v>
      </c>
      <c r="S832" s="5" t="s">
        <v>33</v>
      </c>
      <c r="T832" s="6">
        <v>5</v>
      </c>
      <c r="U832" s="6">
        <v>10</v>
      </c>
      <c r="V832" s="5" t="s">
        <v>34</v>
      </c>
      <c r="W832" s="8"/>
      <c r="Y832">
        <f t="shared" si="15"/>
        <v>50</v>
      </c>
    </row>
    <row r="833" spans="1:25" ht="15.75" customHeight="1">
      <c r="A833" s="5" t="s">
        <v>1674</v>
      </c>
      <c r="B833" s="6">
        <v>52</v>
      </c>
      <c r="C833" s="5" t="s">
        <v>47</v>
      </c>
      <c r="D833" s="6" t="s">
        <v>117</v>
      </c>
      <c r="E833" s="6"/>
      <c r="F833" s="7">
        <v>45538</v>
      </c>
      <c r="G833" s="6">
        <v>9</v>
      </c>
      <c r="H833" s="5" t="s">
        <v>58</v>
      </c>
      <c r="I833" s="6">
        <v>4</v>
      </c>
      <c r="J833" s="5" t="s">
        <v>52</v>
      </c>
      <c r="K833" s="6">
        <v>30034</v>
      </c>
      <c r="L833" s="5" t="s">
        <v>26</v>
      </c>
      <c r="M833" s="5" t="s">
        <v>66</v>
      </c>
      <c r="N833" s="5" t="s">
        <v>28</v>
      </c>
      <c r="O833" s="6" t="s">
        <v>845</v>
      </c>
      <c r="P833" s="6" t="s">
        <v>1675</v>
      </c>
      <c r="Q833" s="5" t="s">
        <v>43</v>
      </c>
      <c r="R833" s="5" t="s">
        <v>32</v>
      </c>
      <c r="S833" s="5" t="s">
        <v>49</v>
      </c>
      <c r="T833" s="6">
        <v>9</v>
      </c>
      <c r="U833" s="6">
        <v>12</v>
      </c>
      <c r="V833" s="5" t="s">
        <v>34</v>
      </c>
      <c r="W833" s="8"/>
      <c r="Y833">
        <f t="shared" si="15"/>
        <v>75</v>
      </c>
    </row>
    <row r="834" spans="1:25" ht="15.75" customHeight="1">
      <c r="A834" s="5" t="s">
        <v>1676</v>
      </c>
      <c r="B834" s="6">
        <v>79</v>
      </c>
      <c r="C834" s="5" t="s">
        <v>22</v>
      </c>
      <c r="D834" s="6" t="s">
        <v>135</v>
      </c>
      <c r="E834" s="6"/>
      <c r="F834" s="6" t="s">
        <v>1677</v>
      </c>
      <c r="G834" s="6">
        <v>6</v>
      </c>
      <c r="H834" s="5" t="s">
        <v>83</v>
      </c>
      <c r="I834" s="6">
        <v>3</v>
      </c>
      <c r="J834" s="5" t="s">
        <v>25</v>
      </c>
      <c r="K834" s="6">
        <v>30788</v>
      </c>
      <c r="L834" s="5" t="s">
        <v>26</v>
      </c>
      <c r="M834" s="5" t="s">
        <v>66</v>
      </c>
      <c r="N834" s="5" t="s">
        <v>47</v>
      </c>
      <c r="O834" s="6" t="s">
        <v>490</v>
      </c>
      <c r="P834" s="6" t="s">
        <v>1678</v>
      </c>
      <c r="Q834" s="5" t="s">
        <v>69</v>
      </c>
      <c r="R834" s="5" t="s">
        <v>32</v>
      </c>
      <c r="S834" s="5" t="s">
        <v>49</v>
      </c>
      <c r="T834" s="6">
        <v>6</v>
      </c>
      <c r="U834" s="6">
        <v>12</v>
      </c>
      <c r="V834" s="5" t="s">
        <v>54</v>
      </c>
      <c r="W834" s="8"/>
      <c r="Y834">
        <f t="shared" si="15"/>
        <v>50</v>
      </c>
    </row>
    <row r="835" spans="1:25" ht="15.75" customHeight="1">
      <c r="A835" s="5" t="s">
        <v>1679</v>
      </c>
      <c r="B835" s="6">
        <v>47</v>
      </c>
      <c r="C835" s="5" t="s">
        <v>47</v>
      </c>
      <c r="D835" s="7">
        <v>45357</v>
      </c>
      <c r="E835" s="7"/>
      <c r="F835" s="7">
        <v>45418</v>
      </c>
      <c r="G835" s="6">
        <v>2</v>
      </c>
      <c r="H835" s="5" t="s">
        <v>58</v>
      </c>
      <c r="I835" s="6">
        <v>4</v>
      </c>
      <c r="J835" s="5" t="s">
        <v>89</v>
      </c>
      <c r="K835" s="6">
        <v>17751</v>
      </c>
      <c r="L835" s="5" t="s">
        <v>26</v>
      </c>
      <c r="M835" s="5" t="s">
        <v>66</v>
      </c>
      <c r="N835" s="5" t="s">
        <v>28</v>
      </c>
      <c r="O835" s="6" t="s">
        <v>781</v>
      </c>
      <c r="P835" s="6" t="s">
        <v>1680</v>
      </c>
      <c r="Q835" s="5" t="s">
        <v>31</v>
      </c>
      <c r="R835" s="5" t="s">
        <v>32</v>
      </c>
      <c r="S835" s="5" t="s">
        <v>33</v>
      </c>
      <c r="T835" s="6">
        <v>5</v>
      </c>
      <c r="U835" s="6">
        <v>10</v>
      </c>
      <c r="V835" s="5" t="s">
        <v>34</v>
      </c>
      <c r="W835" s="8"/>
      <c r="Y835">
        <f t="shared" ref="Y835:Y898" si="16">(T835/U835*100)</f>
        <v>50</v>
      </c>
    </row>
    <row r="836" spans="1:25" ht="15.75" customHeight="1">
      <c r="A836" s="5" t="s">
        <v>1681</v>
      </c>
      <c r="B836" s="6">
        <v>56</v>
      </c>
      <c r="C836" s="5" t="s">
        <v>36</v>
      </c>
      <c r="D836" s="7">
        <v>44936</v>
      </c>
      <c r="E836" s="7"/>
      <c r="F836" s="7">
        <v>45209</v>
      </c>
      <c r="G836" s="6">
        <v>9</v>
      </c>
      <c r="H836" s="5" t="s">
        <v>73</v>
      </c>
      <c r="I836" s="6">
        <v>4</v>
      </c>
      <c r="J836" s="5" t="s">
        <v>39</v>
      </c>
      <c r="K836" s="6">
        <v>38793</v>
      </c>
      <c r="L836" s="5" t="s">
        <v>40</v>
      </c>
      <c r="M836" s="5" t="s">
        <v>66</v>
      </c>
      <c r="N836" s="5" t="s">
        <v>28</v>
      </c>
      <c r="O836" s="6" t="s">
        <v>162</v>
      </c>
      <c r="P836" s="6" t="s">
        <v>1682</v>
      </c>
      <c r="Q836" s="5" t="s">
        <v>31</v>
      </c>
      <c r="R836" s="5" t="s">
        <v>32</v>
      </c>
      <c r="S836" s="5" t="s">
        <v>49</v>
      </c>
      <c r="T836" s="6">
        <v>8</v>
      </c>
      <c r="U836" s="6">
        <v>12</v>
      </c>
      <c r="V836" s="5" t="s">
        <v>54</v>
      </c>
      <c r="W836" s="8"/>
      <c r="Y836">
        <f t="shared" si="16"/>
        <v>66.666666666666657</v>
      </c>
    </row>
    <row r="837" spans="1:25" ht="15.75" customHeight="1">
      <c r="A837" s="5" t="s">
        <v>1683</v>
      </c>
      <c r="B837" s="6">
        <v>86</v>
      </c>
      <c r="C837" s="5" t="s">
        <v>51</v>
      </c>
      <c r="D837" s="7">
        <v>44986</v>
      </c>
      <c r="E837" s="7"/>
      <c r="F837" s="7">
        <v>45261</v>
      </c>
      <c r="G837" s="6">
        <v>9</v>
      </c>
      <c r="H837" s="5" t="s">
        <v>24</v>
      </c>
      <c r="I837" s="6">
        <v>2</v>
      </c>
      <c r="J837" s="5" t="s">
        <v>25</v>
      </c>
      <c r="K837" s="6">
        <v>37839</v>
      </c>
      <c r="L837" s="5" t="s">
        <v>26</v>
      </c>
      <c r="M837" s="5" t="s">
        <v>66</v>
      </c>
      <c r="N837" s="5" t="s">
        <v>47</v>
      </c>
      <c r="O837" s="6" t="s">
        <v>980</v>
      </c>
      <c r="P837" s="6" t="s">
        <v>1684</v>
      </c>
      <c r="Q837" s="5" t="s">
        <v>48</v>
      </c>
      <c r="R837" s="5" t="s">
        <v>32</v>
      </c>
      <c r="S837" s="5" t="s">
        <v>53</v>
      </c>
      <c r="T837" s="6">
        <v>4</v>
      </c>
      <c r="U837" s="6">
        <v>10</v>
      </c>
      <c r="V837" s="5" t="s">
        <v>34</v>
      </c>
      <c r="W837" s="8"/>
      <c r="Y837">
        <f t="shared" si="16"/>
        <v>40</v>
      </c>
    </row>
    <row r="838" spans="1:25" ht="15.75" customHeight="1">
      <c r="A838" s="5" t="s">
        <v>1685</v>
      </c>
      <c r="B838" s="6">
        <v>14</v>
      </c>
      <c r="C838" s="5" t="s">
        <v>82</v>
      </c>
      <c r="D838" s="6" t="s">
        <v>1005</v>
      </c>
      <c r="E838" s="6"/>
      <c r="F838" s="6" t="s">
        <v>1421</v>
      </c>
      <c r="G838" s="6">
        <v>9</v>
      </c>
      <c r="H838" s="5" t="s">
        <v>24</v>
      </c>
      <c r="I838" s="6">
        <v>5</v>
      </c>
      <c r="J838" s="5" t="s">
        <v>52</v>
      </c>
      <c r="K838" s="6">
        <v>43314</v>
      </c>
      <c r="L838" s="5" t="s">
        <v>40</v>
      </c>
      <c r="M838" s="5" t="s">
        <v>27</v>
      </c>
      <c r="N838" s="5" t="s">
        <v>28</v>
      </c>
      <c r="O838" s="7">
        <v>45270</v>
      </c>
      <c r="P838" s="7">
        <v>45270.875</v>
      </c>
      <c r="Q838" s="5" t="s">
        <v>69</v>
      </c>
      <c r="R838" s="5" t="s">
        <v>32</v>
      </c>
      <c r="S838" s="5" t="s">
        <v>49</v>
      </c>
      <c r="T838" s="6">
        <v>11</v>
      </c>
      <c r="U838" s="6">
        <v>12</v>
      </c>
      <c r="V838" s="5" t="s">
        <v>34</v>
      </c>
      <c r="W838" s="8"/>
      <c r="Y838">
        <f t="shared" si="16"/>
        <v>91.666666666666657</v>
      </c>
    </row>
    <row r="839" spans="1:25" ht="15.75" customHeight="1">
      <c r="A839" s="5" t="s">
        <v>1686</v>
      </c>
      <c r="B839" s="6">
        <v>28</v>
      </c>
      <c r="C839" s="5" t="s">
        <v>36</v>
      </c>
      <c r="D839" s="7">
        <v>44968</v>
      </c>
      <c r="E839" s="7"/>
      <c r="F839" s="6" t="s">
        <v>289</v>
      </c>
      <c r="G839" s="6">
        <v>13</v>
      </c>
      <c r="H839" s="5" t="s">
        <v>73</v>
      </c>
      <c r="I839" s="6">
        <v>1</v>
      </c>
      <c r="J839" s="5" t="s">
        <v>52</v>
      </c>
      <c r="K839" s="6">
        <v>40453</v>
      </c>
      <c r="L839" s="5" t="s">
        <v>40</v>
      </c>
      <c r="M839" s="5" t="s">
        <v>66</v>
      </c>
      <c r="N839" s="5" t="s">
        <v>47</v>
      </c>
      <c r="O839" s="6" t="s">
        <v>649</v>
      </c>
      <c r="P839" s="6" t="s">
        <v>651</v>
      </c>
      <c r="Q839" s="5" t="s">
        <v>43</v>
      </c>
      <c r="R839" s="5" t="s">
        <v>44</v>
      </c>
      <c r="S839" s="5" t="s">
        <v>49</v>
      </c>
      <c r="T839" s="6">
        <v>8</v>
      </c>
      <c r="U839" s="6">
        <v>8</v>
      </c>
      <c r="V839" s="5" t="s">
        <v>34</v>
      </c>
      <c r="W839" s="8"/>
      <c r="Y839">
        <f t="shared" si="16"/>
        <v>100</v>
      </c>
    </row>
    <row r="840" spans="1:25" ht="15.75" customHeight="1">
      <c r="A840" s="5" t="s">
        <v>1687</v>
      </c>
      <c r="B840" s="6">
        <v>87</v>
      </c>
      <c r="C840" s="5" t="s">
        <v>51</v>
      </c>
      <c r="D840" s="6" t="s">
        <v>665</v>
      </c>
      <c r="E840" s="6"/>
      <c r="F840" s="6" t="s">
        <v>390</v>
      </c>
      <c r="G840" s="6">
        <v>9</v>
      </c>
      <c r="H840" s="5" t="s">
        <v>73</v>
      </c>
      <c r="I840" s="6">
        <v>5</v>
      </c>
      <c r="J840" s="5" t="s">
        <v>39</v>
      </c>
      <c r="K840" s="6">
        <v>14385</v>
      </c>
      <c r="L840" s="5" t="s">
        <v>80</v>
      </c>
      <c r="M840" s="5" t="s">
        <v>27</v>
      </c>
      <c r="N840" s="5" t="s">
        <v>28</v>
      </c>
      <c r="O840" s="6" t="s">
        <v>422</v>
      </c>
      <c r="P840" s="6" t="s">
        <v>1688</v>
      </c>
      <c r="Q840" s="5" t="s">
        <v>31</v>
      </c>
      <c r="R840" s="5" t="s">
        <v>32</v>
      </c>
      <c r="S840" s="5" t="s">
        <v>53</v>
      </c>
      <c r="T840" s="6">
        <v>7</v>
      </c>
      <c r="U840" s="6">
        <v>10</v>
      </c>
      <c r="V840" s="5" t="s">
        <v>92</v>
      </c>
      <c r="W840" s="8"/>
      <c r="Y840">
        <f t="shared" si="16"/>
        <v>70</v>
      </c>
    </row>
    <row r="841" spans="1:25" ht="15.75" customHeight="1">
      <c r="A841" s="5" t="s">
        <v>1689</v>
      </c>
      <c r="B841" s="6">
        <v>78</v>
      </c>
      <c r="C841" s="5" t="s">
        <v>47</v>
      </c>
      <c r="D841" s="7">
        <v>44963</v>
      </c>
      <c r="E841" s="7"/>
      <c r="F841" s="7">
        <v>45236</v>
      </c>
      <c r="G841" s="6">
        <v>9</v>
      </c>
      <c r="H841" s="5" t="s">
        <v>38</v>
      </c>
      <c r="I841" s="6">
        <v>3</v>
      </c>
      <c r="J841" s="5" t="s">
        <v>39</v>
      </c>
      <c r="K841" s="6">
        <v>23232</v>
      </c>
      <c r="L841" s="5" t="s">
        <v>65</v>
      </c>
      <c r="M841" s="5" t="s">
        <v>27</v>
      </c>
      <c r="N841" s="5" t="s">
        <v>28</v>
      </c>
      <c r="O841" s="6" t="s">
        <v>581</v>
      </c>
      <c r="P841" s="7">
        <v>44932.541666666664</v>
      </c>
      <c r="Q841" s="5" t="s">
        <v>43</v>
      </c>
      <c r="R841" s="5" t="s">
        <v>32</v>
      </c>
      <c r="S841" s="5" t="s">
        <v>49</v>
      </c>
      <c r="T841" s="6">
        <v>4</v>
      </c>
      <c r="U841" s="6">
        <v>8</v>
      </c>
      <c r="V841" s="5" t="s">
        <v>54</v>
      </c>
      <c r="W841" s="8"/>
      <c r="Y841">
        <f t="shared" si="16"/>
        <v>50</v>
      </c>
    </row>
    <row r="842" spans="1:25" ht="15.75" customHeight="1">
      <c r="A842" s="5" t="s">
        <v>1690</v>
      </c>
      <c r="B842" s="6">
        <v>88</v>
      </c>
      <c r="C842" s="5" t="s">
        <v>62</v>
      </c>
      <c r="D842" s="7">
        <v>45326</v>
      </c>
      <c r="E842" s="7"/>
      <c r="F842" s="7">
        <v>45355</v>
      </c>
      <c r="G842" s="6">
        <v>1</v>
      </c>
      <c r="H842" s="5" t="s">
        <v>73</v>
      </c>
      <c r="I842" s="6">
        <v>5</v>
      </c>
      <c r="J842" s="5" t="s">
        <v>25</v>
      </c>
      <c r="K842" s="6">
        <v>48344</v>
      </c>
      <c r="L842" s="5" t="s">
        <v>80</v>
      </c>
      <c r="M842" s="5" t="s">
        <v>66</v>
      </c>
      <c r="N842" s="5" t="s">
        <v>47</v>
      </c>
      <c r="O842" s="6" t="s">
        <v>936</v>
      </c>
      <c r="P842" s="7">
        <v>45295</v>
      </c>
      <c r="Q842" s="5" t="s">
        <v>86</v>
      </c>
      <c r="R842" s="5" t="s">
        <v>32</v>
      </c>
      <c r="S842" s="5" t="s">
        <v>49</v>
      </c>
      <c r="T842" s="6">
        <v>7</v>
      </c>
      <c r="U842" s="6">
        <v>12</v>
      </c>
      <c r="V842" s="5" t="s">
        <v>92</v>
      </c>
      <c r="W842" s="8"/>
      <c r="Y842">
        <f t="shared" si="16"/>
        <v>58.333333333333336</v>
      </c>
    </row>
    <row r="843" spans="1:25" ht="15.75" customHeight="1">
      <c r="A843" s="5" t="s">
        <v>1691</v>
      </c>
      <c r="B843" s="6">
        <v>2</v>
      </c>
      <c r="C843" s="5" t="s">
        <v>62</v>
      </c>
      <c r="D843" s="7">
        <v>45570</v>
      </c>
      <c r="E843" s="7"/>
      <c r="F843" s="6" t="s">
        <v>421</v>
      </c>
      <c r="G843" s="6">
        <v>7</v>
      </c>
      <c r="H843" s="5" t="s">
        <v>83</v>
      </c>
      <c r="I843" s="6">
        <v>3</v>
      </c>
      <c r="J843" s="5" t="s">
        <v>97</v>
      </c>
      <c r="K843" s="6">
        <v>39790</v>
      </c>
      <c r="L843" s="5" t="s">
        <v>80</v>
      </c>
      <c r="M843" s="5" t="s">
        <v>27</v>
      </c>
      <c r="N843" s="5" t="s">
        <v>28</v>
      </c>
      <c r="O843" s="7">
        <v>45448</v>
      </c>
      <c r="P843" s="7">
        <v>45448.333333333336</v>
      </c>
      <c r="Q843" s="5" t="s">
        <v>31</v>
      </c>
      <c r="R843" s="5" t="s">
        <v>32</v>
      </c>
      <c r="S843" s="5" t="s">
        <v>33</v>
      </c>
      <c r="T843" s="6">
        <v>9</v>
      </c>
      <c r="U843" s="6">
        <v>8</v>
      </c>
      <c r="V843" s="5" t="s">
        <v>34</v>
      </c>
      <c r="W843" s="8"/>
      <c r="Y843">
        <f t="shared" si="16"/>
        <v>112.5</v>
      </c>
    </row>
    <row r="844" spans="1:25" ht="15.75" customHeight="1">
      <c r="A844" s="5" t="s">
        <v>1692</v>
      </c>
      <c r="B844" s="6">
        <v>26</v>
      </c>
      <c r="C844" s="5" t="s">
        <v>22</v>
      </c>
      <c r="D844" s="6" t="s">
        <v>876</v>
      </c>
      <c r="E844" s="6"/>
      <c r="F844" s="7">
        <v>45352</v>
      </c>
      <c r="G844" s="6">
        <v>14</v>
      </c>
      <c r="H844" s="5" t="s">
        <v>24</v>
      </c>
      <c r="I844" s="6">
        <v>3</v>
      </c>
      <c r="J844" s="5" t="s">
        <v>39</v>
      </c>
      <c r="K844" s="6">
        <v>20831</v>
      </c>
      <c r="L844" s="5" t="s">
        <v>40</v>
      </c>
      <c r="M844" s="5" t="s">
        <v>66</v>
      </c>
      <c r="N844" s="5" t="s">
        <v>47</v>
      </c>
      <c r="O844" s="6" t="s">
        <v>773</v>
      </c>
      <c r="P844" s="6" t="s">
        <v>1693</v>
      </c>
      <c r="Q844" s="5" t="s">
        <v>48</v>
      </c>
      <c r="R844" s="5" t="s">
        <v>32</v>
      </c>
      <c r="S844" s="5" t="s">
        <v>53</v>
      </c>
      <c r="T844" s="6">
        <v>10</v>
      </c>
      <c r="U844" s="6">
        <v>12</v>
      </c>
      <c r="V844" s="5" t="s">
        <v>92</v>
      </c>
      <c r="W844" s="8"/>
      <c r="Y844">
        <f t="shared" si="16"/>
        <v>83.333333333333343</v>
      </c>
    </row>
    <row r="845" spans="1:25" ht="15.75" customHeight="1">
      <c r="A845" s="5" t="s">
        <v>1694</v>
      </c>
      <c r="B845" s="6">
        <v>14</v>
      </c>
      <c r="C845" s="5" t="s">
        <v>51</v>
      </c>
      <c r="D845" s="7">
        <v>45119</v>
      </c>
      <c r="E845" s="7"/>
      <c r="F845" s="6" t="s">
        <v>135</v>
      </c>
      <c r="G845" s="6">
        <v>8</v>
      </c>
      <c r="H845" s="5" t="s">
        <v>46</v>
      </c>
      <c r="I845" s="6">
        <v>1</v>
      </c>
      <c r="J845" s="5" t="s">
        <v>97</v>
      </c>
      <c r="K845" s="6">
        <v>25125</v>
      </c>
      <c r="L845" s="5" t="s">
        <v>40</v>
      </c>
      <c r="M845" s="5" t="s">
        <v>66</v>
      </c>
      <c r="N845" s="5" t="s">
        <v>47</v>
      </c>
      <c r="O845" s="7">
        <v>45028</v>
      </c>
      <c r="P845" s="7">
        <v>45058.833333333336</v>
      </c>
      <c r="Q845" s="5" t="s">
        <v>86</v>
      </c>
      <c r="R845" s="5" t="s">
        <v>32</v>
      </c>
      <c r="S845" s="5" t="s">
        <v>53</v>
      </c>
      <c r="T845" s="6">
        <v>10</v>
      </c>
      <c r="U845" s="6">
        <v>10</v>
      </c>
      <c r="V845" s="5" t="s">
        <v>54</v>
      </c>
      <c r="W845" s="8"/>
      <c r="Y845">
        <f t="shared" si="16"/>
        <v>100</v>
      </c>
    </row>
    <row r="846" spans="1:25" ht="15.75" customHeight="1">
      <c r="A846" s="5" t="s">
        <v>1695</v>
      </c>
      <c r="B846" s="6">
        <v>59</v>
      </c>
      <c r="C846" s="5" t="s">
        <v>62</v>
      </c>
      <c r="D846" s="6" t="s">
        <v>355</v>
      </c>
      <c r="E846" s="6"/>
      <c r="F846" s="6" t="s">
        <v>174</v>
      </c>
      <c r="G846" s="6">
        <v>1</v>
      </c>
      <c r="H846" s="5" t="s">
        <v>24</v>
      </c>
      <c r="I846" s="6">
        <v>2</v>
      </c>
      <c r="J846" s="5" t="s">
        <v>89</v>
      </c>
      <c r="K846" s="6">
        <v>22682</v>
      </c>
      <c r="L846" s="5" t="s">
        <v>26</v>
      </c>
      <c r="M846" s="5" t="s">
        <v>66</v>
      </c>
      <c r="N846" s="5" t="s">
        <v>47</v>
      </c>
      <c r="O846" s="6" t="s">
        <v>355</v>
      </c>
      <c r="P846" s="6" t="s">
        <v>1696</v>
      </c>
      <c r="Q846" s="5" t="s">
        <v>69</v>
      </c>
      <c r="R846" s="5" t="s">
        <v>32</v>
      </c>
      <c r="S846" s="5" t="s">
        <v>33</v>
      </c>
      <c r="T846" s="6">
        <v>10</v>
      </c>
      <c r="U846" s="6">
        <v>12</v>
      </c>
      <c r="V846" s="5" t="s">
        <v>34</v>
      </c>
      <c r="W846" s="8"/>
      <c r="Y846">
        <f t="shared" si="16"/>
        <v>83.333333333333343</v>
      </c>
    </row>
    <row r="847" spans="1:25" ht="15.75" customHeight="1">
      <c r="A847" s="5" t="s">
        <v>1697</v>
      </c>
      <c r="B847" s="6">
        <v>56</v>
      </c>
      <c r="C847" s="5" t="s">
        <v>82</v>
      </c>
      <c r="D847" s="7">
        <v>45600</v>
      </c>
      <c r="E847" s="7"/>
      <c r="F847" s="6" t="s">
        <v>1124</v>
      </c>
      <c r="G847" s="6">
        <v>11</v>
      </c>
      <c r="H847" s="5" t="s">
        <v>58</v>
      </c>
      <c r="I847" s="6">
        <v>1</v>
      </c>
      <c r="J847" s="5" t="s">
        <v>52</v>
      </c>
      <c r="K847" s="6">
        <v>41870</v>
      </c>
      <c r="L847" s="5" t="s">
        <v>26</v>
      </c>
      <c r="M847" s="5" t="s">
        <v>66</v>
      </c>
      <c r="N847" s="5" t="s">
        <v>28</v>
      </c>
      <c r="O847" s="7">
        <v>45447</v>
      </c>
      <c r="P847" s="7">
        <v>45447.5</v>
      </c>
      <c r="Q847" s="5" t="s">
        <v>43</v>
      </c>
      <c r="R847" s="5" t="s">
        <v>32</v>
      </c>
      <c r="S847" s="5" t="s">
        <v>33</v>
      </c>
      <c r="T847" s="6">
        <v>5</v>
      </c>
      <c r="U847" s="6">
        <v>12</v>
      </c>
      <c r="V847" s="5" t="s">
        <v>92</v>
      </c>
      <c r="W847" s="8"/>
      <c r="Y847">
        <f t="shared" si="16"/>
        <v>41.666666666666671</v>
      </c>
    </row>
    <row r="848" spans="1:25" ht="15.75" customHeight="1">
      <c r="A848" s="5" t="s">
        <v>1698</v>
      </c>
      <c r="B848" s="6">
        <v>7</v>
      </c>
      <c r="C848" s="5" t="s">
        <v>51</v>
      </c>
      <c r="D848" s="6" t="s">
        <v>417</v>
      </c>
      <c r="E848" s="6"/>
      <c r="F848" s="7">
        <v>44997</v>
      </c>
      <c r="G848" s="6">
        <v>7</v>
      </c>
      <c r="H848" s="5" t="s">
        <v>24</v>
      </c>
      <c r="I848" s="6">
        <v>5</v>
      </c>
      <c r="J848" s="5" t="s">
        <v>97</v>
      </c>
      <c r="K848" s="6">
        <v>22288</v>
      </c>
      <c r="L848" s="5" t="s">
        <v>80</v>
      </c>
      <c r="M848" s="5" t="s">
        <v>66</v>
      </c>
      <c r="N848" s="5" t="s">
        <v>28</v>
      </c>
      <c r="O848" s="6" t="s">
        <v>1246</v>
      </c>
      <c r="P848" s="6" t="s">
        <v>1699</v>
      </c>
      <c r="Q848" s="5" t="s">
        <v>31</v>
      </c>
      <c r="R848" s="5" t="s">
        <v>32</v>
      </c>
      <c r="S848" s="5" t="s">
        <v>49</v>
      </c>
      <c r="T848" s="6">
        <v>6</v>
      </c>
      <c r="U848" s="6">
        <v>10</v>
      </c>
      <c r="V848" s="5" t="s">
        <v>92</v>
      </c>
      <c r="W848" s="8"/>
      <c r="Y848">
        <f t="shared" si="16"/>
        <v>60</v>
      </c>
    </row>
    <row r="849" spans="1:25" ht="15.75" customHeight="1">
      <c r="A849" s="5" t="s">
        <v>1700</v>
      </c>
      <c r="B849" s="6">
        <v>3</v>
      </c>
      <c r="C849" s="5" t="s">
        <v>82</v>
      </c>
      <c r="D849" s="6" t="s">
        <v>542</v>
      </c>
      <c r="E849" s="6"/>
      <c r="F849" s="6" t="s">
        <v>586</v>
      </c>
      <c r="G849" s="6">
        <v>6</v>
      </c>
      <c r="H849" s="5" t="s">
        <v>38</v>
      </c>
      <c r="I849" s="6">
        <v>3</v>
      </c>
      <c r="J849" s="5" t="s">
        <v>52</v>
      </c>
      <c r="K849" s="6">
        <v>40794</v>
      </c>
      <c r="L849" s="5" t="s">
        <v>90</v>
      </c>
      <c r="M849" s="5" t="s">
        <v>66</v>
      </c>
      <c r="N849" s="5" t="s">
        <v>28</v>
      </c>
      <c r="O849" s="7">
        <v>45237</v>
      </c>
      <c r="P849" s="7">
        <v>45267.416666666664</v>
      </c>
      <c r="Q849" s="5" t="s">
        <v>86</v>
      </c>
      <c r="R849" s="5" t="s">
        <v>32</v>
      </c>
      <c r="S849" s="5" t="s">
        <v>49</v>
      </c>
      <c r="T849" s="6">
        <v>8</v>
      </c>
      <c r="U849" s="6">
        <v>12</v>
      </c>
      <c r="V849" s="5" t="s">
        <v>54</v>
      </c>
      <c r="W849" s="8"/>
      <c r="Y849">
        <f t="shared" si="16"/>
        <v>66.666666666666657</v>
      </c>
    </row>
    <row r="850" spans="1:25" ht="15.75" customHeight="1">
      <c r="A850" s="5" t="s">
        <v>1701</v>
      </c>
      <c r="B850" s="6">
        <v>23</v>
      </c>
      <c r="C850" s="5" t="s">
        <v>82</v>
      </c>
      <c r="D850" s="7">
        <v>44966</v>
      </c>
      <c r="E850" s="7"/>
      <c r="F850" s="7">
        <v>45116</v>
      </c>
      <c r="G850" s="6">
        <v>5</v>
      </c>
      <c r="H850" s="5" t="s">
        <v>73</v>
      </c>
      <c r="I850" s="6">
        <v>4</v>
      </c>
      <c r="J850" s="5" t="s">
        <v>97</v>
      </c>
      <c r="K850" s="6">
        <v>44477</v>
      </c>
      <c r="L850" s="5" t="s">
        <v>90</v>
      </c>
      <c r="M850" s="5" t="s">
        <v>66</v>
      </c>
      <c r="N850" s="5" t="s">
        <v>47</v>
      </c>
      <c r="O850" s="7">
        <v>44935</v>
      </c>
      <c r="P850" s="7">
        <v>44935.125</v>
      </c>
      <c r="Q850" s="5" t="s">
        <v>86</v>
      </c>
      <c r="R850" s="5" t="s">
        <v>32</v>
      </c>
      <c r="S850" s="5" t="s">
        <v>49</v>
      </c>
      <c r="T850" s="6">
        <v>7</v>
      </c>
      <c r="U850" s="6">
        <v>10</v>
      </c>
      <c r="V850" s="5" t="s">
        <v>92</v>
      </c>
      <c r="W850" s="8"/>
      <c r="Y850">
        <f t="shared" si="16"/>
        <v>70</v>
      </c>
    </row>
    <row r="851" spans="1:25" ht="15.75" customHeight="1">
      <c r="A851" s="5" t="s">
        <v>1702</v>
      </c>
      <c r="B851" s="6">
        <v>18</v>
      </c>
      <c r="C851" s="5" t="s">
        <v>62</v>
      </c>
      <c r="D851" s="6" t="s">
        <v>926</v>
      </c>
      <c r="E851" s="6"/>
      <c r="F851" s="7">
        <v>45537</v>
      </c>
      <c r="G851" s="6">
        <v>12</v>
      </c>
      <c r="H851" s="5" t="s">
        <v>73</v>
      </c>
      <c r="I851" s="6">
        <v>4</v>
      </c>
      <c r="J851" s="5" t="s">
        <v>89</v>
      </c>
      <c r="K851" s="6">
        <v>29405</v>
      </c>
      <c r="L851" s="5" t="s">
        <v>26</v>
      </c>
      <c r="M851" s="5" t="s">
        <v>66</v>
      </c>
      <c r="N851" s="5" t="s">
        <v>47</v>
      </c>
      <c r="O851" s="6" t="s">
        <v>216</v>
      </c>
      <c r="P851" s="6" t="s">
        <v>1703</v>
      </c>
      <c r="Q851" s="5" t="s">
        <v>31</v>
      </c>
      <c r="R851" s="5" t="s">
        <v>44</v>
      </c>
      <c r="S851" s="5" t="s">
        <v>33</v>
      </c>
      <c r="T851" s="6">
        <v>5</v>
      </c>
      <c r="U851" s="6">
        <v>12</v>
      </c>
      <c r="V851" s="5" t="s">
        <v>54</v>
      </c>
      <c r="W851" s="8"/>
      <c r="Y851">
        <f t="shared" si="16"/>
        <v>41.666666666666671</v>
      </c>
    </row>
    <row r="852" spans="1:25" ht="15.75" customHeight="1">
      <c r="A852" s="5" t="s">
        <v>1704</v>
      </c>
      <c r="B852" s="6">
        <v>38</v>
      </c>
      <c r="C852" s="5" t="s">
        <v>51</v>
      </c>
      <c r="D852" s="6" t="s">
        <v>201</v>
      </c>
      <c r="E852" s="6"/>
      <c r="F852" s="6" t="s">
        <v>516</v>
      </c>
      <c r="G852" s="6">
        <v>1</v>
      </c>
      <c r="H852" s="5" t="s">
        <v>24</v>
      </c>
      <c r="I852" s="6">
        <v>3</v>
      </c>
      <c r="J852" s="5" t="s">
        <v>39</v>
      </c>
      <c r="K852" s="6">
        <v>43737</v>
      </c>
      <c r="L852" s="5" t="s">
        <v>90</v>
      </c>
      <c r="M852" s="5" t="s">
        <v>66</v>
      </c>
      <c r="N852" s="5" t="s">
        <v>28</v>
      </c>
      <c r="O852" s="6" t="s">
        <v>121</v>
      </c>
      <c r="P852" s="6" t="s">
        <v>1705</v>
      </c>
      <c r="Q852" s="5" t="s">
        <v>69</v>
      </c>
      <c r="R852" s="5" t="s">
        <v>32</v>
      </c>
      <c r="S852" s="5" t="s">
        <v>53</v>
      </c>
      <c r="T852" s="6">
        <v>10</v>
      </c>
      <c r="U852" s="6">
        <v>10</v>
      </c>
      <c r="V852" s="5" t="s">
        <v>34</v>
      </c>
      <c r="W852" s="8"/>
      <c r="Y852">
        <f t="shared" si="16"/>
        <v>100</v>
      </c>
    </row>
    <row r="853" spans="1:25" ht="15.75" customHeight="1">
      <c r="A853" s="5" t="s">
        <v>1706</v>
      </c>
      <c r="B853" s="6">
        <v>15</v>
      </c>
      <c r="C853" s="5" t="s">
        <v>47</v>
      </c>
      <c r="D853" s="6" t="s">
        <v>553</v>
      </c>
      <c r="E853" s="6"/>
      <c r="F853" s="7">
        <v>45325</v>
      </c>
      <c r="G853" s="6">
        <v>6</v>
      </c>
      <c r="H853" s="5" t="s">
        <v>46</v>
      </c>
      <c r="I853" s="6">
        <v>1</v>
      </c>
      <c r="J853" s="5" t="s">
        <v>89</v>
      </c>
      <c r="K853" s="6">
        <v>7620</v>
      </c>
      <c r="L853" s="5" t="s">
        <v>26</v>
      </c>
      <c r="M853" s="5" t="s">
        <v>66</v>
      </c>
      <c r="N853" s="5" t="s">
        <v>28</v>
      </c>
      <c r="O853" s="6" t="s">
        <v>846</v>
      </c>
      <c r="P853" s="6" t="s">
        <v>1707</v>
      </c>
      <c r="Q853" s="5" t="s">
        <v>69</v>
      </c>
      <c r="R853" s="5" t="s">
        <v>32</v>
      </c>
      <c r="S853" s="5" t="s">
        <v>49</v>
      </c>
      <c r="T853" s="6">
        <v>8</v>
      </c>
      <c r="U853" s="6">
        <v>8</v>
      </c>
      <c r="V853" s="5" t="s">
        <v>34</v>
      </c>
      <c r="W853" s="8"/>
      <c r="Y853">
        <f t="shared" si="16"/>
        <v>100</v>
      </c>
    </row>
    <row r="854" spans="1:25" ht="15.75" customHeight="1">
      <c r="A854" s="5" t="s">
        <v>1708</v>
      </c>
      <c r="B854" s="6">
        <v>64</v>
      </c>
      <c r="C854" s="5" t="s">
        <v>36</v>
      </c>
      <c r="D854" s="6" t="s">
        <v>167</v>
      </c>
      <c r="E854" s="6"/>
      <c r="F854" s="6" t="s">
        <v>196</v>
      </c>
      <c r="G854" s="6">
        <v>13</v>
      </c>
      <c r="H854" s="5" t="s">
        <v>46</v>
      </c>
      <c r="I854" s="6">
        <v>2</v>
      </c>
      <c r="J854" s="5" t="s">
        <v>39</v>
      </c>
      <c r="K854" s="6">
        <v>40414</v>
      </c>
      <c r="L854" s="5" t="s">
        <v>40</v>
      </c>
      <c r="M854" s="5" t="s">
        <v>66</v>
      </c>
      <c r="N854" s="5" t="s">
        <v>28</v>
      </c>
      <c r="O854" s="6" t="s">
        <v>167</v>
      </c>
      <c r="P854" s="6" t="s">
        <v>1709</v>
      </c>
      <c r="Q854" s="5" t="s">
        <v>48</v>
      </c>
      <c r="R854" s="5" t="s">
        <v>32</v>
      </c>
      <c r="S854" s="5" t="s">
        <v>33</v>
      </c>
      <c r="T854" s="6">
        <v>8</v>
      </c>
      <c r="U854" s="6">
        <v>12</v>
      </c>
      <c r="V854" s="5" t="s">
        <v>92</v>
      </c>
      <c r="W854" s="8"/>
      <c r="Y854">
        <f t="shared" si="16"/>
        <v>66.666666666666657</v>
      </c>
    </row>
    <row r="855" spans="1:25" ht="15.75" customHeight="1">
      <c r="A855" s="5" t="s">
        <v>1710</v>
      </c>
      <c r="B855" s="6">
        <v>89</v>
      </c>
      <c r="C855" s="5" t="s">
        <v>62</v>
      </c>
      <c r="D855" s="6" t="s">
        <v>1470</v>
      </c>
      <c r="E855" s="6"/>
      <c r="F855" s="6" t="s">
        <v>657</v>
      </c>
      <c r="G855" s="6">
        <v>2</v>
      </c>
      <c r="H855" s="5" t="s">
        <v>38</v>
      </c>
      <c r="I855" s="6">
        <v>1</v>
      </c>
      <c r="J855" s="5" t="s">
        <v>39</v>
      </c>
      <c r="K855" s="6">
        <v>42633</v>
      </c>
      <c r="L855" s="5" t="s">
        <v>80</v>
      </c>
      <c r="M855" s="5" t="s">
        <v>66</v>
      </c>
      <c r="N855" s="5" t="s">
        <v>47</v>
      </c>
      <c r="O855" s="6" t="s">
        <v>278</v>
      </c>
      <c r="P855" s="6" t="s">
        <v>1711</v>
      </c>
      <c r="Q855" s="5" t="s">
        <v>69</v>
      </c>
      <c r="R855" s="5" t="s">
        <v>32</v>
      </c>
      <c r="S855" s="5" t="s">
        <v>53</v>
      </c>
      <c r="T855" s="6">
        <v>9</v>
      </c>
      <c r="U855" s="6">
        <v>12</v>
      </c>
      <c r="V855" s="5" t="s">
        <v>34</v>
      </c>
      <c r="W855" s="8"/>
      <c r="Y855">
        <f t="shared" si="16"/>
        <v>75</v>
      </c>
    </row>
    <row r="856" spans="1:25" ht="15.75" customHeight="1">
      <c r="A856" s="5" t="s">
        <v>1712</v>
      </c>
      <c r="B856" s="6">
        <v>28</v>
      </c>
      <c r="C856" s="5" t="s">
        <v>62</v>
      </c>
      <c r="D856" s="6" t="s">
        <v>530</v>
      </c>
      <c r="E856" s="6"/>
      <c r="F856" s="7">
        <v>45417</v>
      </c>
      <c r="G856" s="6">
        <v>6</v>
      </c>
      <c r="H856" s="5" t="s">
        <v>58</v>
      </c>
      <c r="I856" s="6">
        <v>3</v>
      </c>
      <c r="J856" s="5" t="s">
        <v>52</v>
      </c>
      <c r="K856" s="6">
        <v>40057</v>
      </c>
      <c r="L856" s="5" t="s">
        <v>65</v>
      </c>
      <c r="M856" s="5" t="s">
        <v>66</v>
      </c>
      <c r="N856" s="5" t="s">
        <v>28</v>
      </c>
      <c r="O856" s="6" t="s">
        <v>257</v>
      </c>
      <c r="P856" s="6" t="s">
        <v>1713</v>
      </c>
      <c r="Q856" s="5" t="s">
        <v>48</v>
      </c>
      <c r="R856" s="5" t="s">
        <v>32</v>
      </c>
      <c r="S856" s="5" t="s">
        <v>33</v>
      </c>
      <c r="T856" s="6">
        <v>9</v>
      </c>
      <c r="U856" s="6">
        <v>12</v>
      </c>
      <c r="V856" s="5" t="s">
        <v>34</v>
      </c>
      <c r="W856" s="8"/>
      <c r="Y856">
        <f t="shared" si="16"/>
        <v>75</v>
      </c>
    </row>
    <row r="857" spans="1:25" ht="15.75" customHeight="1">
      <c r="A857" s="5" t="s">
        <v>1714</v>
      </c>
      <c r="B857" s="6">
        <v>74</v>
      </c>
      <c r="C857" s="5" t="s">
        <v>47</v>
      </c>
      <c r="D857" s="6" t="s">
        <v>216</v>
      </c>
      <c r="E857" s="6"/>
      <c r="F857" s="6" t="s">
        <v>351</v>
      </c>
      <c r="G857" s="6">
        <v>4</v>
      </c>
      <c r="H857" s="5" t="s">
        <v>24</v>
      </c>
      <c r="I857" s="6">
        <v>3</v>
      </c>
      <c r="J857" s="5" t="s">
        <v>89</v>
      </c>
      <c r="K857" s="6">
        <v>45138</v>
      </c>
      <c r="L857" s="5" t="s">
        <v>80</v>
      </c>
      <c r="M857" s="5" t="s">
        <v>66</v>
      </c>
      <c r="N857" s="5" t="s">
        <v>28</v>
      </c>
      <c r="O857" s="6" t="s">
        <v>629</v>
      </c>
      <c r="P857" s="6" t="s">
        <v>1715</v>
      </c>
      <c r="Q857" s="5" t="s">
        <v>86</v>
      </c>
      <c r="R857" s="5" t="s">
        <v>32</v>
      </c>
      <c r="S857" s="5" t="s">
        <v>49</v>
      </c>
      <c r="T857" s="6">
        <v>10</v>
      </c>
      <c r="U857" s="6">
        <v>10</v>
      </c>
      <c r="V857" s="5" t="s">
        <v>92</v>
      </c>
      <c r="W857" s="8"/>
      <c r="Y857">
        <f t="shared" si="16"/>
        <v>100</v>
      </c>
    </row>
    <row r="858" spans="1:25" ht="15.75" customHeight="1">
      <c r="A858" s="5" t="s">
        <v>1716</v>
      </c>
      <c r="B858" s="6">
        <v>39</v>
      </c>
      <c r="C858" s="5" t="s">
        <v>51</v>
      </c>
      <c r="D858" s="6" t="s">
        <v>175</v>
      </c>
      <c r="E858" s="6"/>
      <c r="F858" s="7">
        <v>45628</v>
      </c>
      <c r="G858" s="6">
        <v>12</v>
      </c>
      <c r="H858" s="5" t="s">
        <v>73</v>
      </c>
      <c r="I858" s="6">
        <v>2</v>
      </c>
      <c r="J858" s="5" t="s">
        <v>97</v>
      </c>
      <c r="K858" s="6">
        <v>18854</v>
      </c>
      <c r="L858" s="5" t="s">
        <v>26</v>
      </c>
      <c r="M858" s="5" t="s">
        <v>66</v>
      </c>
      <c r="N858" s="5" t="s">
        <v>28</v>
      </c>
      <c r="O858" s="6" t="s">
        <v>351</v>
      </c>
      <c r="P858" s="6" t="s">
        <v>1717</v>
      </c>
      <c r="Q858" s="5" t="s">
        <v>31</v>
      </c>
      <c r="R858" s="5" t="s">
        <v>32</v>
      </c>
      <c r="S858" s="5" t="s">
        <v>33</v>
      </c>
      <c r="T858" s="6">
        <v>7</v>
      </c>
      <c r="U858" s="6">
        <v>12</v>
      </c>
      <c r="V858" s="5" t="s">
        <v>34</v>
      </c>
      <c r="W858" s="8"/>
      <c r="Y858">
        <f t="shared" si="16"/>
        <v>58.333333333333336</v>
      </c>
    </row>
    <row r="859" spans="1:25" ht="15.75" customHeight="1">
      <c r="A859" s="5" t="s">
        <v>1718</v>
      </c>
      <c r="B859" s="6">
        <v>57</v>
      </c>
      <c r="C859" s="5" t="s">
        <v>51</v>
      </c>
      <c r="D859" s="7">
        <v>45052</v>
      </c>
      <c r="E859" s="7"/>
      <c r="F859" s="6" t="s">
        <v>225</v>
      </c>
      <c r="G859" s="6">
        <v>11</v>
      </c>
      <c r="H859" s="5" t="s">
        <v>24</v>
      </c>
      <c r="I859" s="6">
        <v>5</v>
      </c>
      <c r="J859" s="5" t="s">
        <v>89</v>
      </c>
      <c r="K859" s="6">
        <v>14677</v>
      </c>
      <c r="L859" s="5" t="s">
        <v>26</v>
      </c>
      <c r="M859" s="5" t="s">
        <v>27</v>
      </c>
      <c r="N859" s="5" t="s">
        <v>28</v>
      </c>
      <c r="O859" s="7">
        <v>45052</v>
      </c>
      <c r="P859" s="7">
        <v>45083.25</v>
      </c>
      <c r="Q859" s="5" t="s">
        <v>69</v>
      </c>
      <c r="R859" s="5" t="s">
        <v>32</v>
      </c>
      <c r="S859" s="5" t="s">
        <v>33</v>
      </c>
      <c r="T859" s="6">
        <v>10</v>
      </c>
      <c r="U859" s="6">
        <v>10</v>
      </c>
      <c r="V859" s="5" t="s">
        <v>92</v>
      </c>
      <c r="W859" s="8"/>
      <c r="Y859">
        <f t="shared" si="16"/>
        <v>100</v>
      </c>
    </row>
    <row r="860" spans="1:25" ht="15.75" customHeight="1">
      <c r="A860" s="5" t="s">
        <v>1719</v>
      </c>
      <c r="B860" s="6">
        <v>17</v>
      </c>
      <c r="C860" s="5" t="s">
        <v>82</v>
      </c>
      <c r="D860" s="6" t="s">
        <v>294</v>
      </c>
      <c r="E860" s="6"/>
      <c r="F860" s="7">
        <v>45328</v>
      </c>
      <c r="G860" s="6">
        <v>11</v>
      </c>
      <c r="H860" s="5" t="s">
        <v>38</v>
      </c>
      <c r="I860" s="6">
        <v>5</v>
      </c>
      <c r="J860" s="5" t="s">
        <v>52</v>
      </c>
      <c r="K860" s="6">
        <v>49111</v>
      </c>
      <c r="L860" s="5" t="s">
        <v>80</v>
      </c>
      <c r="M860" s="5" t="s">
        <v>66</v>
      </c>
      <c r="N860" s="5" t="s">
        <v>47</v>
      </c>
      <c r="O860" s="6" t="s">
        <v>331</v>
      </c>
      <c r="P860" s="6" t="s">
        <v>1720</v>
      </c>
      <c r="Q860" s="5" t="s">
        <v>48</v>
      </c>
      <c r="R860" s="5" t="s">
        <v>32</v>
      </c>
      <c r="S860" s="5" t="s">
        <v>33</v>
      </c>
      <c r="T860" s="6">
        <v>10</v>
      </c>
      <c r="U860" s="6">
        <v>12</v>
      </c>
      <c r="V860" s="5" t="s">
        <v>54</v>
      </c>
      <c r="W860" s="8"/>
      <c r="Y860">
        <f t="shared" si="16"/>
        <v>83.333333333333343</v>
      </c>
    </row>
    <row r="861" spans="1:25" ht="15.75" customHeight="1">
      <c r="A861" s="5" t="s">
        <v>1721</v>
      </c>
      <c r="B861" s="6">
        <v>86</v>
      </c>
      <c r="C861" s="5" t="s">
        <v>47</v>
      </c>
      <c r="D861" s="7">
        <v>45109</v>
      </c>
      <c r="E861" s="7"/>
      <c r="F861" s="7">
        <v>45171</v>
      </c>
      <c r="G861" s="6">
        <v>2</v>
      </c>
      <c r="H861" s="5" t="s">
        <v>83</v>
      </c>
      <c r="I861" s="6">
        <v>2</v>
      </c>
      <c r="J861" s="5" t="s">
        <v>39</v>
      </c>
      <c r="K861" s="6">
        <v>29074</v>
      </c>
      <c r="L861" s="5" t="s">
        <v>26</v>
      </c>
      <c r="M861" s="5" t="s">
        <v>27</v>
      </c>
      <c r="N861" s="5" t="s">
        <v>28</v>
      </c>
      <c r="O861" s="7">
        <v>44987</v>
      </c>
      <c r="P861" s="7">
        <v>45018</v>
      </c>
      <c r="Q861" s="5" t="s">
        <v>86</v>
      </c>
      <c r="R861" s="5" t="s">
        <v>32</v>
      </c>
      <c r="S861" s="5" t="s">
        <v>33</v>
      </c>
      <c r="T861" s="6">
        <v>5</v>
      </c>
      <c r="U861" s="6">
        <v>8</v>
      </c>
      <c r="V861" s="5" t="s">
        <v>54</v>
      </c>
      <c r="W861" s="8"/>
      <c r="Y861">
        <f t="shared" si="16"/>
        <v>62.5</v>
      </c>
    </row>
    <row r="862" spans="1:25" ht="15.75" customHeight="1">
      <c r="A862" s="5" t="s">
        <v>1722</v>
      </c>
      <c r="B862" s="6">
        <v>44</v>
      </c>
      <c r="C862" s="5" t="s">
        <v>47</v>
      </c>
      <c r="D862" s="7">
        <v>45204</v>
      </c>
      <c r="E862" s="7"/>
      <c r="F862" s="6" t="s">
        <v>63</v>
      </c>
      <c r="G862" s="6">
        <v>13</v>
      </c>
      <c r="H862" s="5" t="s">
        <v>83</v>
      </c>
      <c r="I862" s="6">
        <v>5</v>
      </c>
      <c r="J862" s="5" t="s">
        <v>52</v>
      </c>
      <c r="K862" s="6">
        <v>22824</v>
      </c>
      <c r="L862" s="5" t="s">
        <v>90</v>
      </c>
      <c r="M862" s="5" t="s">
        <v>27</v>
      </c>
      <c r="N862" s="5" t="s">
        <v>28</v>
      </c>
      <c r="O862" s="7">
        <v>45082</v>
      </c>
      <c r="P862" s="7">
        <v>45082.541666666664</v>
      </c>
      <c r="Q862" s="5" t="s">
        <v>69</v>
      </c>
      <c r="R862" s="5" t="s">
        <v>32</v>
      </c>
      <c r="S862" s="5" t="s">
        <v>53</v>
      </c>
      <c r="T862" s="6">
        <v>6</v>
      </c>
      <c r="U862" s="6">
        <v>12</v>
      </c>
      <c r="V862" s="5" t="s">
        <v>54</v>
      </c>
      <c r="W862" s="8"/>
      <c r="Y862">
        <f t="shared" si="16"/>
        <v>50</v>
      </c>
    </row>
    <row r="863" spans="1:25" ht="15.75" customHeight="1">
      <c r="A863" s="5" t="s">
        <v>1723</v>
      </c>
      <c r="B863" s="6">
        <v>25</v>
      </c>
      <c r="C863" s="5" t="s">
        <v>51</v>
      </c>
      <c r="D863" s="6" t="s">
        <v>668</v>
      </c>
      <c r="E863" s="6"/>
      <c r="F863" s="7">
        <v>45510</v>
      </c>
      <c r="G863" s="6">
        <v>10</v>
      </c>
      <c r="H863" s="5" t="s">
        <v>38</v>
      </c>
      <c r="I863" s="6">
        <v>4</v>
      </c>
      <c r="J863" s="5" t="s">
        <v>25</v>
      </c>
      <c r="K863" s="6">
        <v>5765</v>
      </c>
      <c r="L863" s="5" t="s">
        <v>90</v>
      </c>
      <c r="M863" s="5" t="s">
        <v>66</v>
      </c>
      <c r="N863" s="5" t="s">
        <v>28</v>
      </c>
      <c r="O863" s="6" t="s">
        <v>390</v>
      </c>
      <c r="P863" s="6" t="s">
        <v>1724</v>
      </c>
      <c r="Q863" s="5" t="s">
        <v>43</v>
      </c>
      <c r="R863" s="5" t="s">
        <v>32</v>
      </c>
      <c r="S863" s="5" t="s">
        <v>49</v>
      </c>
      <c r="T863" s="6">
        <v>10</v>
      </c>
      <c r="U863" s="6">
        <v>8</v>
      </c>
      <c r="V863" s="5" t="s">
        <v>92</v>
      </c>
      <c r="W863" s="8"/>
      <c r="Y863">
        <f t="shared" si="16"/>
        <v>125</v>
      </c>
    </row>
    <row r="864" spans="1:25" ht="15.75" customHeight="1">
      <c r="A864" s="5" t="s">
        <v>1725</v>
      </c>
      <c r="B864" s="6">
        <v>17</v>
      </c>
      <c r="C864" s="5" t="s">
        <v>82</v>
      </c>
      <c r="D864" s="7">
        <v>45089</v>
      </c>
      <c r="E864" s="7"/>
      <c r="F864" s="6" t="s">
        <v>772</v>
      </c>
      <c r="G864" s="6">
        <v>12</v>
      </c>
      <c r="H864" s="5" t="s">
        <v>73</v>
      </c>
      <c r="I864" s="6">
        <v>5</v>
      </c>
      <c r="J864" s="5" t="s">
        <v>25</v>
      </c>
      <c r="K864" s="6">
        <v>36615</v>
      </c>
      <c r="L864" s="5" t="s">
        <v>26</v>
      </c>
      <c r="M864" s="5" t="s">
        <v>66</v>
      </c>
      <c r="N864" s="5" t="s">
        <v>28</v>
      </c>
      <c r="O864" s="7">
        <v>44938</v>
      </c>
      <c r="P864" s="7">
        <v>44969.541666666664</v>
      </c>
      <c r="Q864" s="5" t="s">
        <v>86</v>
      </c>
      <c r="R864" s="5" t="s">
        <v>32</v>
      </c>
      <c r="S864" s="5" t="s">
        <v>53</v>
      </c>
      <c r="T864" s="6">
        <v>7</v>
      </c>
      <c r="U864" s="6">
        <v>10</v>
      </c>
      <c r="V864" s="5" t="s">
        <v>92</v>
      </c>
      <c r="W864" s="8"/>
      <c r="Y864">
        <f t="shared" si="16"/>
        <v>70</v>
      </c>
    </row>
    <row r="865" spans="1:25" ht="15.75" customHeight="1">
      <c r="A865" s="5" t="s">
        <v>1726</v>
      </c>
      <c r="B865" s="6">
        <v>13</v>
      </c>
      <c r="C865" s="5" t="s">
        <v>62</v>
      </c>
      <c r="D865" s="6" t="s">
        <v>147</v>
      </c>
      <c r="E865" s="6"/>
      <c r="F865" s="6" t="s">
        <v>570</v>
      </c>
      <c r="G865" s="6">
        <v>13</v>
      </c>
      <c r="H865" s="5" t="s">
        <v>38</v>
      </c>
      <c r="I865" s="6">
        <v>5</v>
      </c>
      <c r="J865" s="5" t="s">
        <v>97</v>
      </c>
      <c r="K865" s="6">
        <v>41860</v>
      </c>
      <c r="L865" s="5" t="s">
        <v>26</v>
      </c>
      <c r="M865" s="5" t="s">
        <v>27</v>
      </c>
      <c r="N865" s="5" t="s">
        <v>28</v>
      </c>
      <c r="O865" s="7">
        <v>45203</v>
      </c>
      <c r="P865" s="7">
        <v>45203.833333333336</v>
      </c>
      <c r="Q865" s="5" t="s">
        <v>69</v>
      </c>
      <c r="R865" s="5" t="s">
        <v>32</v>
      </c>
      <c r="S865" s="5" t="s">
        <v>33</v>
      </c>
      <c r="T865" s="6">
        <v>8</v>
      </c>
      <c r="U865" s="6">
        <v>8</v>
      </c>
      <c r="V865" s="5" t="s">
        <v>34</v>
      </c>
      <c r="W865" s="8"/>
      <c r="Y865">
        <f t="shared" si="16"/>
        <v>100</v>
      </c>
    </row>
    <row r="866" spans="1:25" ht="15.75" customHeight="1">
      <c r="A866" s="5" t="s">
        <v>1727</v>
      </c>
      <c r="B866" s="6">
        <v>84</v>
      </c>
      <c r="C866" s="5" t="s">
        <v>22</v>
      </c>
      <c r="D866" s="6" t="s">
        <v>1092</v>
      </c>
      <c r="E866" s="6"/>
      <c r="F866" s="7">
        <v>45295</v>
      </c>
      <c r="G866" s="6">
        <v>6</v>
      </c>
      <c r="H866" s="5" t="s">
        <v>73</v>
      </c>
      <c r="I866" s="6">
        <v>5</v>
      </c>
      <c r="J866" s="5" t="s">
        <v>52</v>
      </c>
      <c r="K866" s="6">
        <v>17975</v>
      </c>
      <c r="L866" s="5" t="s">
        <v>90</v>
      </c>
      <c r="M866" s="5" t="s">
        <v>27</v>
      </c>
      <c r="N866" s="5" t="s">
        <v>28</v>
      </c>
      <c r="O866" s="6" t="s">
        <v>477</v>
      </c>
      <c r="P866" s="6" t="s">
        <v>1092</v>
      </c>
      <c r="Q866" s="5" t="s">
        <v>86</v>
      </c>
      <c r="R866" s="5" t="s">
        <v>32</v>
      </c>
      <c r="S866" s="5" t="s">
        <v>33</v>
      </c>
      <c r="T866" s="6">
        <v>8</v>
      </c>
      <c r="U866" s="6">
        <v>12</v>
      </c>
      <c r="V866" s="5" t="s">
        <v>34</v>
      </c>
      <c r="W866" s="8"/>
      <c r="Y866">
        <f t="shared" si="16"/>
        <v>66.666666666666657</v>
      </c>
    </row>
    <row r="867" spans="1:25" ht="15.75" customHeight="1">
      <c r="A867" s="5" t="s">
        <v>1728</v>
      </c>
      <c r="B867" s="6">
        <v>25</v>
      </c>
      <c r="C867" s="5" t="s">
        <v>36</v>
      </c>
      <c r="D867" s="6" t="s">
        <v>147</v>
      </c>
      <c r="E867" s="6"/>
      <c r="F867" s="6" t="s">
        <v>601</v>
      </c>
      <c r="G867" s="6">
        <v>3</v>
      </c>
      <c r="H867" s="5" t="s">
        <v>46</v>
      </c>
      <c r="I867" s="6">
        <v>4</v>
      </c>
      <c r="J867" s="5" t="s">
        <v>97</v>
      </c>
      <c r="K867" s="6">
        <v>14341</v>
      </c>
      <c r="L867" s="5" t="s">
        <v>26</v>
      </c>
      <c r="M867" s="5" t="s">
        <v>66</v>
      </c>
      <c r="N867" s="5" t="s">
        <v>47</v>
      </c>
      <c r="O867" s="7">
        <v>45264</v>
      </c>
      <c r="P867" s="6" t="s">
        <v>1729</v>
      </c>
      <c r="Q867" s="5" t="s">
        <v>31</v>
      </c>
      <c r="R867" s="5" t="s">
        <v>44</v>
      </c>
      <c r="S867" s="5" t="s">
        <v>49</v>
      </c>
      <c r="T867" s="6">
        <v>11</v>
      </c>
      <c r="U867" s="6">
        <v>12</v>
      </c>
      <c r="V867" s="5" t="s">
        <v>34</v>
      </c>
      <c r="W867" s="8"/>
      <c r="Y867">
        <f t="shared" si="16"/>
        <v>91.666666666666657</v>
      </c>
    </row>
    <row r="868" spans="1:25" ht="15.75" customHeight="1">
      <c r="A868" s="5" t="s">
        <v>1730</v>
      </c>
      <c r="B868" s="6">
        <v>68</v>
      </c>
      <c r="C868" s="5" t="s">
        <v>62</v>
      </c>
      <c r="D868" s="6" t="s">
        <v>460</v>
      </c>
      <c r="E868" s="6"/>
      <c r="F868" s="6" t="s">
        <v>1731</v>
      </c>
      <c r="G868" s="6">
        <v>1</v>
      </c>
      <c r="H868" s="5" t="s">
        <v>38</v>
      </c>
      <c r="I868" s="6">
        <v>5</v>
      </c>
      <c r="J868" s="5" t="s">
        <v>97</v>
      </c>
      <c r="K868" s="6">
        <v>33141</v>
      </c>
      <c r="L868" s="5" t="s">
        <v>26</v>
      </c>
      <c r="M868" s="5" t="s">
        <v>27</v>
      </c>
      <c r="N868" s="5" t="s">
        <v>28</v>
      </c>
      <c r="O868" s="6" t="s">
        <v>997</v>
      </c>
      <c r="P868" s="6" t="s">
        <v>1732</v>
      </c>
      <c r="Q868" s="5" t="s">
        <v>31</v>
      </c>
      <c r="R868" s="5" t="s">
        <v>32</v>
      </c>
      <c r="S868" s="5" t="s">
        <v>49</v>
      </c>
      <c r="T868" s="6">
        <v>4</v>
      </c>
      <c r="U868" s="6">
        <v>10</v>
      </c>
      <c r="V868" s="5" t="s">
        <v>34</v>
      </c>
      <c r="W868" s="8"/>
      <c r="Y868">
        <f t="shared" si="16"/>
        <v>40</v>
      </c>
    </row>
    <row r="869" spans="1:25" ht="15.75" customHeight="1">
      <c r="A869" s="5" t="s">
        <v>1733</v>
      </c>
      <c r="B869" s="6">
        <v>10</v>
      </c>
      <c r="C869" s="5" t="s">
        <v>51</v>
      </c>
      <c r="D869" s="7">
        <v>45630</v>
      </c>
      <c r="E869" s="7"/>
      <c r="F869" s="6" t="s">
        <v>256</v>
      </c>
      <c r="G869" s="6">
        <v>6</v>
      </c>
      <c r="H869" s="5" t="s">
        <v>73</v>
      </c>
      <c r="I869" s="6">
        <v>4</v>
      </c>
      <c r="J869" s="5" t="s">
        <v>25</v>
      </c>
      <c r="K869" s="6">
        <v>17334</v>
      </c>
      <c r="L869" s="5" t="s">
        <v>80</v>
      </c>
      <c r="M869" s="5" t="s">
        <v>27</v>
      </c>
      <c r="N869" s="5" t="s">
        <v>28</v>
      </c>
      <c r="O869" s="7">
        <v>45569</v>
      </c>
      <c r="P869" s="7">
        <v>45600.25</v>
      </c>
      <c r="Q869" s="5" t="s">
        <v>31</v>
      </c>
      <c r="R869" s="5" t="s">
        <v>32</v>
      </c>
      <c r="S869" s="5" t="s">
        <v>53</v>
      </c>
      <c r="T869" s="6">
        <v>10</v>
      </c>
      <c r="U869" s="6">
        <v>12</v>
      </c>
      <c r="V869" s="5" t="s">
        <v>34</v>
      </c>
      <c r="W869" s="8"/>
      <c r="Y869">
        <f t="shared" si="16"/>
        <v>83.333333333333343</v>
      </c>
    </row>
    <row r="870" spans="1:25" ht="15.75" customHeight="1">
      <c r="A870" s="5" t="s">
        <v>1734</v>
      </c>
      <c r="B870" s="6">
        <v>67</v>
      </c>
      <c r="C870" s="5" t="s">
        <v>36</v>
      </c>
      <c r="D870" s="6" t="s">
        <v>607</v>
      </c>
      <c r="E870" s="6"/>
      <c r="F870" s="6" t="s">
        <v>108</v>
      </c>
      <c r="G870" s="6">
        <v>9</v>
      </c>
      <c r="H870" s="5" t="s">
        <v>38</v>
      </c>
      <c r="I870" s="6">
        <v>2</v>
      </c>
      <c r="J870" s="5" t="s">
        <v>97</v>
      </c>
      <c r="K870" s="6">
        <v>20835</v>
      </c>
      <c r="L870" s="5" t="s">
        <v>65</v>
      </c>
      <c r="M870" s="5" t="s">
        <v>66</v>
      </c>
      <c r="N870" s="5" t="s">
        <v>28</v>
      </c>
      <c r="O870" s="6" t="s">
        <v>426</v>
      </c>
      <c r="P870" s="6" t="s">
        <v>607</v>
      </c>
      <c r="Q870" s="5" t="s">
        <v>43</v>
      </c>
      <c r="R870" s="5" t="s">
        <v>32</v>
      </c>
      <c r="S870" s="5" t="s">
        <v>53</v>
      </c>
      <c r="T870" s="6">
        <v>11</v>
      </c>
      <c r="U870" s="6">
        <v>12</v>
      </c>
      <c r="V870" s="5" t="s">
        <v>92</v>
      </c>
      <c r="W870" s="8"/>
      <c r="Y870">
        <f t="shared" si="16"/>
        <v>91.666666666666657</v>
      </c>
    </row>
    <row r="871" spans="1:25" ht="15.75" customHeight="1">
      <c r="A871" s="5" t="s">
        <v>1735</v>
      </c>
      <c r="B871" s="6">
        <v>18</v>
      </c>
      <c r="C871" s="5" t="s">
        <v>22</v>
      </c>
      <c r="D871" s="6" t="s">
        <v>1021</v>
      </c>
      <c r="E871" s="6"/>
      <c r="F871" s="7">
        <v>44991</v>
      </c>
      <c r="G871" s="6">
        <v>6</v>
      </c>
      <c r="H871" s="5" t="s">
        <v>38</v>
      </c>
      <c r="I871" s="6">
        <v>1</v>
      </c>
      <c r="J871" s="5" t="s">
        <v>25</v>
      </c>
      <c r="K871" s="6">
        <v>31548</v>
      </c>
      <c r="L871" s="5" t="s">
        <v>90</v>
      </c>
      <c r="M871" s="5" t="s">
        <v>27</v>
      </c>
      <c r="N871" s="5" t="s">
        <v>28</v>
      </c>
      <c r="O871" s="6" t="s">
        <v>302</v>
      </c>
      <c r="P871" s="6" t="s">
        <v>1736</v>
      </c>
      <c r="Q871" s="5" t="s">
        <v>31</v>
      </c>
      <c r="R871" s="5" t="s">
        <v>32</v>
      </c>
      <c r="S871" s="5" t="s">
        <v>49</v>
      </c>
      <c r="T871" s="6">
        <v>11</v>
      </c>
      <c r="U871" s="6">
        <v>10</v>
      </c>
      <c r="V871" s="5" t="s">
        <v>92</v>
      </c>
      <c r="W871" s="8"/>
      <c r="Y871">
        <f t="shared" si="16"/>
        <v>110.00000000000001</v>
      </c>
    </row>
    <row r="872" spans="1:25" ht="15.75" customHeight="1">
      <c r="A872" s="5" t="s">
        <v>1737</v>
      </c>
      <c r="B872" s="6">
        <v>86</v>
      </c>
      <c r="C872" s="5" t="s">
        <v>22</v>
      </c>
      <c r="D872" s="6" t="s">
        <v>1251</v>
      </c>
      <c r="E872" s="6"/>
      <c r="F872" s="7">
        <v>45538</v>
      </c>
      <c r="G872" s="6">
        <v>14</v>
      </c>
      <c r="H872" s="5" t="s">
        <v>73</v>
      </c>
      <c r="I872" s="6">
        <v>2</v>
      </c>
      <c r="J872" s="5" t="s">
        <v>39</v>
      </c>
      <c r="K872" s="6">
        <v>40434</v>
      </c>
      <c r="L872" s="5" t="s">
        <v>80</v>
      </c>
      <c r="M872" s="5" t="s">
        <v>66</v>
      </c>
      <c r="N872" s="5" t="s">
        <v>47</v>
      </c>
      <c r="O872" s="6" t="s">
        <v>685</v>
      </c>
      <c r="P872" s="6" t="s">
        <v>1738</v>
      </c>
      <c r="Q872" s="5" t="s">
        <v>43</v>
      </c>
      <c r="R872" s="5" t="s">
        <v>32</v>
      </c>
      <c r="S872" s="5" t="s">
        <v>53</v>
      </c>
      <c r="T872" s="6">
        <v>5</v>
      </c>
      <c r="U872" s="6">
        <v>10</v>
      </c>
      <c r="V872" s="5" t="s">
        <v>54</v>
      </c>
      <c r="W872" s="8"/>
      <c r="Y872">
        <f t="shared" si="16"/>
        <v>50</v>
      </c>
    </row>
    <row r="873" spans="1:25" ht="15.75" customHeight="1">
      <c r="A873" s="5" t="s">
        <v>1739</v>
      </c>
      <c r="B873" s="6">
        <v>34</v>
      </c>
      <c r="C873" s="5" t="s">
        <v>82</v>
      </c>
      <c r="D873" s="7">
        <v>45144</v>
      </c>
      <c r="E873" s="7"/>
      <c r="F873" s="6" t="s">
        <v>345</v>
      </c>
      <c r="G873" s="6">
        <v>11</v>
      </c>
      <c r="H873" s="5" t="s">
        <v>73</v>
      </c>
      <c r="I873" s="6">
        <v>1</v>
      </c>
      <c r="J873" s="5" t="s">
        <v>52</v>
      </c>
      <c r="K873" s="6">
        <v>30039</v>
      </c>
      <c r="L873" s="5" t="s">
        <v>65</v>
      </c>
      <c r="M873" s="5" t="s">
        <v>66</v>
      </c>
      <c r="N873" s="5" t="s">
        <v>28</v>
      </c>
      <c r="O873" s="7">
        <v>45113</v>
      </c>
      <c r="P873" s="7">
        <v>45113.541666666664</v>
      </c>
      <c r="Q873" s="5" t="s">
        <v>31</v>
      </c>
      <c r="R873" s="5" t="s">
        <v>44</v>
      </c>
      <c r="S873" s="5" t="s">
        <v>33</v>
      </c>
      <c r="T873" s="6">
        <v>4</v>
      </c>
      <c r="U873" s="6">
        <v>8</v>
      </c>
      <c r="V873" s="5" t="s">
        <v>54</v>
      </c>
      <c r="W873" s="8"/>
      <c r="Y873">
        <f t="shared" si="16"/>
        <v>50</v>
      </c>
    </row>
    <row r="874" spans="1:25" ht="15.75" customHeight="1">
      <c r="A874" s="5" t="s">
        <v>1740</v>
      </c>
      <c r="B874" s="6">
        <v>8</v>
      </c>
      <c r="C874" s="5" t="s">
        <v>36</v>
      </c>
      <c r="D874" s="6" t="s">
        <v>349</v>
      </c>
      <c r="E874" s="6"/>
      <c r="F874" s="6" t="s">
        <v>180</v>
      </c>
      <c r="G874" s="6">
        <v>3</v>
      </c>
      <c r="H874" s="5" t="s">
        <v>58</v>
      </c>
      <c r="I874" s="6">
        <v>2</v>
      </c>
      <c r="J874" s="5" t="s">
        <v>97</v>
      </c>
      <c r="K874" s="6">
        <v>37530</v>
      </c>
      <c r="L874" s="5" t="s">
        <v>26</v>
      </c>
      <c r="M874" s="5" t="s">
        <v>27</v>
      </c>
      <c r="N874" s="5" t="s">
        <v>28</v>
      </c>
      <c r="O874" s="6" t="s">
        <v>193</v>
      </c>
      <c r="P874" s="6" t="s">
        <v>1741</v>
      </c>
      <c r="Q874" s="5" t="s">
        <v>86</v>
      </c>
      <c r="R874" s="5" t="s">
        <v>32</v>
      </c>
      <c r="S874" s="5" t="s">
        <v>33</v>
      </c>
      <c r="T874" s="6">
        <v>9</v>
      </c>
      <c r="U874" s="6">
        <v>10</v>
      </c>
      <c r="V874" s="5" t="s">
        <v>54</v>
      </c>
      <c r="W874" s="8"/>
      <c r="Y874">
        <f t="shared" si="16"/>
        <v>90</v>
      </c>
    </row>
    <row r="875" spans="1:25" ht="15.75" customHeight="1">
      <c r="A875" s="5" t="s">
        <v>1742</v>
      </c>
      <c r="B875" s="6">
        <v>40</v>
      </c>
      <c r="C875" s="5" t="s">
        <v>82</v>
      </c>
      <c r="D875" s="6" t="s">
        <v>1125</v>
      </c>
      <c r="E875" s="6"/>
      <c r="F875" s="7">
        <v>45540</v>
      </c>
      <c r="G875" s="6">
        <v>14</v>
      </c>
      <c r="H875" s="5" t="s">
        <v>38</v>
      </c>
      <c r="I875" s="6">
        <v>1</v>
      </c>
      <c r="J875" s="5" t="s">
        <v>25</v>
      </c>
      <c r="K875" s="6">
        <v>43736</v>
      </c>
      <c r="L875" s="5" t="s">
        <v>26</v>
      </c>
      <c r="M875" s="5" t="s">
        <v>27</v>
      </c>
      <c r="N875" s="5" t="s">
        <v>47</v>
      </c>
      <c r="O875" s="6" t="s">
        <v>171</v>
      </c>
      <c r="P875" s="6" t="s">
        <v>1743</v>
      </c>
      <c r="Q875" s="5" t="s">
        <v>69</v>
      </c>
      <c r="R875" s="5" t="s">
        <v>32</v>
      </c>
      <c r="S875" s="5" t="s">
        <v>49</v>
      </c>
      <c r="T875" s="6">
        <v>6</v>
      </c>
      <c r="U875" s="6">
        <v>12</v>
      </c>
      <c r="V875" s="5" t="s">
        <v>54</v>
      </c>
      <c r="W875" s="8"/>
      <c r="Y875">
        <f t="shared" si="16"/>
        <v>50</v>
      </c>
    </row>
    <row r="876" spans="1:25" ht="15.75" customHeight="1">
      <c r="A876" s="5" t="s">
        <v>1744</v>
      </c>
      <c r="B876" s="6">
        <v>83</v>
      </c>
      <c r="C876" s="5" t="s">
        <v>62</v>
      </c>
      <c r="D876" s="6" t="s">
        <v>163</v>
      </c>
      <c r="E876" s="6"/>
      <c r="F876" s="7">
        <v>45270</v>
      </c>
      <c r="G876" s="6">
        <v>13</v>
      </c>
      <c r="H876" s="5" t="s">
        <v>83</v>
      </c>
      <c r="I876" s="6">
        <v>1</v>
      </c>
      <c r="J876" s="5" t="s">
        <v>89</v>
      </c>
      <c r="K876" s="6">
        <v>45409</v>
      </c>
      <c r="L876" s="5" t="s">
        <v>80</v>
      </c>
      <c r="M876" s="5" t="s">
        <v>66</v>
      </c>
      <c r="N876" s="5" t="s">
        <v>28</v>
      </c>
      <c r="O876" s="6" t="s">
        <v>314</v>
      </c>
      <c r="P876" s="6" t="s">
        <v>779</v>
      </c>
      <c r="Q876" s="5" t="s">
        <v>69</v>
      </c>
      <c r="R876" s="5" t="s">
        <v>32</v>
      </c>
      <c r="S876" s="5" t="s">
        <v>53</v>
      </c>
      <c r="T876" s="6">
        <v>7</v>
      </c>
      <c r="U876" s="6">
        <v>10</v>
      </c>
      <c r="V876" s="5" t="s">
        <v>92</v>
      </c>
      <c r="W876" s="8"/>
      <c r="Y876">
        <f t="shared" si="16"/>
        <v>70</v>
      </c>
    </row>
    <row r="877" spans="1:25" ht="15.75" customHeight="1">
      <c r="A877" s="5" t="s">
        <v>1745</v>
      </c>
      <c r="B877" s="6">
        <v>42</v>
      </c>
      <c r="C877" s="5" t="s">
        <v>47</v>
      </c>
      <c r="D877" s="6" t="s">
        <v>490</v>
      </c>
      <c r="E877" s="6"/>
      <c r="F877" s="6" t="s">
        <v>159</v>
      </c>
      <c r="G877" s="6">
        <v>11</v>
      </c>
      <c r="H877" s="5" t="s">
        <v>38</v>
      </c>
      <c r="I877" s="6">
        <v>3</v>
      </c>
      <c r="J877" s="5" t="s">
        <v>97</v>
      </c>
      <c r="K877" s="6">
        <v>23565</v>
      </c>
      <c r="L877" s="5" t="s">
        <v>26</v>
      </c>
      <c r="M877" s="5" t="s">
        <v>66</v>
      </c>
      <c r="N877" s="5" t="s">
        <v>47</v>
      </c>
      <c r="O877" s="7">
        <v>45150</v>
      </c>
      <c r="P877" s="7">
        <v>45150.416666666664</v>
      </c>
      <c r="Q877" s="5" t="s">
        <v>31</v>
      </c>
      <c r="R877" s="5" t="s">
        <v>32</v>
      </c>
      <c r="S877" s="5" t="s">
        <v>33</v>
      </c>
      <c r="T877" s="6">
        <v>10</v>
      </c>
      <c r="U877" s="6">
        <v>12</v>
      </c>
      <c r="V877" s="5" t="s">
        <v>92</v>
      </c>
      <c r="W877" s="8"/>
      <c r="Y877">
        <f t="shared" si="16"/>
        <v>83.333333333333343</v>
      </c>
    </row>
    <row r="878" spans="1:25" ht="15.75" customHeight="1">
      <c r="A878" s="5" t="s">
        <v>1746</v>
      </c>
      <c r="B878" s="6">
        <v>41</v>
      </c>
      <c r="C878" s="5" t="s">
        <v>47</v>
      </c>
      <c r="D878" s="7">
        <v>45628</v>
      </c>
      <c r="E878" s="7"/>
      <c r="F878" s="6" t="s">
        <v>685</v>
      </c>
      <c r="G878" s="6">
        <v>8</v>
      </c>
      <c r="H878" s="5" t="s">
        <v>38</v>
      </c>
      <c r="I878" s="6">
        <v>1</v>
      </c>
      <c r="J878" s="5" t="s">
        <v>39</v>
      </c>
      <c r="K878" s="6">
        <v>14834</v>
      </c>
      <c r="L878" s="5" t="s">
        <v>40</v>
      </c>
      <c r="M878" s="5" t="s">
        <v>66</v>
      </c>
      <c r="N878" s="5" t="s">
        <v>28</v>
      </c>
      <c r="O878" s="7">
        <v>45567</v>
      </c>
      <c r="P878" s="7">
        <v>45567.041666666664</v>
      </c>
      <c r="Q878" s="5" t="s">
        <v>69</v>
      </c>
      <c r="R878" s="5" t="s">
        <v>32</v>
      </c>
      <c r="S878" s="5" t="s">
        <v>49</v>
      </c>
      <c r="T878" s="6">
        <v>8</v>
      </c>
      <c r="U878" s="6">
        <v>8</v>
      </c>
      <c r="V878" s="5" t="s">
        <v>92</v>
      </c>
      <c r="W878" s="8"/>
      <c r="Y878">
        <f t="shared" si="16"/>
        <v>100</v>
      </c>
    </row>
    <row r="879" spans="1:25" ht="15.75" customHeight="1">
      <c r="A879" s="5" t="s">
        <v>1747</v>
      </c>
      <c r="B879" s="6">
        <v>6</v>
      </c>
      <c r="C879" s="5" t="s">
        <v>47</v>
      </c>
      <c r="D879" s="6" t="s">
        <v>501</v>
      </c>
      <c r="E879" s="6"/>
      <c r="F879" s="7">
        <v>45050</v>
      </c>
      <c r="G879" s="6">
        <v>12</v>
      </c>
      <c r="H879" s="5" t="s">
        <v>73</v>
      </c>
      <c r="I879" s="6">
        <v>1</v>
      </c>
      <c r="J879" s="5" t="s">
        <v>39</v>
      </c>
      <c r="K879" s="6">
        <v>41656</v>
      </c>
      <c r="L879" s="5" t="s">
        <v>80</v>
      </c>
      <c r="M879" s="5" t="s">
        <v>27</v>
      </c>
      <c r="N879" s="5" t="s">
        <v>28</v>
      </c>
      <c r="O879" s="6" t="s">
        <v>178</v>
      </c>
      <c r="P879" s="6" t="s">
        <v>1748</v>
      </c>
      <c r="Q879" s="5" t="s">
        <v>31</v>
      </c>
      <c r="R879" s="5" t="s">
        <v>32</v>
      </c>
      <c r="S879" s="5" t="s">
        <v>53</v>
      </c>
      <c r="T879" s="6">
        <v>5</v>
      </c>
      <c r="U879" s="6">
        <v>10</v>
      </c>
      <c r="V879" s="5" t="s">
        <v>34</v>
      </c>
      <c r="W879" s="8"/>
      <c r="Y879">
        <f t="shared" si="16"/>
        <v>50</v>
      </c>
    </row>
    <row r="880" spans="1:25" ht="15.75" customHeight="1">
      <c r="A880" s="5" t="s">
        <v>1749</v>
      </c>
      <c r="B880" s="6">
        <v>52</v>
      </c>
      <c r="C880" s="5" t="s">
        <v>36</v>
      </c>
      <c r="D880" s="7">
        <v>44997</v>
      </c>
      <c r="E880" s="7"/>
      <c r="F880" s="7">
        <v>45242</v>
      </c>
      <c r="G880" s="6">
        <v>8</v>
      </c>
      <c r="H880" s="5" t="s">
        <v>38</v>
      </c>
      <c r="I880" s="6">
        <v>3</v>
      </c>
      <c r="J880" s="5" t="s">
        <v>89</v>
      </c>
      <c r="K880" s="6">
        <v>5840</v>
      </c>
      <c r="L880" s="5" t="s">
        <v>65</v>
      </c>
      <c r="M880" s="5" t="s">
        <v>27</v>
      </c>
      <c r="N880" s="5" t="s">
        <v>28</v>
      </c>
      <c r="O880" s="6" t="s">
        <v>277</v>
      </c>
      <c r="P880" s="6" t="s">
        <v>1750</v>
      </c>
      <c r="Q880" s="5" t="s">
        <v>31</v>
      </c>
      <c r="R880" s="5" t="s">
        <v>32</v>
      </c>
      <c r="S880" s="5" t="s">
        <v>33</v>
      </c>
      <c r="T880" s="6">
        <v>8</v>
      </c>
      <c r="U880" s="6">
        <v>12</v>
      </c>
      <c r="V880" s="5" t="s">
        <v>34</v>
      </c>
      <c r="W880" s="8"/>
      <c r="Y880">
        <f t="shared" si="16"/>
        <v>66.666666666666657</v>
      </c>
    </row>
    <row r="881" spans="1:25" ht="15.75" customHeight="1">
      <c r="A881" s="5" t="s">
        <v>1751</v>
      </c>
      <c r="B881" s="6">
        <v>26</v>
      </c>
      <c r="C881" s="5" t="s">
        <v>47</v>
      </c>
      <c r="D881" s="6" t="s">
        <v>152</v>
      </c>
      <c r="E881" s="6"/>
      <c r="F881" s="7">
        <v>45414</v>
      </c>
      <c r="G881" s="6">
        <v>11</v>
      </c>
      <c r="H881" s="5" t="s">
        <v>24</v>
      </c>
      <c r="I881" s="6">
        <v>5</v>
      </c>
      <c r="J881" s="5" t="s">
        <v>25</v>
      </c>
      <c r="K881" s="6">
        <v>18873</v>
      </c>
      <c r="L881" s="5" t="s">
        <v>80</v>
      </c>
      <c r="M881" s="5" t="s">
        <v>27</v>
      </c>
      <c r="N881" s="5" t="s">
        <v>28</v>
      </c>
      <c r="O881" s="6" t="s">
        <v>153</v>
      </c>
      <c r="P881" s="6" t="s">
        <v>1752</v>
      </c>
      <c r="Q881" s="5" t="s">
        <v>48</v>
      </c>
      <c r="R881" s="5" t="s">
        <v>32</v>
      </c>
      <c r="S881" s="5" t="s">
        <v>53</v>
      </c>
      <c r="T881" s="6">
        <v>10</v>
      </c>
      <c r="U881" s="6">
        <v>10</v>
      </c>
      <c r="V881" s="5" t="s">
        <v>54</v>
      </c>
      <c r="W881" s="8"/>
      <c r="Y881">
        <f t="shared" si="16"/>
        <v>100</v>
      </c>
    </row>
    <row r="882" spans="1:25" ht="15.75" customHeight="1">
      <c r="A882" s="5" t="s">
        <v>1753</v>
      </c>
      <c r="B882" s="6">
        <v>64</v>
      </c>
      <c r="C882" s="5" t="s">
        <v>62</v>
      </c>
      <c r="D882" s="6" t="s">
        <v>432</v>
      </c>
      <c r="E882" s="6"/>
      <c r="F882" s="6" t="s">
        <v>657</v>
      </c>
      <c r="G882" s="6">
        <v>3</v>
      </c>
      <c r="H882" s="5" t="s">
        <v>38</v>
      </c>
      <c r="I882" s="6">
        <v>5</v>
      </c>
      <c r="J882" s="5" t="s">
        <v>97</v>
      </c>
      <c r="K882" s="6">
        <v>36568</v>
      </c>
      <c r="L882" s="5" t="s">
        <v>90</v>
      </c>
      <c r="M882" s="5" t="s">
        <v>27</v>
      </c>
      <c r="N882" s="5" t="s">
        <v>28</v>
      </c>
      <c r="O882" s="6" t="s">
        <v>469</v>
      </c>
      <c r="P882" s="6" t="s">
        <v>1754</v>
      </c>
      <c r="Q882" s="5" t="s">
        <v>48</v>
      </c>
      <c r="R882" s="5" t="s">
        <v>32</v>
      </c>
      <c r="S882" s="5" t="s">
        <v>53</v>
      </c>
      <c r="T882" s="6">
        <v>9</v>
      </c>
      <c r="U882" s="6">
        <v>10</v>
      </c>
      <c r="V882" s="5" t="s">
        <v>34</v>
      </c>
      <c r="W882" s="8"/>
      <c r="Y882">
        <f t="shared" si="16"/>
        <v>90</v>
      </c>
    </row>
    <row r="883" spans="1:25" ht="15.75" customHeight="1">
      <c r="A883" s="5" t="s">
        <v>1755</v>
      </c>
      <c r="B883" s="6">
        <v>59</v>
      </c>
      <c r="C883" s="5" t="s">
        <v>82</v>
      </c>
      <c r="D883" s="6" t="s">
        <v>422</v>
      </c>
      <c r="E883" s="6"/>
      <c r="F883" s="6" t="s">
        <v>389</v>
      </c>
      <c r="G883" s="6">
        <v>13</v>
      </c>
      <c r="H883" s="5" t="s">
        <v>24</v>
      </c>
      <c r="I883" s="6">
        <v>3</v>
      </c>
      <c r="J883" s="5" t="s">
        <v>25</v>
      </c>
      <c r="K883" s="6">
        <v>15846</v>
      </c>
      <c r="L883" s="5" t="s">
        <v>80</v>
      </c>
      <c r="M883" s="5" t="s">
        <v>66</v>
      </c>
      <c r="N883" s="5" t="s">
        <v>28</v>
      </c>
      <c r="O883" s="7">
        <v>45540</v>
      </c>
      <c r="P883" s="7">
        <v>45540.958333333336</v>
      </c>
      <c r="Q883" s="5" t="s">
        <v>48</v>
      </c>
      <c r="R883" s="5" t="s">
        <v>32</v>
      </c>
      <c r="S883" s="5" t="s">
        <v>53</v>
      </c>
      <c r="T883" s="6">
        <v>4</v>
      </c>
      <c r="U883" s="6">
        <v>10</v>
      </c>
      <c r="V883" s="5" t="s">
        <v>92</v>
      </c>
      <c r="W883" s="8"/>
      <c r="Y883">
        <f t="shared" si="16"/>
        <v>40</v>
      </c>
    </row>
    <row r="884" spans="1:25" ht="15.75" customHeight="1">
      <c r="A884" s="5" t="s">
        <v>1756</v>
      </c>
      <c r="B884" s="6">
        <v>56</v>
      </c>
      <c r="C884" s="5" t="s">
        <v>36</v>
      </c>
      <c r="D884" s="7">
        <v>45079</v>
      </c>
      <c r="E884" s="7"/>
      <c r="F884" s="7">
        <v>45171</v>
      </c>
      <c r="G884" s="6">
        <v>3</v>
      </c>
      <c r="H884" s="5" t="s">
        <v>83</v>
      </c>
      <c r="I884" s="6">
        <v>4</v>
      </c>
      <c r="J884" s="5" t="s">
        <v>39</v>
      </c>
      <c r="K884" s="6">
        <v>10899</v>
      </c>
      <c r="L884" s="5" t="s">
        <v>26</v>
      </c>
      <c r="M884" s="5" t="s">
        <v>66</v>
      </c>
      <c r="N884" s="5" t="s">
        <v>28</v>
      </c>
      <c r="O884" s="7">
        <v>44987</v>
      </c>
      <c r="P884" s="7">
        <v>45018.708333333336</v>
      </c>
      <c r="Q884" s="5" t="s">
        <v>43</v>
      </c>
      <c r="R884" s="5" t="s">
        <v>32</v>
      </c>
      <c r="S884" s="5" t="s">
        <v>49</v>
      </c>
      <c r="T884" s="6">
        <v>10</v>
      </c>
      <c r="U884" s="6">
        <v>10</v>
      </c>
      <c r="V884" s="5" t="s">
        <v>54</v>
      </c>
      <c r="W884" s="8"/>
      <c r="Y884">
        <f t="shared" si="16"/>
        <v>100</v>
      </c>
    </row>
    <row r="885" spans="1:25" ht="15.75" customHeight="1">
      <c r="A885" s="5" t="s">
        <v>1757</v>
      </c>
      <c r="B885" s="6">
        <v>59</v>
      </c>
      <c r="C885" s="5" t="s">
        <v>82</v>
      </c>
      <c r="D885" s="7">
        <v>45263</v>
      </c>
      <c r="E885" s="7"/>
      <c r="F885" s="6" t="s">
        <v>500</v>
      </c>
      <c r="G885" s="6">
        <v>2</v>
      </c>
      <c r="H885" s="5" t="s">
        <v>73</v>
      </c>
      <c r="I885" s="6">
        <v>1</v>
      </c>
      <c r="J885" s="5" t="s">
        <v>25</v>
      </c>
      <c r="K885" s="6">
        <v>25502</v>
      </c>
      <c r="L885" s="5" t="s">
        <v>26</v>
      </c>
      <c r="M885" s="5" t="s">
        <v>66</v>
      </c>
      <c r="N885" s="5" t="s">
        <v>28</v>
      </c>
      <c r="O885" s="7">
        <v>45172</v>
      </c>
      <c r="P885" s="7">
        <v>45202.875</v>
      </c>
      <c r="Q885" s="5" t="s">
        <v>48</v>
      </c>
      <c r="R885" s="5" t="s">
        <v>32</v>
      </c>
      <c r="S885" s="5" t="s">
        <v>33</v>
      </c>
      <c r="T885" s="6">
        <v>4</v>
      </c>
      <c r="U885" s="6">
        <v>8</v>
      </c>
      <c r="V885" s="5" t="s">
        <v>54</v>
      </c>
      <c r="W885" s="8"/>
      <c r="Y885">
        <f t="shared" si="16"/>
        <v>50</v>
      </c>
    </row>
    <row r="886" spans="1:25" ht="15.75" customHeight="1">
      <c r="A886" s="5" t="s">
        <v>1758</v>
      </c>
      <c r="B886" s="6">
        <v>70</v>
      </c>
      <c r="C886" s="5" t="s">
        <v>36</v>
      </c>
      <c r="D886" s="6" t="s">
        <v>516</v>
      </c>
      <c r="E886" s="6"/>
      <c r="F886" s="7">
        <v>45208</v>
      </c>
      <c r="G886" s="6">
        <v>12</v>
      </c>
      <c r="H886" s="5" t="s">
        <v>38</v>
      </c>
      <c r="I886" s="6">
        <v>1</v>
      </c>
      <c r="J886" s="5" t="s">
        <v>39</v>
      </c>
      <c r="K886" s="6">
        <v>5565</v>
      </c>
      <c r="L886" s="5" t="s">
        <v>40</v>
      </c>
      <c r="M886" s="5" t="s">
        <v>27</v>
      </c>
      <c r="N886" s="5" t="s">
        <v>28</v>
      </c>
      <c r="O886" s="6" t="s">
        <v>201</v>
      </c>
      <c r="P886" s="6" t="s">
        <v>1759</v>
      </c>
      <c r="Q886" s="5" t="s">
        <v>31</v>
      </c>
      <c r="R886" s="5" t="s">
        <v>32</v>
      </c>
      <c r="S886" s="5" t="s">
        <v>49</v>
      </c>
      <c r="T886" s="6">
        <v>7</v>
      </c>
      <c r="U886" s="6">
        <v>12</v>
      </c>
      <c r="V886" s="5" t="s">
        <v>34</v>
      </c>
      <c r="W886" s="8"/>
      <c r="Y886">
        <f t="shared" si="16"/>
        <v>58.333333333333336</v>
      </c>
    </row>
    <row r="887" spans="1:25" ht="15.75" customHeight="1">
      <c r="A887" s="5" t="s">
        <v>1760</v>
      </c>
      <c r="B887" s="6">
        <v>33</v>
      </c>
      <c r="C887" s="5" t="s">
        <v>82</v>
      </c>
      <c r="D887" s="6" t="s">
        <v>769</v>
      </c>
      <c r="E887" s="6"/>
      <c r="F887" s="7">
        <v>45027</v>
      </c>
      <c r="G887" s="6">
        <v>13</v>
      </c>
      <c r="H887" s="5" t="s">
        <v>24</v>
      </c>
      <c r="I887" s="6">
        <v>3</v>
      </c>
      <c r="J887" s="5" t="s">
        <v>25</v>
      </c>
      <c r="K887" s="6">
        <v>43773</v>
      </c>
      <c r="L887" s="5" t="s">
        <v>40</v>
      </c>
      <c r="M887" s="5" t="s">
        <v>66</v>
      </c>
      <c r="N887" s="5" t="s">
        <v>47</v>
      </c>
      <c r="O887" s="6" t="s">
        <v>1005</v>
      </c>
      <c r="P887" s="6" t="s">
        <v>1761</v>
      </c>
      <c r="Q887" s="5" t="s">
        <v>86</v>
      </c>
      <c r="R887" s="5" t="s">
        <v>32</v>
      </c>
      <c r="S887" s="5" t="s">
        <v>33</v>
      </c>
      <c r="T887" s="6">
        <v>5</v>
      </c>
      <c r="U887" s="6">
        <v>10</v>
      </c>
      <c r="V887" s="5" t="s">
        <v>54</v>
      </c>
      <c r="W887" s="8"/>
      <c r="Y887">
        <f t="shared" si="16"/>
        <v>50</v>
      </c>
    </row>
    <row r="888" spans="1:25" ht="15.75" customHeight="1">
      <c r="A888" s="5" t="s">
        <v>1762</v>
      </c>
      <c r="B888" s="6">
        <v>53</v>
      </c>
      <c r="C888" s="5" t="s">
        <v>22</v>
      </c>
      <c r="D888" s="6" t="s">
        <v>96</v>
      </c>
      <c r="E888" s="6"/>
      <c r="F888" s="6" t="s">
        <v>516</v>
      </c>
      <c r="G888" s="6">
        <v>8</v>
      </c>
      <c r="H888" s="5" t="s">
        <v>24</v>
      </c>
      <c r="I888" s="6">
        <v>3</v>
      </c>
      <c r="J888" s="5" t="s">
        <v>89</v>
      </c>
      <c r="K888" s="6">
        <v>46924</v>
      </c>
      <c r="L888" s="5" t="s">
        <v>40</v>
      </c>
      <c r="M888" s="5" t="s">
        <v>66</v>
      </c>
      <c r="N888" s="5" t="s">
        <v>28</v>
      </c>
      <c r="O888" s="6" t="s">
        <v>486</v>
      </c>
      <c r="P888" s="6" t="s">
        <v>1459</v>
      </c>
      <c r="Q888" s="5" t="s">
        <v>48</v>
      </c>
      <c r="R888" s="5" t="s">
        <v>32</v>
      </c>
      <c r="S888" s="5" t="s">
        <v>33</v>
      </c>
      <c r="T888" s="6">
        <v>9</v>
      </c>
      <c r="U888" s="6">
        <v>12</v>
      </c>
      <c r="V888" s="5" t="s">
        <v>34</v>
      </c>
      <c r="W888" s="8"/>
      <c r="Y888">
        <f t="shared" si="16"/>
        <v>75</v>
      </c>
    </row>
    <row r="889" spans="1:25" ht="15.75" customHeight="1">
      <c r="A889" s="5" t="s">
        <v>1763</v>
      </c>
      <c r="B889" s="6">
        <v>22</v>
      </c>
      <c r="C889" s="5" t="s">
        <v>82</v>
      </c>
      <c r="D889" s="7">
        <v>44989</v>
      </c>
      <c r="E889" s="7"/>
      <c r="F889" s="7">
        <v>45020</v>
      </c>
      <c r="G889" s="6">
        <v>1</v>
      </c>
      <c r="H889" s="5" t="s">
        <v>24</v>
      </c>
      <c r="I889" s="6">
        <v>4</v>
      </c>
      <c r="J889" s="5" t="s">
        <v>52</v>
      </c>
      <c r="K889" s="6">
        <v>48242</v>
      </c>
      <c r="L889" s="5" t="s">
        <v>65</v>
      </c>
      <c r="M889" s="5" t="s">
        <v>66</v>
      </c>
      <c r="N889" s="5" t="s">
        <v>47</v>
      </c>
      <c r="O889" s="7">
        <v>44961</v>
      </c>
      <c r="P889" s="7">
        <v>44989.791666666664</v>
      </c>
      <c r="Q889" s="5" t="s">
        <v>48</v>
      </c>
      <c r="R889" s="5" t="s">
        <v>32</v>
      </c>
      <c r="S889" s="5" t="s">
        <v>49</v>
      </c>
      <c r="T889" s="6">
        <v>5</v>
      </c>
      <c r="U889" s="6">
        <v>8</v>
      </c>
      <c r="V889" s="5" t="s">
        <v>34</v>
      </c>
      <c r="W889" s="8"/>
      <c r="Y889">
        <f t="shared" si="16"/>
        <v>62.5</v>
      </c>
    </row>
    <row r="890" spans="1:25" ht="15.75" customHeight="1">
      <c r="A890" s="5" t="s">
        <v>1764</v>
      </c>
      <c r="B890" s="6">
        <v>21</v>
      </c>
      <c r="C890" s="5" t="s">
        <v>47</v>
      </c>
      <c r="D890" s="6" t="s">
        <v>133</v>
      </c>
      <c r="E890" s="6"/>
      <c r="F890" s="6" t="s">
        <v>1295</v>
      </c>
      <c r="G890" s="6">
        <v>5</v>
      </c>
      <c r="H890" s="5" t="s">
        <v>46</v>
      </c>
      <c r="I890" s="6">
        <v>5</v>
      </c>
      <c r="J890" s="5" t="s">
        <v>89</v>
      </c>
      <c r="K890" s="6">
        <v>14187</v>
      </c>
      <c r="L890" s="5" t="s">
        <v>40</v>
      </c>
      <c r="M890" s="5" t="s">
        <v>66</v>
      </c>
      <c r="N890" s="5" t="s">
        <v>28</v>
      </c>
      <c r="O890" s="6" t="s">
        <v>920</v>
      </c>
      <c r="P890" s="6" t="s">
        <v>1765</v>
      </c>
      <c r="Q890" s="5" t="s">
        <v>86</v>
      </c>
      <c r="R890" s="5" t="s">
        <v>32</v>
      </c>
      <c r="S890" s="5" t="s">
        <v>49</v>
      </c>
      <c r="T890" s="6">
        <v>7</v>
      </c>
      <c r="U890" s="6">
        <v>12</v>
      </c>
      <c r="V890" s="5" t="s">
        <v>54</v>
      </c>
      <c r="W890" s="8"/>
      <c r="Y890">
        <f t="shared" si="16"/>
        <v>58.333333333333336</v>
      </c>
    </row>
    <row r="891" spans="1:25" ht="15.75" customHeight="1">
      <c r="A891" s="5" t="s">
        <v>1766</v>
      </c>
      <c r="B891" s="6">
        <v>70</v>
      </c>
      <c r="C891" s="5" t="s">
        <v>22</v>
      </c>
      <c r="D891" s="7">
        <v>45234</v>
      </c>
      <c r="E891" s="7"/>
      <c r="F891" s="6" t="s">
        <v>71</v>
      </c>
      <c r="G891" s="6">
        <v>4</v>
      </c>
      <c r="H891" s="5" t="s">
        <v>58</v>
      </c>
      <c r="I891" s="6">
        <v>2</v>
      </c>
      <c r="J891" s="5" t="s">
        <v>89</v>
      </c>
      <c r="K891" s="6">
        <v>12226</v>
      </c>
      <c r="L891" s="5" t="s">
        <v>65</v>
      </c>
      <c r="M891" s="5" t="s">
        <v>66</v>
      </c>
      <c r="N891" s="5" t="s">
        <v>28</v>
      </c>
      <c r="O891" s="7">
        <v>45081</v>
      </c>
      <c r="P891" s="7">
        <v>45142</v>
      </c>
      <c r="Q891" s="5" t="s">
        <v>31</v>
      </c>
      <c r="R891" s="5" t="s">
        <v>32</v>
      </c>
      <c r="S891" s="5" t="s">
        <v>33</v>
      </c>
      <c r="T891" s="6">
        <v>9</v>
      </c>
      <c r="U891" s="6">
        <v>12</v>
      </c>
      <c r="V891" s="5" t="s">
        <v>34</v>
      </c>
      <c r="W891" s="8"/>
      <c r="Y891">
        <f t="shared" si="16"/>
        <v>75</v>
      </c>
    </row>
    <row r="892" spans="1:25" ht="15.75" customHeight="1">
      <c r="A892" s="5" t="s">
        <v>1767</v>
      </c>
      <c r="B892" s="6">
        <v>70</v>
      </c>
      <c r="C892" s="5" t="s">
        <v>82</v>
      </c>
      <c r="D892" s="6" t="s">
        <v>147</v>
      </c>
      <c r="E892" s="6"/>
      <c r="F892" s="6" t="s">
        <v>213</v>
      </c>
      <c r="G892" s="6">
        <v>1</v>
      </c>
      <c r="H892" s="5" t="s">
        <v>83</v>
      </c>
      <c r="I892" s="6">
        <v>5</v>
      </c>
      <c r="J892" s="5" t="s">
        <v>52</v>
      </c>
      <c r="K892" s="6">
        <v>47147</v>
      </c>
      <c r="L892" s="5" t="s">
        <v>40</v>
      </c>
      <c r="M892" s="5" t="s">
        <v>66</v>
      </c>
      <c r="N892" s="5" t="s">
        <v>28</v>
      </c>
      <c r="O892" s="7">
        <v>45173</v>
      </c>
      <c r="P892" s="7">
        <v>45203.958333333336</v>
      </c>
      <c r="Q892" s="5" t="s">
        <v>43</v>
      </c>
      <c r="R892" s="5" t="s">
        <v>32</v>
      </c>
      <c r="S892" s="5" t="s">
        <v>33</v>
      </c>
      <c r="T892" s="6">
        <v>11</v>
      </c>
      <c r="U892" s="6">
        <v>8</v>
      </c>
      <c r="V892" s="5" t="s">
        <v>34</v>
      </c>
      <c r="W892" s="8"/>
      <c r="Y892">
        <f t="shared" si="16"/>
        <v>137.5</v>
      </c>
    </row>
    <row r="893" spans="1:25" ht="15.75" customHeight="1">
      <c r="A893" s="5" t="s">
        <v>1768</v>
      </c>
      <c r="B893" s="6">
        <v>4</v>
      </c>
      <c r="C893" s="5" t="s">
        <v>36</v>
      </c>
      <c r="D893" s="6" t="s">
        <v>1769</v>
      </c>
      <c r="E893" s="6"/>
      <c r="F893" s="7">
        <v>45630</v>
      </c>
      <c r="G893" s="6">
        <v>13</v>
      </c>
      <c r="H893" s="5" t="s">
        <v>38</v>
      </c>
      <c r="I893" s="6">
        <v>1</v>
      </c>
      <c r="J893" s="5" t="s">
        <v>52</v>
      </c>
      <c r="K893" s="6">
        <v>43658</v>
      </c>
      <c r="L893" s="5" t="s">
        <v>65</v>
      </c>
      <c r="M893" s="5" t="s">
        <v>66</v>
      </c>
      <c r="N893" s="5" t="s">
        <v>28</v>
      </c>
      <c r="O893" s="6" t="s">
        <v>318</v>
      </c>
      <c r="P893" s="6" t="s">
        <v>1770</v>
      </c>
      <c r="Q893" s="5" t="s">
        <v>48</v>
      </c>
      <c r="R893" s="5" t="s">
        <v>32</v>
      </c>
      <c r="S893" s="5" t="s">
        <v>33</v>
      </c>
      <c r="T893" s="6">
        <v>9</v>
      </c>
      <c r="U893" s="6">
        <v>10</v>
      </c>
      <c r="V893" s="5" t="s">
        <v>34</v>
      </c>
      <c r="W893" s="8"/>
      <c r="Y893">
        <f t="shared" si="16"/>
        <v>90</v>
      </c>
    </row>
    <row r="894" spans="1:25" ht="15.75" customHeight="1">
      <c r="A894" s="5" t="s">
        <v>1771</v>
      </c>
      <c r="B894" s="6">
        <v>75</v>
      </c>
      <c r="C894" s="5" t="s">
        <v>36</v>
      </c>
      <c r="D894" s="6" t="s">
        <v>246</v>
      </c>
      <c r="E894" s="6"/>
      <c r="F894" s="6" t="s">
        <v>141</v>
      </c>
      <c r="G894" s="6">
        <v>4</v>
      </c>
      <c r="H894" s="5" t="s">
        <v>46</v>
      </c>
      <c r="I894" s="6">
        <v>3</v>
      </c>
      <c r="J894" s="5" t="s">
        <v>97</v>
      </c>
      <c r="K894" s="6">
        <v>9311</v>
      </c>
      <c r="L894" s="5" t="s">
        <v>80</v>
      </c>
      <c r="M894" s="5" t="s">
        <v>66</v>
      </c>
      <c r="N894" s="5" t="s">
        <v>28</v>
      </c>
      <c r="O894" s="6" t="s">
        <v>345</v>
      </c>
      <c r="P894" s="6" t="s">
        <v>1772</v>
      </c>
      <c r="Q894" s="5" t="s">
        <v>86</v>
      </c>
      <c r="R894" s="5" t="s">
        <v>32</v>
      </c>
      <c r="S894" s="5" t="s">
        <v>53</v>
      </c>
      <c r="T894" s="6">
        <v>4</v>
      </c>
      <c r="U894" s="6">
        <v>12</v>
      </c>
      <c r="V894" s="5" t="s">
        <v>34</v>
      </c>
      <c r="W894" s="8"/>
      <c r="Y894">
        <f t="shared" si="16"/>
        <v>33.333333333333329</v>
      </c>
    </row>
    <row r="895" spans="1:25" ht="15.75" customHeight="1">
      <c r="A895" s="5" t="s">
        <v>1773</v>
      </c>
      <c r="B895" s="6">
        <v>62</v>
      </c>
      <c r="C895" s="5" t="s">
        <v>36</v>
      </c>
      <c r="D895" s="7">
        <v>44996</v>
      </c>
      <c r="E895" s="7"/>
      <c r="F895" s="6" t="s">
        <v>278</v>
      </c>
      <c r="G895" s="6">
        <v>15</v>
      </c>
      <c r="H895" s="5" t="s">
        <v>38</v>
      </c>
      <c r="I895" s="6">
        <v>4</v>
      </c>
      <c r="J895" s="5" t="s">
        <v>97</v>
      </c>
      <c r="K895" s="6">
        <v>49214</v>
      </c>
      <c r="L895" s="5" t="s">
        <v>80</v>
      </c>
      <c r="M895" s="5" t="s">
        <v>66</v>
      </c>
      <c r="N895" s="5" t="s">
        <v>28</v>
      </c>
      <c r="O895" s="6" t="s">
        <v>650</v>
      </c>
      <c r="P895" s="6" t="s">
        <v>1774</v>
      </c>
      <c r="Q895" s="5" t="s">
        <v>31</v>
      </c>
      <c r="R895" s="5" t="s">
        <v>32</v>
      </c>
      <c r="S895" s="5" t="s">
        <v>33</v>
      </c>
      <c r="T895" s="6">
        <v>4</v>
      </c>
      <c r="U895" s="6">
        <v>12</v>
      </c>
      <c r="V895" s="5" t="s">
        <v>54</v>
      </c>
      <c r="W895" s="8"/>
      <c r="Y895">
        <f t="shared" si="16"/>
        <v>33.333333333333329</v>
      </c>
    </row>
    <row r="896" spans="1:25" ht="15.75" customHeight="1">
      <c r="A896" s="5" t="s">
        <v>1775</v>
      </c>
      <c r="B896" s="6">
        <v>62</v>
      </c>
      <c r="C896" s="5" t="s">
        <v>51</v>
      </c>
      <c r="D896" s="6" t="s">
        <v>84</v>
      </c>
      <c r="E896" s="6"/>
      <c r="F896" s="6" t="s">
        <v>88</v>
      </c>
      <c r="G896" s="6">
        <v>1</v>
      </c>
      <c r="H896" s="5" t="s">
        <v>38</v>
      </c>
      <c r="I896" s="6">
        <v>5</v>
      </c>
      <c r="J896" s="5" t="s">
        <v>89</v>
      </c>
      <c r="K896" s="6">
        <v>46616</v>
      </c>
      <c r="L896" s="5" t="s">
        <v>26</v>
      </c>
      <c r="M896" s="5" t="s">
        <v>66</v>
      </c>
      <c r="N896" s="5" t="s">
        <v>47</v>
      </c>
      <c r="O896" s="6" t="s">
        <v>108</v>
      </c>
      <c r="P896" s="6" t="s">
        <v>1776</v>
      </c>
      <c r="Q896" s="5" t="s">
        <v>69</v>
      </c>
      <c r="R896" s="5" t="s">
        <v>32</v>
      </c>
      <c r="S896" s="5" t="s">
        <v>49</v>
      </c>
      <c r="T896" s="6">
        <v>4</v>
      </c>
      <c r="U896" s="6">
        <v>10</v>
      </c>
      <c r="V896" s="5" t="s">
        <v>92</v>
      </c>
      <c r="W896" s="8"/>
      <c r="Y896">
        <f t="shared" si="16"/>
        <v>40</v>
      </c>
    </row>
    <row r="897" spans="1:25" ht="15.75" customHeight="1">
      <c r="A897" s="5" t="s">
        <v>1777</v>
      </c>
      <c r="B897" s="6">
        <v>24</v>
      </c>
      <c r="C897" s="5" t="s">
        <v>62</v>
      </c>
      <c r="D897" s="6" t="s">
        <v>604</v>
      </c>
      <c r="E897" s="6"/>
      <c r="F897" s="6" t="s">
        <v>560</v>
      </c>
      <c r="G897" s="6">
        <v>6</v>
      </c>
      <c r="H897" s="5" t="s">
        <v>73</v>
      </c>
      <c r="I897" s="6">
        <v>4</v>
      </c>
      <c r="J897" s="5" t="s">
        <v>89</v>
      </c>
      <c r="K897" s="6">
        <v>30689</v>
      </c>
      <c r="L897" s="5" t="s">
        <v>65</v>
      </c>
      <c r="M897" s="5" t="s">
        <v>66</v>
      </c>
      <c r="N897" s="5" t="s">
        <v>47</v>
      </c>
      <c r="O897" s="6" t="s">
        <v>604</v>
      </c>
      <c r="P897" s="6" t="s">
        <v>1778</v>
      </c>
      <c r="Q897" s="5" t="s">
        <v>43</v>
      </c>
      <c r="R897" s="5" t="s">
        <v>32</v>
      </c>
      <c r="S897" s="5" t="s">
        <v>49</v>
      </c>
      <c r="T897" s="6">
        <v>8</v>
      </c>
      <c r="U897" s="6">
        <v>10</v>
      </c>
      <c r="V897" s="5" t="s">
        <v>92</v>
      </c>
      <c r="W897" s="8"/>
      <c r="Y897">
        <f t="shared" si="16"/>
        <v>80</v>
      </c>
    </row>
    <row r="898" spans="1:25" ht="15.75" customHeight="1">
      <c r="A898" s="5" t="s">
        <v>1779</v>
      </c>
      <c r="B898" s="6">
        <v>55</v>
      </c>
      <c r="C898" s="5" t="s">
        <v>36</v>
      </c>
      <c r="D898" s="6" t="s">
        <v>266</v>
      </c>
      <c r="E898" s="6"/>
      <c r="F898" s="6" t="s">
        <v>568</v>
      </c>
      <c r="G898" s="6">
        <v>15</v>
      </c>
      <c r="H898" s="5" t="s">
        <v>73</v>
      </c>
      <c r="I898" s="6">
        <v>5</v>
      </c>
      <c r="J898" s="5" t="s">
        <v>39</v>
      </c>
      <c r="K898" s="6">
        <v>11083</v>
      </c>
      <c r="L898" s="5" t="s">
        <v>90</v>
      </c>
      <c r="M898" s="5" t="s">
        <v>27</v>
      </c>
      <c r="N898" s="5" t="s">
        <v>47</v>
      </c>
      <c r="O898" s="6" t="s">
        <v>1068</v>
      </c>
      <c r="P898" s="6" t="s">
        <v>1780</v>
      </c>
      <c r="Q898" s="5" t="s">
        <v>86</v>
      </c>
      <c r="R898" s="5" t="s">
        <v>32</v>
      </c>
      <c r="S898" s="5" t="s">
        <v>49</v>
      </c>
      <c r="T898" s="6">
        <v>11</v>
      </c>
      <c r="U898" s="6">
        <v>12</v>
      </c>
      <c r="V898" s="5" t="s">
        <v>34</v>
      </c>
      <c r="W898" s="8"/>
      <c r="Y898">
        <f t="shared" si="16"/>
        <v>91.666666666666657</v>
      </c>
    </row>
    <row r="899" spans="1:25" ht="15.75" customHeight="1">
      <c r="A899" s="5" t="s">
        <v>1781</v>
      </c>
      <c r="B899" s="6">
        <v>9</v>
      </c>
      <c r="C899" s="5" t="s">
        <v>22</v>
      </c>
      <c r="D899" s="6" t="s">
        <v>196</v>
      </c>
      <c r="E899" s="6"/>
      <c r="F899" s="7">
        <v>45019</v>
      </c>
      <c r="G899" s="6">
        <v>5</v>
      </c>
      <c r="H899" s="5" t="s">
        <v>73</v>
      </c>
      <c r="I899" s="6">
        <v>1</v>
      </c>
      <c r="J899" s="5" t="s">
        <v>39</v>
      </c>
      <c r="K899" s="6">
        <v>17598</v>
      </c>
      <c r="L899" s="5" t="s">
        <v>26</v>
      </c>
      <c r="M899" s="5" t="s">
        <v>66</v>
      </c>
      <c r="N899" s="5" t="s">
        <v>28</v>
      </c>
      <c r="O899" s="6" t="s">
        <v>196</v>
      </c>
      <c r="P899" s="6" t="s">
        <v>1782</v>
      </c>
      <c r="Q899" s="5" t="s">
        <v>86</v>
      </c>
      <c r="R899" s="5" t="s">
        <v>32</v>
      </c>
      <c r="S899" s="5" t="s">
        <v>33</v>
      </c>
      <c r="T899" s="6">
        <v>6</v>
      </c>
      <c r="U899" s="6">
        <v>8</v>
      </c>
      <c r="V899" s="5" t="s">
        <v>34</v>
      </c>
      <c r="W899" s="8"/>
      <c r="Y899">
        <f t="shared" ref="Y899:Y962" si="17">(T899/U899*100)</f>
        <v>75</v>
      </c>
    </row>
    <row r="900" spans="1:25" ht="15.75" customHeight="1">
      <c r="A900" s="5" t="s">
        <v>1783</v>
      </c>
      <c r="B900" s="6">
        <v>3</v>
      </c>
      <c r="C900" s="5" t="s">
        <v>36</v>
      </c>
      <c r="D900" s="6" t="s">
        <v>183</v>
      </c>
      <c r="E900" s="6"/>
      <c r="F900" s="7">
        <v>45088</v>
      </c>
      <c r="G900" s="6">
        <v>9</v>
      </c>
      <c r="H900" s="5" t="s">
        <v>46</v>
      </c>
      <c r="I900" s="6">
        <v>2</v>
      </c>
      <c r="J900" s="5" t="s">
        <v>97</v>
      </c>
      <c r="K900" s="6">
        <v>21940</v>
      </c>
      <c r="L900" s="5" t="s">
        <v>80</v>
      </c>
      <c r="M900" s="5" t="s">
        <v>27</v>
      </c>
      <c r="N900" s="5" t="s">
        <v>47</v>
      </c>
      <c r="O900" s="6" t="s">
        <v>183</v>
      </c>
      <c r="P900" s="6" t="s">
        <v>1784</v>
      </c>
      <c r="Q900" s="5" t="s">
        <v>86</v>
      </c>
      <c r="R900" s="5" t="s">
        <v>32</v>
      </c>
      <c r="S900" s="5" t="s">
        <v>33</v>
      </c>
      <c r="T900" s="6">
        <v>10</v>
      </c>
      <c r="U900" s="6">
        <v>10</v>
      </c>
      <c r="V900" s="5" t="s">
        <v>34</v>
      </c>
      <c r="W900" s="8"/>
      <c r="Y900">
        <f t="shared" si="17"/>
        <v>100</v>
      </c>
    </row>
    <row r="901" spans="1:25" ht="15.75" customHeight="1">
      <c r="A901" s="5" t="s">
        <v>1785</v>
      </c>
      <c r="B901" s="6">
        <v>31</v>
      </c>
      <c r="C901" s="5" t="s">
        <v>51</v>
      </c>
      <c r="D901" s="7">
        <v>45352</v>
      </c>
      <c r="E901" s="7"/>
      <c r="F901" s="7">
        <v>45566</v>
      </c>
      <c r="G901" s="6">
        <v>7</v>
      </c>
      <c r="H901" s="5" t="s">
        <v>38</v>
      </c>
      <c r="I901" s="6">
        <v>4</v>
      </c>
      <c r="J901" s="5" t="s">
        <v>97</v>
      </c>
      <c r="K901" s="6">
        <v>31880</v>
      </c>
      <c r="L901" s="5" t="s">
        <v>65</v>
      </c>
      <c r="M901" s="5" t="s">
        <v>27</v>
      </c>
      <c r="N901" s="5" t="s">
        <v>28</v>
      </c>
      <c r="O901" s="6" t="s">
        <v>235</v>
      </c>
      <c r="P901" s="6" t="s">
        <v>1786</v>
      </c>
      <c r="Q901" s="5" t="s">
        <v>48</v>
      </c>
      <c r="R901" s="5" t="s">
        <v>32</v>
      </c>
      <c r="S901" s="5" t="s">
        <v>53</v>
      </c>
      <c r="T901" s="6">
        <v>4</v>
      </c>
      <c r="U901" s="6">
        <v>10</v>
      </c>
      <c r="V901" s="5" t="s">
        <v>92</v>
      </c>
      <c r="W901" s="8"/>
      <c r="Y901">
        <f t="shared" si="17"/>
        <v>40</v>
      </c>
    </row>
    <row r="902" spans="1:25" ht="15.75" customHeight="1">
      <c r="A902" s="5" t="s">
        <v>1787</v>
      </c>
      <c r="B902" s="6">
        <v>40</v>
      </c>
      <c r="C902" s="5" t="s">
        <v>47</v>
      </c>
      <c r="D902" s="6" t="s">
        <v>1788</v>
      </c>
      <c r="E902" s="6"/>
      <c r="F902" s="7">
        <v>45324</v>
      </c>
      <c r="G902" s="6">
        <v>14</v>
      </c>
      <c r="H902" s="5" t="s">
        <v>58</v>
      </c>
      <c r="I902" s="6">
        <v>4</v>
      </c>
      <c r="J902" s="5" t="s">
        <v>39</v>
      </c>
      <c r="K902" s="6">
        <v>7580</v>
      </c>
      <c r="L902" s="5" t="s">
        <v>40</v>
      </c>
      <c r="M902" s="5" t="s">
        <v>66</v>
      </c>
      <c r="N902" s="5" t="s">
        <v>28</v>
      </c>
      <c r="O902" s="6" t="s">
        <v>1788</v>
      </c>
      <c r="P902" s="6" t="s">
        <v>1789</v>
      </c>
      <c r="Q902" s="5" t="s">
        <v>69</v>
      </c>
      <c r="R902" s="5" t="s">
        <v>32</v>
      </c>
      <c r="S902" s="5" t="s">
        <v>53</v>
      </c>
      <c r="T902" s="6">
        <v>6</v>
      </c>
      <c r="U902" s="6">
        <v>8</v>
      </c>
      <c r="V902" s="5" t="s">
        <v>34</v>
      </c>
      <c r="W902" s="8"/>
      <c r="Y902">
        <f t="shared" si="17"/>
        <v>75</v>
      </c>
    </row>
    <row r="903" spans="1:25" ht="15.75" customHeight="1">
      <c r="A903" s="5" t="s">
        <v>1790</v>
      </c>
      <c r="B903" s="6">
        <v>36</v>
      </c>
      <c r="C903" s="5" t="s">
        <v>22</v>
      </c>
      <c r="D903" s="6" t="s">
        <v>381</v>
      </c>
      <c r="E903" s="6"/>
      <c r="F903" s="6" t="s">
        <v>1092</v>
      </c>
      <c r="G903" s="6">
        <v>9</v>
      </c>
      <c r="H903" s="5" t="s">
        <v>83</v>
      </c>
      <c r="I903" s="6">
        <v>2</v>
      </c>
      <c r="J903" s="5" t="s">
        <v>39</v>
      </c>
      <c r="K903" s="6">
        <v>47321</v>
      </c>
      <c r="L903" s="5" t="s">
        <v>90</v>
      </c>
      <c r="M903" s="5" t="s">
        <v>66</v>
      </c>
      <c r="N903" s="5" t="s">
        <v>47</v>
      </c>
      <c r="O903" s="6" t="s">
        <v>381</v>
      </c>
      <c r="P903" s="6" t="s">
        <v>1791</v>
      </c>
      <c r="Q903" s="5" t="s">
        <v>43</v>
      </c>
      <c r="R903" s="5" t="s">
        <v>32</v>
      </c>
      <c r="S903" s="5" t="s">
        <v>49</v>
      </c>
      <c r="T903" s="6">
        <v>6</v>
      </c>
      <c r="U903" s="6">
        <v>12</v>
      </c>
      <c r="V903" s="5" t="s">
        <v>54</v>
      </c>
      <c r="W903" s="8"/>
      <c r="Y903">
        <f t="shared" si="17"/>
        <v>50</v>
      </c>
    </row>
    <row r="904" spans="1:25" ht="15.75" customHeight="1">
      <c r="A904" s="5" t="s">
        <v>1792</v>
      </c>
      <c r="B904" s="6">
        <v>24</v>
      </c>
      <c r="C904" s="5" t="s">
        <v>51</v>
      </c>
      <c r="D904" s="6" t="s">
        <v>812</v>
      </c>
      <c r="E904" s="6"/>
      <c r="F904" s="7">
        <v>45113</v>
      </c>
      <c r="G904" s="6">
        <v>8</v>
      </c>
      <c r="H904" s="5" t="s">
        <v>73</v>
      </c>
      <c r="I904" s="6">
        <v>4</v>
      </c>
      <c r="J904" s="5" t="s">
        <v>25</v>
      </c>
      <c r="K904" s="6">
        <v>14386</v>
      </c>
      <c r="L904" s="5" t="s">
        <v>80</v>
      </c>
      <c r="M904" s="5" t="s">
        <v>27</v>
      </c>
      <c r="N904" s="5" t="s">
        <v>28</v>
      </c>
      <c r="O904" s="6" t="s">
        <v>301</v>
      </c>
      <c r="P904" s="6" t="s">
        <v>1793</v>
      </c>
      <c r="Q904" s="5" t="s">
        <v>31</v>
      </c>
      <c r="R904" s="5" t="s">
        <v>44</v>
      </c>
      <c r="S904" s="5" t="s">
        <v>53</v>
      </c>
      <c r="T904" s="6">
        <v>5</v>
      </c>
      <c r="U904" s="6">
        <v>10</v>
      </c>
      <c r="V904" s="5" t="s">
        <v>54</v>
      </c>
      <c r="W904" s="8"/>
      <c r="Y904">
        <f t="shared" si="17"/>
        <v>50</v>
      </c>
    </row>
    <row r="905" spans="1:25" ht="15.75" customHeight="1">
      <c r="A905" s="5" t="s">
        <v>1794</v>
      </c>
      <c r="B905" s="6">
        <v>6</v>
      </c>
      <c r="C905" s="5" t="s">
        <v>47</v>
      </c>
      <c r="D905" s="7">
        <v>45147</v>
      </c>
      <c r="E905" s="7"/>
      <c r="F905" s="6" t="s">
        <v>591</v>
      </c>
      <c r="G905" s="6">
        <v>5</v>
      </c>
      <c r="H905" s="5" t="s">
        <v>73</v>
      </c>
      <c r="I905" s="6">
        <v>4</v>
      </c>
      <c r="J905" s="5" t="s">
        <v>25</v>
      </c>
      <c r="K905" s="6">
        <v>24522</v>
      </c>
      <c r="L905" s="5" t="s">
        <v>26</v>
      </c>
      <c r="M905" s="5" t="s">
        <v>27</v>
      </c>
      <c r="N905" s="5" t="s">
        <v>28</v>
      </c>
      <c r="O905" s="7">
        <v>45116</v>
      </c>
      <c r="P905" s="7">
        <v>45116.125</v>
      </c>
      <c r="Q905" s="5" t="s">
        <v>31</v>
      </c>
      <c r="R905" s="5" t="s">
        <v>32</v>
      </c>
      <c r="S905" s="5" t="s">
        <v>53</v>
      </c>
      <c r="T905" s="6">
        <v>7</v>
      </c>
      <c r="U905" s="6">
        <v>12</v>
      </c>
      <c r="V905" s="5" t="s">
        <v>54</v>
      </c>
      <c r="W905" s="8"/>
      <c r="Y905">
        <f t="shared" si="17"/>
        <v>58.333333333333336</v>
      </c>
    </row>
    <row r="906" spans="1:25" ht="15.75" customHeight="1">
      <c r="A906" s="5" t="s">
        <v>1795</v>
      </c>
      <c r="B906" s="6">
        <v>66</v>
      </c>
      <c r="C906" s="5" t="s">
        <v>22</v>
      </c>
      <c r="D906" s="6" t="s">
        <v>854</v>
      </c>
      <c r="E906" s="6"/>
      <c r="F906" s="6" t="s">
        <v>845</v>
      </c>
      <c r="G906" s="6">
        <v>1</v>
      </c>
      <c r="H906" s="5" t="s">
        <v>38</v>
      </c>
      <c r="I906" s="6">
        <v>5</v>
      </c>
      <c r="J906" s="5" t="s">
        <v>39</v>
      </c>
      <c r="K906" s="6">
        <v>31224</v>
      </c>
      <c r="L906" s="5" t="s">
        <v>65</v>
      </c>
      <c r="M906" s="5" t="s">
        <v>27</v>
      </c>
      <c r="N906" s="5" t="s">
        <v>47</v>
      </c>
      <c r="O906" s="6" t="s">
        <v>537</v>
      </c>
      <c r="P906" s="6" t="s">
        <v>1796</v>
      </c>
      <c r="Q906" s="5" t="s">
        <v>69</v>
      </c>
      <c r="R906" s="5" t="s">
        <v>32</v>
      </c>
      <c r="S906" s="5" t="s">
        <v>49</v>
      </c>
      <c r="T906" s="6">
        <v>8</v>
      </c>
      <c r="U906" s="6">
        <v>12</v>
      </c>
      <c r="V906" s="5" t="s">
        <v>92</v>
      </c>
      <c r="W906" s="8"/>
      <c r="Y906">
        <f t="shared" si="17"/>
        <v>66.666666666666657</v>
      </c>
    </row>
    <row r="907" spans="1:25" ht="15.75" customHeight="1">
      <c r="A907" s="5" t="s">
        <v>1797</v>
      </c>
      <c r="B907" s="6">
        <v>84</v>
      </c>
      <c r="C907" s="5" t="s">
        <v>82</v>
      </c>
      <c r="D907" s="7">
        <v>45023</v>
      </c>
      <c r="E907" s="7"/>
      <c r="F907" s="6" t="s">
        <v>886</v>
      </c>
      <c r="G907" s="6">
        <v>13</v>
      </c>
      <c r="H907" s="5" t="s">
        <v>38</v>
      </c>
      <c r="I907" s="6">
        <v>5</v>
      </c>
      <c r="J907" s="5" t="s">
        <v>25</v>
      </c>
      <c r="K907" s="6">
        <v>19635</v>
      </c>
      <c r="L907" s="5" t="s">
        <v>90</v>
      </c>
      <c r="M907" s="5" t="s">
        <v>27</v>
      </c>
      <c r="N907" s="5" t="s">
        <v>28</v>
      </c>
      <c r="O907" s="7">
        <v>44992</v>
      </c>
      <c r="P907" s="7">
        <v>45023.416666666664</v>
      </c>
      <c r="Q907" s="5" t="s">
        <v>86</v>
      </c>
      <c r="R907" s="5" t="s">
        <v>32</v>
      </c>
      <c r="S907" s="5" t="s">
        <v>33</v>
      </c>
      <c r="T907" s="6">
        <v>6</v>
      </c>
      <c r="U907" s="6">
        <v>12</v>
      </c>
      <c r="V907" s="5" t="s">
        <v>34</v>
      </c>
      <c r="W907" s="8"/>
      <c r="Y907">
        <f t="shared" si="17"/>
        <v>50</v>
      </c>
    </row>
    <row r="908" spans="1:25" ht="15.75" customHeight="1">
      <c r="A908" s="5" t="s">
        <v>1798</v>
      </c>
      <c r="B908" s="6">
        <v>75</v>
      </c>
      <c r="C908" s="5" t="s">
        <v>62</v>
      </c>
      <c r="D908" s="6" t="s">
        <v>141</v>
      </c>
      <c r="E908" s="6"/>
      <c r="F908" s="7">
        <v>45053</v>
      </c>
      <c r="G908" s="6">
        <v>11</v>
      </c>
      <c r="H908" s="5" t="s">
        <v>46</v>
      </c>
      <c r="I908" s="6">
        <v>2</v>
      </c>
      <c r="J908" s="5" t="s">
        <v>52</v>
      </c>
      <c r="K908" s="6">
        <v>5671</v>
      </c>
      <c r="L908" s="5" t="s">
        <v>65</v>
      </c>
      <c r="M908" s="5" t="s">
        <v>66</v>
      </c>
      <c r="N908" s="5" t="s">
        <v>28</v>
      </c>
      <c r="O908" s="6" t="s">
        <v>141</v>
      </c>
      <c r="P908" s="6" t="s">
        <v>1799</v>
      </c>
      <c r="Q908" s="5" t="s">
        <v>86</v>
      </c>
      <c r="R908" s="5" t="s">
        <v>32</v>
      </c>
      <c r="S908" s="5" t="s">
        <v>53</v>
      </c>
      <c r="T908" s="6">
        <v>10</v>
      </c>
      <c r="U908" s="6">
        <v>8</v>
      </c>
      <c r="V908" s="5" t="s">
        <v>34</v>
      </c>
      <c r="W908" s="8"/>
      <c r="Y908">
        <f t="shared" si="17"/>
        <v>125</v>
      </c>
    </row>
    <row r="909" spans="1:25" ht="15.75" customHeight="1">
      <c r="A909" s="5" t="s">
        <v>1800</v>
      </c>
      <c r="B909" s="6">
        <v>4</v>
      </c>
      <c r="C909" s="5" t="s">
        <v>62</v>
      </c>
      <c r="D909" s="6" t="s">
        <v>245</v>
      </c>
      <c r="E909" s="6"/>
      <c r="F909" s="7">
        <v>44992</v>
      </c>
      <c r="G909" s="6">
        <v>4</v>
      </c>
      <c r="H909" s="5" t="s">
        <v>46</v>
      </c>
      <c r="I909" s="6">
        <v>1</v>
      </c>
      <c r="J909" s="5" t="s">
        <v>97</v>
      </c>
      <c r="K909" s="6">
        <v>38545</v>
      </c>
      <c r="L909" s="5" t="s">
        <v>40</v>
      </c>
      <c r="M909" s="5" t="s">
        <v>66</v>
      </c>
      <c r="N909" s="5" t="s">
        <v>28</v>
      </c>
      <c r="O909" s="6" t="s">
        <v>141</v>
      </c>
      <c r="P909" s="6" t="s">
        <v>1801</v>
      </c>
      <c r="Q909" s="5" t="s">
        <v>86</v>
      </c>
      <c r="R909" s="5" t="s">
        <v>32</v>
      </c>
      <c r="S909" s="5" t="s">
        <v>33</v>
      </c>
      <c r="T909" s="6">
        <v>8</v>
      </c>
      <c r="U909" s="6">
        <v>12</v>
      </c>
      <c r="V909" s="5" t="s">
        <v>34</v>
      </c>
      <c r="W909" s="8"/>
      <c r="Y909">
        <f t="shared" si="17"/>
        <v>66.666666666666657</v>
      </c>
    </row>
    <row r="910" spans="1:25" ht="15.75" customHeight="1">
      <c r="A910" s="5" t="s">
        <v>1802</v>
      </c>
      <c r="B910" s="6">
        <v>79</v>
      </c>
      <c r="C910" s="5" t="s">
        <v>51</v>
      </c>
      <c r="D910" s="6" t="s">
        <v>178</v>
      </c>
      <c r="E910" s="6"/>
      <c r="F910" s="6" t="s">
        <v>1172</v>
      </c>
      <c r="G910" s="6">
        <v>5</v>
      </c>
      <c r="H910" s="5" t="s">
        <v>73</v>
      </c>
      <c r="I910" s="6">
        <v>4</v>
      </c>
      <c r="J910" s="5" t="s">
        <v>97</v>
      </c>
      <c r="K910" s="6">
        <v>31855</v>
      </c>
      <c r="L910" s="5" t="s">
        <v>26</v>
      </c>
      <c r="M910" s="5" t="s">
        <v>66</v>
      </c>
      <c r="N910" s="5" t="s">
        <v>28</v>
      </c>
      <c r="O910" s="6" t="s">
        <v>180</v>
      </c>
      <c r="P910" s="6" t="s">
        <v>178</v>
      </c>
      <c r="Q910" s="5" t="s">
        <v>86</v>
      </c>
      <c r="R910" s="5" t="s">
        <v>32</v>
      </c>
      <c r="S910" s="5" t="s">
        <v>49</v>
      </c>
      <c r="T910" s="6">
        <v>5</v>
      </c>
      <c r="U910" s="6">
        <v>12</v>
      </c>
      <c r="V910" s="5" t="s">
        <v>92</v>
      </c>
      <c r="W910" s="8"/>
      <c r="Y910">
        <f t="shared" si="17"/>
        <v>41.666666666666671</v>
      </c>
    </row>
    <row r="911" spans="1:25" ht="15.75" customHeight="1">
      <c r="A911" s="5" t="s">
        <v>1803</v>
      </c>
      <c r="B911" s="6">
        <v>6</v>
      </c>
      <c r="C911" s="5" t="s">
        <v>47</v>
      </c>
      <c r="D911" s="6" t="s">
        <v>354</v>
      </c>
      <c r="E911" s="6"/>
      <c r="F911" s="7">
        <v>45324</v>
      </c>
      <c r="G911" s="6">
        <v>6</v>
      </c>
      <c r="H911" s="5" t="s">
        <v>38</v>
      </c>
      <c r="I911" s="6">
        <v>1</v>
      </c>
      <c r="J911" s="5" t="s">
        <v>39</v>
      </c>
      <c r="K911" s="6">
        <v>40790</v>
      </c>
      <c r="L911" s="5" t="s">
        <v>65</v>
      </c>
      <c r="M911" s="5" t="s">
        <v>66</v>
      </c>
      <c r="N911" s="5" t="s">
        <v>28</v>
      </c>
      <c r="O911" s="6" t="s">
        <v>354</v>
      </c>
      <c r="P911" s="6" t="s">
        <v>1804</v>
      </c>
      <c r="Q911" s="5" t="s">
        <v>86</v>
      </c>
      <c r="R911" s="5" t="s">
        <v>32</v>
      </c>
      <c r="S911" s="5" t="s">
        <v>49</v>
      </c>
      <c r="T911" s="6">
        <v>4</v>
      </c>
      <c r="U911" s="6">
        <v>10</v>
      </c>
      <c r="V911" s="5" t="s">
        <v>92</v>
      </c>
      <c r="W911" s="8"/>
      <c r="Y911">
        <f t="shared" si="17"/>
        <v>40</v>
      </c>
    </row>
    <row r="912" spans="1:25" ht="15.75" customHeight="1">
      <c r="A912" s="5" t="s">
        <v>1805</v>
      </c>
      <c r="B912" s="6">
        <v>51</v>
      </c>
      <c r="C912" s="5" t="s">
        <v>62</v>
      </c>
      <c r="D912" s="7">
        <v>45025</v>
      </c>
      <c r="E912" s="7"/>
      <c r="F912" s="6" t="s">
        <v>931</v>
      </c>
      <c r="G912" s="6">
        <v>14</v>
      </c>
      <c r="H912" s="5" t="s">
        <v>58</v>
      </c>
      <c r="I912" s="6">
        <v>2</v>
      </c>
      <c r="J912" s="5" t="s">
        <v>89</v>
      </c>
      <c r="K912" s="6">
        <v>19260</v>
      </c>
      <c r="L912" s="5" t="s">
        <v>80</v>
      </c>
      <c r="M912" s="5" t="s">
        <v>66</v>
      </c>
      <c r="N912" s="5" t="s">
        <v>28</v>
      </c>
      <c r="O912" s="7">
        <v>44994</v>
      </c>
      <c r="P912" s="7">
        <v>45055</v>
      </c>
      <c r="Q912" s="5" t="s">
        <v>69</v>
      </c>
      <c r="R912" s="5" t="s">
        <v>32</v>
      </c>
      <c r="S912" s="5" t="s">
        <v>53</v>
      </c>
      <c r="T912" s="6">
        <v>9</v>
      </c>
      <c r="U912" s="6">
        <v>10</v>
      </c>
      <c r="V912" s="5" t="s">
        <v>92</v>
      </c>
      <c r="W912" s="8"/>
      <c r="Y912">
        <f t="shared" si="17"/>
        <v>90</v>
      </c>
    </row>
    <row r="913" spans="1:25" ht="15.75" customHeight="1">
      <c r="A913" s="5" t="s">
        <v>1806</v>
      </c>
      <c r="B913" s="6">
        <v>62</v>
      </c>
      <c r="C913" s="5" t="s">
        <v>47</v>
      </c>
      <c r="D913" s="6" t="s">
        <v>669</v>
      </c>
      <c r="E913" s="6"/>
      <c r="F913" s="7">
        <v>45449</v>
      </c>
      <c r="G913" s="6">
        <v>13</v>
      </c>
      <c r="H913" s="5" t="s">
        <v>83</v>
      </c>
      <c r="I913" s="6">
        <v>2</v>
      </c>
      <c r="J913" s="5" t="s">
        <v>39</v>
      </c>
      <c r="K913" s="6">
        <v>6074</v>
      </c>
      <c r="L913" s="5" t="s">
        <v>26</v>
      </c>
      <c r="M913" s="5" t="s">
        <v>27</v>
      </c>
      <c r="N913" s="5" t="s">
        <v>47</v>
      </c>
      <c r="O913" s="6" t="s">
        <v>331</v>
      </c>
      <c r="P913" s="6" t="s">
        <v>1807</v>
      </c>
      <c r="Q913" s="5" t="s">
        <v>48</v>
      </c>
      <c r="R913" s="5" t="s">
        <v>32</v>
      </c>
      <c r="S913" s="5" t="s">
        <v>49</v>
      </c>
      <c r="T913" s="6">
        <v>6</v>
      </c>
      <c r="U913" s="6">
        <v>8</v>
      </c>
      <c r="V913" s="5" t="s">
        <v>92</v>
      </c>
      <c r="W913" s="8"/>
      <c r="Y913">
        <f t="shared" si="17"/>
        <v>75</v>
      </c>
    </row>
    <row r="914" spans="1:25" ht="15.75" customHeight="1">
      <c r="A914" s="5" t="s">
        <v>1808</v>
      </c>
      <c r="B914" s="6">
        <v>57</v>
      </c>
      <c r="C914" s="5" t="s">
        <v>47</v>
      </c>
      <c r="D914" s="6" t="s">
        <v>301</v>
      </c>
      <c r="E914" s="6"/>
      <c r="F914" s="6" t="s">
        <v>1021</v>
      </c>
      <c r="G914" s="6">
        <v>1</v>
      </c>
      <c r="H914" s="5" t="s">
        <v>38</v>
      </c>
      <c r="I914" s="6">
        <v>5</v>
      </c>
      <c r="J914" s="5" t="s">
        <v>25</v>
      </c>
      <c r="K914" s="6">
        <v>47676</v>
      </c>
      <c r="L914" s="5" t="s">
        <v>80</v>
      </c>
      <c r="M914" s="5" t="s">
        <v>66</v>
      </c>
      <c r="N914" s="5" t="s">
        <v>28</v>
      </c>
      <c r="O914" s="6" t="s">
        <v>64</v>
      </c>
      <c r="P914" s="6" t="s">
        <v>1809</v>
      </c>
      <c r="Q914" s="5" t="s">
        <v>43</v>
      </c>
      <c r="R914" s="5" t="s">
        <v>32</v>
      </c>
      <c r="S914" s="5" t="s">
        <v>49</v>
      </c>
      <c r="T914" s="6">
        <v>7</v>
      </c>
      <c r="U914" s="6">
        <v>8</v>
      </c>
      <c r="V914" s="5" t="s">
        <v>54</v>
      </c>
      <c r="W914" s="8"/>
      <c r="Y914">
        <f t="shared" si="17"/>
        <v>87.5</v>
      </c>
    </row>
    <row r="915" spans="1:25" ht="15.75" customHeight="1">
      <c r="A915" s="5" t="s">
        <v>1810</v>
      </c>
      <c r="B915" s="6">
        <v>66</v>
      </c>
      <c r="C915" s="5" t="s">
        <v>51</v>
      </c>
      <c r="D915" s="6" t="s">
        <v>121</v>
      </c>
      <c r="E915" s="6"/>
      <c r="F915" s="7">
        <v>45178</v>
      </c>
      <c r="G915" s="6">
        <v>14</v>
      </c>
      <c r="H915" s="5" t="s">
        <v>38</v>
      </c>
      <c r="I915" s="6">
        <v>4</v>
      </c>
      <c r="J915" s="5" t="s">
        <v>89</v>
      </c>
      <c r="K915" s="6">
        <v>14475</v>
      </c>
      <c r="L915" s="5" t="s">
        <v>65</v>
      </c>
      <c r="M915" s="5" t="s">
        <v>66</v>
      </c>
      <c r="N915" s="5" t="s">
        <v>28</v>
      </c>
      <c r="O915" s="6" t="s">
        <v>495</v>
      </c>
      <c r="P915" s="6" t="s">
        <v>1811</v>
      </c>
      <c r="Q915" s="5" t="s">
        <v>86</v>
      </c>
      <c r="R915" s="5" t="s">
        <v>32</v>
      </c>
      <c r="S915" s="5" t="s">
        <v>49</v>
      </c>
      <c r="T915" s="6">
        <v>9</v>
      </c>
      <c r="U915" s="6">
        <v>10</v>
      </c>
      <c r="V915" s="5" t="s">
        <v>92</v>
      </c>
      <c r="W915" s="8"/>
      <c r="Y915">
        <f t="shared" si="17"/>
        <v>90</v>
      </c>
    </row>
    <row r="916" spans="1:25" ht="15.75" customHeight="1">
      <c r="A916" s="5" t="s">
        <v>1812</v>
      </c>
      <c r="B916" s="6">
        <v>79</v>
      </c>
      <c r="C916" s="5" t="s">
        <v>51</v>
      </c>
      <c r="D916" s="6" t="s">
        <v>589</v>
      </c>
      <c r="E916" s="6"/>
      <c r="F916" s="6" t="s">
        <v>257</v>
      </c>
      <c r="G916" s="6">
        <v>11</v>
      </c>
      <c r="H916" s="5" t="s">
        <v>24</v>
      </c>
      <c r="I916" s="6">
        <v>3</v>
      </c>
      <c r="J916" s="5" t="s">
        <v>25</v>
      </c>
      <c r="K916" s="6">
        <v>17878</v>
      </c>
      <c r="L916" s="5" t="s">
        <v>26</v>
      </c>
      <c r="M916" s="5" t="s">
        <v>27</v>
      </c>
      <c r="N916" s="5" t="s">
        <v>47</v>
      </c>
      <c r="O916" s="6" t="s">
        <v>589</v>
      </c>
      <c r="P916" s="6" t="s">
        <v>1813</v>
      </c>
      <c r="Q916" s="5" t="s">
        <v>48</v>
      </c>
      <c r="R916" s="5" t="s">
        <v>32</v>
      </c>
      <c r="S916" s="5" t="s">
        <v>53</v>
      </c>
      <c r="T916" s="6">
        <v>5</v>
      </c>
      <c r="U916" s="6">
        <v>10</v>
      </c>
      <c r="V916" s="5" t="s">
        <v>92</v>
      </c>
      <c r="W916" s="8"/>
      <c r="Y916">
        <f t="shared" si="17"/>
        <v>50</v>
      </c>
    </row>
    <row r="917" spans="1:25" ht="15.75" customHeight="1">
      <c r="A917" s="5" t="s">
        <v>1814</v>
      </c>
      <c r="B917" s="6">
        <v>75</v>
      </c>
      <c r="C917" s="5" t="s">
        <v>51</v>
      </c>
      <c r="D917" s="6" t="s">
        <v>931</v>
      </c>
      <c r="E917" s="6"/>
      <c r="F917" s="6" t="s">
        <v>314</v>
      </c>
      <c r="G917" s="6">
        <v>6</v>
      </c>
      <c r="H917" s="5" t="s">
        <v>46</v>
      </c>
      <c r="I917" s="6">
        <v>2</v>
      </c>
      <c r="J917" s="5" t="s">
        <v>52</v>
      </c>
      <c r="K917" s="6">
        <v>20120</v>
      </c>
      <c r="L917" s="5" t="s">
        <v>80</v>
      </c>
      <c r="M917" s="5" t="s">
        <v>27</v>
      </c>
      <c r="N917" s="5" t="s">
        <v>28</v>
      </c>
      <c r="O917" s="6" t="s">
        <v>1302</v>
      </c>
      <c r="P917" s="6" t="s">
        <v>1815</v>
      </c>
      <c r="Q917" s="5" t="s">
        <v>31</v>
      </c>
      <c r="R917" s="5" t="s">
        <v>32</v>
      </c>
      <c r="S917" s="5" t="s">
        <v>53</v>
      </c>
      <c r="T917" s="6">
        <v>8</v>
      </c>
      <c r="U917" s="6">
        <v>8</v>
      </c>
      <c r="V917" s="5" t="s">
        <v>92</v>
      </c>
      <c r="W917" s="8"/>
      <c r="Y917">
        <f t="shared" si="17"/>
        <v>100</v>
      </c>
    </row>
    <row r="918" spans="1:25" ht="15.75" customHeight="1">
      <c r="A918" s="5" t="s">
        <v>1816</v>
      </c>
      <c r="B918" s="6">
        <v>8</v>
      </c>
      <c r="C918" s="5" t="s">
        <v>62</v>
      </c>
      <c r="D918" s="6" t="s">
        <v>170</v>
      </c>
      <c r="E918" s="6"/>
      <c r="F918" s="6" t="s">
        <v>1055</v>
      </c>
      <c r="G918" s="6">
        <v>5</v>
      </c>
      <c r="H918" s="5" t="s">
        <v>83</v>
      </c>
      <c r="I918" s="6">
        <v>4</v>
      </c>
      <c r="J918" s="5" t="s">
        <v>25</v>
      </c>
      <c r="K918" s="6">
        <v>28147</v>
      </c>
      <c r="L918" s="5" t="s">
        <v>40</v>
      </c>
      <c r="M918" s="5" t="s">
        <v>66</v>
      </c>
      <c r="N918" s="5" t="s">
        <v>28</v>
      </c>
      <c r="O918" s="7">
        <v>45569</v>
      </c>
      <c r="P918" s="7">
        <v>45600.708333333336</v>
      </c>
      <c r="Q918" s="5" t="s">
        <v>69</v>
      </c>
      <c r="R918" s="5" t="s">
        <v>32</v>
      </c>
      <c r="S918" s="5" t="s">
        <v>53</v>
      </c>
      <c r="T918" s="6">
        <v>10</v>
      </c>
      <c r="U918" s="6">
        <v>12</v>
      </c>
      <c r="V918" s="5" t="s">
        <v>34</v>
      </c>
      <c r="W918" s="8"/>
      <c r="Y918">
        <f t="shared" si="17"/>
        <v>83.333333333333343</v>
      </c>
    </row>
    <row r="919" spans="1:25" ht="15.75" customHeight="1">
      <c r="A919" s="5" t="s">
        <v>1817</v>
      </c>
      <c r="B919" s="6">
        <v>26</v>
      </c>
      <c r="C919" s="5" t="s">
        <v>51</v>
      </c>
      <c r="D919" s="6" t="s">
        <v>249</v>
      </c>
      <c r="E919" s="6"/>
      <c r="F919" s="6" t="s">
        <v>703</v>
      </c>
      <c r="G919" s="6">
        <v>2</v>
      </c>
      <c r="H919" s="5" t="s">
        <v>73</v>
      </c>
      <c r="I919" s="6">
        <v>1</v>
      </c>
      <c r="J919" s="5" t="s">
        <v>52</v>
      </c>
      <c r="K919" s="6">
        <v>6986</v>
      </c>
      <c r="L919" s="5" t="s">
        <v>40</v>
      </c>
      <c r="M919" s="5" t="s">
        <v>27</v>
      </c>
      <c r="N919" s="5" t="s">
        <v>28</v>
      </c>
      <c r="O919" s="6" t="s">
        <v>1302</v>
      </c>
      <c r="P919" s="6" t="s">
        <v>1818</v>
      </c>
      <c r="Q919" s="5" t="s">
        <v>48</v>
      </c>
      <c r="R919" s="5" t="s">
        <v>44</v>
      </c>
      <c r="S919" s="5" t="s">
        <v>49</v>
      </c>
      <c r="T919" s="6">
        <v>11</v>
      </c>
      <c r="U919" s="6">
        <v>8</v>
      </c>
      <c r="V919" s="5" t="s">
        <v>34</v>
      </c>
      <c r="W919" s="8"/>
      <c r="Y919">
        <f t="shared" si="17"/>
        <v>137.5</v>
      </c>
    </row>
    <row r="920" spans="1:25" ht="15.75" customHeight="1">
      <c r="A920" s="5" t="s">
        <v>1819</v>
      </c>
      <c r="B920" s="6">
        <v>51</v>
      </c>
      <c r="C920" s="5" t="s">
        <v>62</v>
      </c>
      <c r="D920" s="7">
        <v>45200</v>
      </c>
      <c r="E920" s="7"/>
      <c r="F920" s="6" t="s">
        <v>724</v>
      </c>
      <c r="G920" s="6">
        <v>13</v>
      </c>
      <c r="H920" s="5" t="s">
        <v>38</v>
      </c>
      <c r="I920" s="6">
        <v>5</v>
      </c>
      <c r="J920" s="5" t="s">
        <v>52</v>
      </c>
      <c r="K920" s="6">
        <v>48593</v>
      </c>
      <c r="L920" s="5" t="s">
        <v>65</v>
      </c>
      <c r="M920" s="5" t="s">
        <v>27</v>
      </c>
      <c r="N920" s="5" t="s">
        <v>28</v>
      </c>
      <c r="O920" s="7">
        <v>45078</v>
      </c>
      <c r="P920" s="7">
        <v>45078.208333333336</v>
      </c>
      <c r="Q920" s="5" t="s">
        <v>86</v>
      </c>
      <c r="R920" s="5" t="s">
        <v>32</v>
      </c>
      <c r="S920" s="5" t="s">
        <v>33</v>
      </c>
      <c r="T920" s="6">
        <v>4</v>
      </c>
      <c r="U920" s="6">
        <v>12</v>
      </c>
      <c r="V920" s="5" t="s">
        <v>34</v>
      </c>
      <c r="W920" s="8"/>
      <c r="Y920">
        <f t="shared" si="17"/>
        <v>33.333333333333329</v>
      </c>
    </row>
    <row r="921" spans="1:25" ht="15.75" customHeight="1">
      <c r="A921" s="5" t="s">
        <v>1820</v>
      </c>
      <c r="B921" s="6">
        <v>45</v>
      </c>
      <c r="C921" s="5" t="s">
        <v>51</v>
      </c>
      <c r="D921" s="6" t="s">
        <v>171</v>
      </c>
      <c r="E921" s="6"/>
      <c r="F921" s="6" t="s">
        <v>359</v>
      </c>
      <c r="G921" s="6">
        <v>6</v>
      </c>
      <c r="H921" s="5" t="s">
        <v>73</v>
      </c>
      <c r="I921" s="6">
        <v>1</v>
      </c>
      <c r="J921" s="5" t="s">
        <v>25</v>
      </c>
      <c r="K921" s="6">
        <v>37430</v>
      </c>
      <c r="L921" s="5" t="s">
        <v>26</v>
      </c>
      <c r="M921" s="5" t="s">
        <v>66</v>
      </c>
      <c r="N921" s="5" t="s">
        <v>28</v>
      </c>
      <c r="O921" s="6" t="s">
        <v>256</v>
      </c>
      <c r="P921" s="6" t="s">
        <v>1821</v>
      </c>
      <c r="Q921" s="5" t="s">
        <v>86</v>
      </c>
      <c r="R921" s="5" t="s">
        <v>32</v>
      </c>
      <c r="S921" s="5" t="s">
        <v>49</v>
      </c>
      <c r="T921" s="6">
        <v>8</v>
      </c>
      <c r="U921" s="6">
        <v>10</v>
      </c>
      <c r="V921" s="5" t="s">
        <v>54</v>
      </c>
      <c r="W921" s="8"/>
      <c r="Y921">
        <f t="shared" si="17"/>
        <v>80</v>
      </c>
    </row>
    <row r="922" spans="1:25" ht="15.75" customHeight="1">
      <c r="A922" s="5" t="s">
        <v>1822</v>
      </c>
      <c r="B922" s="6">
        <v>44</v>
      </c>
      <c r="C922" s="5" t="s">
        <v>36</v>
      </c>
      <c r="D922" s="6" t="s">
        <v>769</v>
      </c>
      <c r="E922" s="6"/>
      <c r="F922" s="6" t="s">
        <v>400</v>
      </c>
      <c r="G922" s="6">
        <v>7</v>
      </c>
      <c r="H922" s="5" t="s">
        <v>38</v>
      </c>
      <c r="I922" s="6">
        <v>2</v>
      </c>
      <c r="J922" s="5" t="s">
        <v>25</v>
      </c>
      <c r="K922" s="6">
        <v>46961</v>
      </c>
      <c r="L922" s="5" t="s">
        <v>90</v>
      </c>
      <c r="M922" s="5" t="s">
        <v>66</v>
      </c>
      <c r="N922" s="5" t="s">
        <v>28</v>
      </c>
      <c r="O922" s="6" t="s">
        <v>1005</v>
      </c>
      <c r="P922" s="6" t="s">
        <v>1823</v>
      </c>
      <c r="Q922" s="5" t="s">
        <v>86</v>
      </c>
      <c r="R922" s="5" t="s">
        <v>32</v>
      </c>
      <c r="S922" s="5" t="s">
        <v>53</v>
      </c>
      <c r="T922" s="6">
        <v>7</v>
      </c>
      <c r="U922" s="6">
        <v>10</v>
      </c>
      <c r="V922" s="5" t="s">
        <v>54</v>
      </c>
      <c r="W922" s="8"/>
      <c r="Y922">
        <f t="shared" si="17"/>
        <v>70</v>
      </c>
    </row>
    <row r="923" spans="1:25" ht="15.75" customHeight="1">
      <c r="A923" s="5" t="s">
        <v>1824</v>
      </c>
      <c r="B923" s="6">
        <v>5</v>
      </c>
      <c r="C923" s="5" t="s">
        <v>47</v>
      </c>
      <c r="D923" s="7">
        <v>45236</v>
      </c>
      <c r="E923" s="7"/>
      <c r="F923" s="6" t="s">
        <v>745</v>
      </c>
      <c r="G923" s="6">
        <v>15</v>
      </c>
      <c r="H923" s="5" t="s">
        <v>73</v>
      </c>
      <c r="I923" s="6">
        <v>2</v>
      </c>
      <c r="J923" s="5" t="s">
        <v>52</v>
      </c>
      <c r="K923" s="6">
        <v>22430</v>
      </c>
      <c r="L923" s="5" t="s">
        <v>26</v>
      </c>
      <c r="M923" s="5" t="s">
        <v>66</v>
      </c>
      <c r="N923" s="5" t="s">
        <v>28</v>
      </c>
      <c r="O923" s="7">
        <v>45144</v>
      </c>
      <c r="P923" s="7">
        <v>45144.166666666664</v>
      </c>
      <c r="Q923" s="5" t="s">
        <v>48</v>
      </c>
      <c r="R923" s="5" t="s">
        <v>44</v>
      </c>
      <c r="S923" s="5" t="s">
        <v>33</v>
      </c>
      <c r="T923" s="6">
        <v>6</v>
      </c>
      <c r="U923" s="6">
        <v>10</v>
      </c>
      <c r="V923" s="5" t="s">
        <v>92</v>
      </c>
      <c r="W923" s="8"/>
      <c r="Y923">
        <f t="shared" si="17"/>
        <v>60</v>
      </c>
    </row>
    <row r="924" spans="1:25" ht="15.75" customHeight="1">
      <c r="A924" s="5" t="s">
        <v>1825</v>
      </c>
      <c r="B924" s="6">
        <v>70</v>
      </c>
      <c r="C924" s="5" t="s">
        <v>51</v>
      </c>
      <c r="D924" s="6" t="s">
        <v>728</v>
      </c>
      <c r="E924" s="6"/>
      <c r="F924" s="6" t="s">
        <v>501</v>
      </c>
      <c r="G924" s="6">
        <v>7</v>
      </c>
      <c r="H924" s="5" t="s">
        <v>83</v>
      </c>
      <c r="I924" s="6">
        <v>1</v>
      </c>
      <c r="J924" s="5" t="s">
        <v>89</v>
      </c>
      <c r="K924" s="6">
        <v>7176</v>
      </c>
      <c r="L924" s="5" t="s">
        <v>40</v>
      </c>
      <c r="M924" s="5" t="s">
        <v>66</v>
      </c>
      <c r="N924" s="5" t="s">
        <v>28</v>
      </c>
      <c r="O924" s="6" t="s">
        <v>728</v>
      </c>
      <c r="P924" s="6" t="s">
        <v>1826</v>
      </c>
      <c r="Q924" s="5" t="s">
        <v>86</v>
      </c>
      <c r="R924" s="5" t="s">
        <v>32</v>
      </c>
      <c r="S924" s="5" t="s">
        <v>33</v>
      </c>
      <c r="T924" s="6">
        <v>7</v>
      </c>
      <c r="U924" s="6">
        <v>12</v>
      </c>
      <c r="V924" s="5" t="s">
        <v>34</v>
      </c>
      <c r="W924" s="8"/>
      <c r="Y924">
        <f t="shared" si="17"/>
        <v>58.333333333333336</v>
      </c>
    </row>
    <row r="925" spans="1:25" ht="15.75" customHeight="1">
      <c r="A925" s="5" t="s">
        <v>1827</v>
      </c>
      <c r="B925" s="6">
        <v>26</v>
      </c>
      <c r="C925" s="5" t="s">
        <v>22</v>
      </c>
      <c r="D925" s="6" t="s">
        <v>547</v>
      </c>
      <c r="E925" s="6"/>
      <c r="F925" s="7">
        <v>45539</v>
      </c>
      <c r="G925" s="6">
        <v>12</v>
      </c>
      <c r="H925" s="5" t="s">
        <v>46</v>
      </c>
      <c r="I925" s="6">
        <v>2</v>
      </c>
      <c r="J925" s="5" t="s">
        <v>52</v>
      </c>
      <c r="K925" s="6">
        <v>23722</v>
      </c>
      <c r="L925" s="5" t="s">
        <v>80</v>
      </c>
      <c r="M925" s="5" t="s">
        <v>66</v>
      </c>
      <c r="N925" s="5" t="s">
        <v>28</v>
      </c>
      <c r="O925" s="6" t="s">
        <v>547</v>
      </c>
      <c r="P925" s="6" t="s">
        <v>1828</v>
      </c>
      <c r="Q925" s="5" t="s">
        <v>48</v>
      </c>
      <c r="R925" s="5" t="s">
        <v>32</v>
      </c>
      <c r="S925" s="5" t="s">
        <v>53</v>
      </c>
      <c r="T925" s="6">
        <v>8</v>
      </c>
      <c r="U925" s="6">
        <v>8</v>
      </c>
      <c r="V925" s="5" t="s">
        <v>54</v>
      </c>
      <c r="W925" s="8"/>
      <c r="Y925">
        <f t="shared" si="17"/>
        <v>100</v>
      </c>
    </row>
    <row r="926" spans="1:25" ht="15.75" customHeight="1">
      <c r="A926" s="5" t="s">
        <v>1829</v>
      </c>
      <c r="B926" s="6">
        <v>68</v>
      </c>
      <c r="C926" s="5" t="s">
        <v>47</v>
      </c>
      <c r="D926" s="6" t="s">
        <v>876</v>
      </c>
      <c r="E926" s="6"/>
      <c r="F926" s="6" t="s">
        <v>824</v>
      </c>
      <c r="G926" s="6">
        <v>8</v>
      </c>
      <c r="H926" s="5" t="s">
        <v>83</v>
      </c>
      <c r="I926" s="6">
        <v>4</v>
      </c>
      <c r="J926" s="5" t="s">
        <v>97</v>
      </c>
      <c r="K926" s="6">
        <v>47815</v>
      </c>
      <c r="L926" s="5" t="s">
        <v>90</v>
      </c>
      <c r="M926" s="5" t="s">
        <v>27</v>
      </c>
      <c r="N926" s="5" t="s">
        <v>28</v>
      </c>
      <c r="O926" s="6" t="s">
        <v>962</v>
      </c>
      <c r="P926" s="6" t="s">
        <v>1830</v>
      </c>
      <c r="Q926" s="5" t="s">
        <v>86</v>
      </c>
      <c r="R926" s="5" t="s">
        <v>32</v>
      </c>
      <c r="S926" s="5" t="s">
        <v>33</v>
      </c>
      <c r="T926" s="6">
        <v>8</v>
      </c>
      <c r="U926" s="6">
        <v>12</v>
      </c>
      <c r="V926" s="5" t="s">
        <v>34</v>
      </c>
      <c r="W926" s="8"/>
      <c r="Y926">
        <f t="shared" si="17"/>
        <v>66.666666666666657</v>
      </c>
    </row>
    <row r="927" spans="1:25" ht="15.75" customHeight="1">
      <c r="A927" s="5" t="s">
        <v>1831</v>
      </c>
      <c r="B927" s="6">
        <v>19</v>
      </c>
      <c r="C927" s="5" t="s">
        <v>47</v>
      </c>
      <c r="D927" s="7">
        <v>44996</v>
      </c>
      <c r="E927" s="7"/>
      <c r="F927" s="6" t="s">
        <v>278</v>
      </c>
      <c r="G927" s="6">
        <v>15</v>
      </c>
      <c r="H927" s="5" t="s">
        <v>24</v>
      </c>
      <c r="I927" s="6">
        <v>2</v>
      </c>
      <c r="J927" s="5" t="s">
        <v>52</v>
      </c>
      <c r="K927" s="6">
        <v>23617</v>
      </c>
      <c r="L927" s="5" t="s">
        <v>65</v>
      </c>
      <c r="M927" s="5" t="s">
        <v>27</v>
      </c>
      <c r="N927" s="5" t="s">
        <v>28</v>
      </c>
      <c r="O927" s="6" t="s">
        <v>650</v>
      </c>
      <c r="P927" s="6" t="s">
        <v>1832</v>
      </c>
      <c r="Q927" s="5" t="s">
        <v>31</v>
      </c>
      <c r="R927" s="5" t="s">
        <v>32</v>
      </c>
      <c r="S927" s="5" t="s">
        <v>33</v>
      </c>
      <c r="T927" s="6">
        <v>9</v>
      </c>
      <c r="U927" s="6">
        <v>8</v>
      </c>
      <c r="V927" s="5" t="s">
        <v>54</v>
      </c>
      <c r="W927" s="8"/>
      <c r="Y927">
        <f t="shared" si="17"/>
        <v>112.5</v>
      </c>
    </row>
    <row r="928" spans="1:25" ht="15.75" customHeight="1">
      <c r="A928" s="5" t="s">
        <v>1833</v>
      </c>
      <c r="B928" s="6">
        <v>84</v>
      </c>
      <c r="C928" s="5" t="s">
        <v>51</v>
      </c>
      <c r="D928" s="7">
        <v>45568</v>
      </c>
      <c r="E928" s="7"/>
      <c r="F928" s="6" t="s">
        <v>381</v>
      </c>
      <c r="G928" s="6">
        <v>7</v>
      </c>
      <c r="H928" s="5" t="s">
        <v>58</v>
      </c>
      <c r="I928" s="6">
        <v>5</v>
      </c>
      <c r="J928" s="5" t="s">
        <v>89</v>
      </c>
      <c r="K928" s="6">
        <v>32115</v>
      </c>
      <c r="L928" s="5" t="s">
        <v>90</v>
      </c>
      <c r="M928" s="5" t="s">
        <v>27</v>
      </c>
      <c r="N928" s="5" t="s">
        <v>28</v>
      </c>
      <c r="O928" s="7">
        <v>45476</v>
      </c>
      <c r="P928" s="7">
        <v>45476.791666666664</v>
      </c>
      <c r="Q928" s="5" t="s">
        <v>31</v>
      </c>
      <c r="R928" s="5" t="s">
        <v>32</v>
      </c>
      <c r="S928" s="5" t="s">
        <v>53</v>
      </c>
      <c r="T928" s="6">
        <v>7</v>
      </c>
      <c r="U928" s="6">
        <v>8</v>
      </c>
      <c r="V928" s="5" t="s">
        <v>54</v>
      </c>
      <c r="W928" s="8"/>
      <c r="Y928">
        <f t="shared" si="17"/>
        <v>87.5</v>
      </c>
    </row>
    <row r="929" spans="1:25" ht="15.75" customHeight="1">
      <c r="A929" s="5" t="s">
        <v>1834</v>
      </c>
      <c r="B929" s="6">
        <v>20</v>
      </c>
      <c r="C929" s="5" t="s">
        <v>82</v>
      </c>
      <c r="D929" s="6" t="s">
        <v>1302</v>
      </c>
      <c r="E929" s="6"/>
      <c r="F929" s="6" t="s">
        <v>592</v>
      </c>
      <c r="G929" s="6">
        <v>6</v>
      </c>
      <c r="H929" s="5" t="s">
        <v>46</v>
      </c>
      <c r="I929" s="6">
        <v>4</v>
      </c>
      <c r="J929" s="5" t="s">
        <v>97</v>
      </c>
      <c r="K929" s="6">
        <v>42376</v>
      </c>
      <c r="L929" s="5" t="s">
        <v>65</v>
      </c>
      <c r="M929" s="5" t="s">
        <v>27</v>
      </c>
      <c r="N929" s="5" t="s">
        <v>28</v>
      </c>
      <c r="O929" s="6" t="s">
        <v>1302</v>
      </c>
      <c r="P929" s="6" t="s">
        <v>1835</v>
      </c>
      <c r="Q929" s="5" t="s">
        <v>43</v>
      </c>
      <c r="R929" s="5" t="s">
        <v>32</v>
      </c>
      <c r="S929" s="5" t="s">
        <v>33</v>
      </c>
      <c r="T929" s="6">
        <v>7</v>
      </c>
      <c r="U929" s="6">
        <v>8</v>
      </c>
      <c r="V929" s="5" t="s">
        <v>92</v>
      </c>
      <c r="W929" s="8"/>
      <c r="Y929">
        <f t="shared" si="17"/>
        <v>87.5</v>
      </c>
    </row>
    <row r="930" spans="1:25" ht="15.75" customHeight="1">
      <c r="A930" s="5" t="s">
        <v>1836</v>
      </c>
      <c r="B930" s="6">
        <v>12</v>
      </c>
      <c r="C930" s="5" t="s">
        <v>51</v>
      </c>
      <c r="D930" s="7">
        <v>45630</v>
      </c>
      <c r="E930" s="7"/>
      <c r="F930" s="6" t="s">
        <v>170</v>
      </c>
      <c r="G930" s="6">
        <v>3</v>
      </c>
      <c r="H930" s="5" t="s">
        <v>83</v>
      </c>
      <c r="I930" s="6">
        <v>3</v>
      </c>
      <c r="J930" s="5" t="s">
        <v>39</v>
      </c>
      <c r="K930" s="6">
        <v>16906</v>
      </c>
      <c r="L930" s="5" t="s">
        <v>90</v>
      </c>
      <c r="M930" s="5" t="s">
        <v>27</v>
      </c>
      <c r="N930" s="5" t="s">
        <v>28</v>
      </c>
      <c r="O930" s="7">
        <v>45630</v>
      </c>
      <c r="P930" s="7">
        <v>45630.875</v>
      </c>
      <c r="Q930" s="5" t="s">
        <v>86</v>
      </c>
      <c r="R930" s="5" t="s">
        <v>32</v>
      </c>
      <c r="S930" s="5" t="s">
        <v>33</v>
      </c>
      <c r="T930" s="6">
        <v>7</v>
      </c>
      <c r="U930" s="6">
        <v>10</v>
      </c>
      <c r="V930" s="5" t="s">
        <v>92</v>
      </c>
      <c r="W930" s="8"/>
      <c r="Y930">
        <f t="shared" si="17"/>
        <v>70</v>
      </c>
    </row>
    <row r="931" spans="1:25" ht="15.75" customHeight="1">
      <c r="A931" s="5" t="s">
        <v>1837</v>
      </c>
      <c r="B931" s="6">
        <v>47</v>
      </c>
      <c r="C931" s="5" t="s">
        <v>47</v>
      </c>
      <c r="D931" s="7">
        <v>45088</v>
      </c>
      <c r="E931" s="7"/>
      <c r="F931" s="6" t="s">
        <v>399</v>
      </c>
      <c r="G931" s="6">
        <v>8</v>
      </c>
      <c r="H931" s="5" t="s">
        <v>24</v>
      </c>
      <c r="I931" s="6">
        <v>2</v>
      </c>
      <c r="J931" s="5" t="s">
        <v>39</v>
      </c>
      <c r="K931" s="6">
        <v>45002</v>
      </c>
      <c r="L931" s="5" t="s">
        <v>65</v>
      </c>
      <c r="M931" s="5" t="s">
        <v>66</v>
      </c>
      <c r="N931" s="5" t="s">
        <v>47</v>
      </c>
      <c r="O931" s="7">
        <v>44968</v>
      </c>
      <c r="P931" s="7">
        <v>44996.083333333336</v>
      </c>
      <c r="Q931" s="5" t="s">
        <v>86</v>
      </c>
      <c r="R931" s="5" t="s">
        <v>44</v>
      </c>
      <c r="S931" s="5" t="s">
        <v>53</v>
      </c>
      <c r="T931" s="6">
        <v>4</v>
      </c>
      <c r="U931" s="6">
        <v>8</v>
      </c>
      <c r="V931" s="5" t="s">
        <v>54</v>
      </c>
      <c r="W931" s="8"/>
      <c r="Y931">
        <f t="shared" si="17"/>
        <v>50</v>
      </c>
    </row>
    <row r="932" spans="1:25" ht="15.75" customHeight="1">
      <c r="A932" s="5" t="s">
        <v>1838</v>
      </c>
      <c r="B932" s="6">
        <v>1</v>
      </c>
      <c r="C932" s="5" t="s">
        <v>22</v>
      </c>
      <c r="D932" s="6" t="s">
        <v>111</v>
      </c>
      <c r="E932" s="6"/>
      <c r="F932" s="7">
        <v>45024</v>
      </c>
      <c r="G932" s="6">
        <v>12</v>
      </c>
      <c r="H932" s="5" t="s">
        <v>58</v>
      </c>
      <c r="I932" s="6">
        <v>2</v>
      </c>
      <c r="J932" s="5" t="s">
        <v>89</v>
      </c>
      <c r="K932" s="6">
        <v>11610</v>
      </c>
      <c r="L932" s="5" t="s">
        <v>65</v>
      </c>
      <c r="M932" s="5" t="s">
        <v>66</v>
      </c>
      <c r="N932" s="5" t="s">
        <v>28</v>
      </c>
      <c r="O932" s="6" t="s">
        <v>1395</v>
      </c>
      <c r="P932" s="6" t="s">
        <v>1839</v>
      </c>
      <c r="Q932" s="5" t="s">
        <v>48</v>
      </c>
      <c r="R932" s="5" t="s">
        <v>32</v>
      </c>
      <c r="S932" s="5" t="s">
        <v>33</v>
      </c>
      <c r="T932" s="6">
        <v>10</v>
      </c>
      <c r="U932" s="6">
        <v>10</v>
      </c>
      <c r="V932" s="5" t="s">
        <v>92</v>
      </c>
      <c r="W932" s="8"/>
      <c r="Y932">
        <f t="shared" si="17"/>
        <v>100</v>
      </c>
    </row>
    <row r="933" spans="1:25" ht="15.75" customHeight="1">
      <c r="A933" s="5" t="s">
        <v>1840</v>
      </c>
      <c r="B933" s="6">
        <v>14</v>
      </c>
      <c r="C933" s="5" t="s">
        <v>47</v>
      </c>
      <c r="D933" s="6" t="s">
        <v>231</v>
      </c>
      <c r="E933" s="6"/>
      <c r="F933" s="7">
        <v>45445</v>
      </c>
      <c r="G933" s="6">
        <v>8</v>
      </c>
      <c r="H933" s="5" t="s">
        <v>24</v>
      </c>
      <c r="I933" s="6">
        <v>5</v>
      </c>
      <c r="J933" s="5" t="s">
        <v>52</v>
      </c>
      <c r="K933" s="6">
        <v>48292</v>
      </c>
      <c r="L933" s="5" t="s">
        <v>90</v>
      </c>
      <c r="M933" s="5" t="s">
        <v>27</v>
      </c>
      <c r="N933" s="5" t="s">
        <v>28</v>
      </c>
      <c r="O933" s="6" t="s">
        <v>354</v>
      </c>
      <c r="P933" s="6" t="s">
        <v>231</v>
      </c>
      <c r="Q933" s="5" t="s">
        <v>48</v>
      </c>
      <c r="R933" s="5" t="s">
        <v>32</v>
      </c>
      <c r="S933" s="5" t="s">
        <v>33</v>
      </c>
      <c r="T933" s="6">
        <v>8</v>
      </c>
      <c r="U933" s="6">
        <v>8</v>
      </c>
      <c r="V933" s="5" t="s">
        <v>54</v>
      </c>
      <c r="W933" s="8"/>
      <c r="Y933">
        <f t="shared" si="17"/>
        <v>100</v>
      </c>
    </row>
    <row r="934" spans="1:25" ht="15.75" customHeight="1">
      <c r="A934" s="5" t="s">
        <v>1841</v>
      </c>
      <c r="B934" s="6">
        <v>64</v>
      </c>
      <c r="C934" s="5" t="s">
        <v>22</v>
      </c>
      <c r="D934" s="7">
        <v>45540</v>
      </c>
      <c r="E934" s="7"/>
      <c r="F934" s="6" t="s">
        <v>420</v>
      </c>
      <c r="G934" s="6">
        <v>6</v>
      </c>
      <c r="H934" s="5" t="s">
        <v>38</v>
      </c>
      <c r="I934" s="6">
        <v>5</v>
      </c>
      <c r="J934" s="5" t="s">
        <v>25</v>
      </c>
      <c r="K934" s="6">
        <v>18411</v>
      </c>
      <c r="L934" s="5" t="s">
        <v>90</v>
      </c>
      <c r="M934" s="5" t="s">
        <v>66</v>
      </c>
      <c r="N934" s="5" t="s">
        <v>47</v>
      </c>
      <c r="O934" s="7">
        <v>45417</v>
      </c>
      <c r="P934" s="7">
        <v>45417.875</v>
      </c>
      <c r="Q934" s="5" t="s">
        <v>86</v>
      </c>
      <c r="R934" s="5" t="s">
        <v>32</v>
      </c>
      <c r="S934" s="5" t="s">
        <v>33</v>
      </c>
      <c r="T934" s="6">
        <v>5</v>
      </c>
      <c r="U934" s="6">
        <v>8</v>
      </c>
      <c r="V934" s="5" t="s">
        <v>54</v>
      </c>
      <c r="W934" s="8"/>
      <c r="Y934">
        <f t="shared" si="17"/>
        <v>62.5</v>
      </c>
    </row>
    <row r="935" spans="1:25" ht="15.75" customHeight="1">
      <c r="A935" s="5" t="s">
        <v>1842</v>
      </c>
      <c r="B935" s="6">
        <v>38</v>
      </c>
      <c r="C935" s="5" t="s">
        <v>62</v>
      </c>
      <c r="D935" s="6" t="s">
        <v>72</v>
      </c>
      <c r="E935" s="6"/>
      <c r="F935" s="7">
        <v>45051</v>
      </c>
      <c r="G935" s="6">
        <v>15</v>
      </c>
      <c r="H935" s="5" t="s">
        <v>38</v>
      </c>
      <c r="I935" s="6">
        <v>1</v>
      </c>
      <c r="J935" s="5" t="s">
        <v>89</v>
      </c>
      <c r="K935" s="6">
        <v>14180</v>
      </c>
      <c r="L935" s="5" t="s">
        <v>65</v>
      </c>
      <c r="M935" s="5" t="s">
        <v>66</v>
      </c>
      <c r="N935" s="5" t="s">
        <v>28</v>
      </c>
      <c r="O935" s="6" t="s">
        <v>571</v>
      </c>
      <c r="P935" s="6" t="s">
        <v>1843</v>
      </c>
      <c r="Q935" s="5" t="s">
        <v>43</v>
      </c>
      <c r="R935" s="5" t="s">
        <v>32</v>
      </c>
      <c r="S935" s="5" t="s">
        <v>33</v>
      </c>
      <c r="T935" s="6">
        <v>4</v>
      </c>
      <c r="U935" s="6">
        <v>10</v>
      </c>
      <c r="V935" s="5" t="s">
        <v>34</v>
      </c>
      <c r="W935" s="8"/>
      <c r="Y935">
        <f t="shared" si="17"/>
        <v>40</v>
      </c>
    </row>
    <row r="936" spans="1:25" ht="15.75" customHeight="1">
      <c r="A936" s="5" t="s">
        <v>1844</v>
      </c>
      <c r="B936" s="6">
        <v>37</v>
      </c>
      <c r="C936" s="5" t="s">
        <v>36</v>
      </c>
      <c r="D936" s="6" t="s">
        <v>612</v>
      </c>
      <c r="E936" s="6"/>
      <c r="F936" s="6" t="s">
        <v>591</v>
      </c>
      <c r="G936" s="6">
        <v>13</v>
      </c>
      <c r="H936" s="5" t="s">
        <v>73</v>
      </c>
      <c r="I936" s="6">
        <v>1</v>
      </c>
      <c r="J936" s="5" t="s">
        <v>97</v>
      </c>
      <c r="K936" s="6">
        <v>15073</v>
      </c>
      <c r="L936" s="5" t="s">
        <v>40</v>
      </c>
      <c r="M936" s="5" t="s">
        <v>66</v>
      </c>
      <c r="N936" s="5" t="s">
        <v>28</v>
      </c>
      <c r="O936" s="6" t="s">
        <v>612</v>
      </c>
      <c r="P936" s="7">
        <v>44935.208333333336</v>
      </c>
      <c r="Q936" s="5" t="s">
        <v>86</v>
      </c>
      <c r="R936" s="5" t="s">
        <v>32</v>
      </c>
      <c r="S936" s="5" t="s">
        <v>53</v>
      </c>
      <c r="T936" s="6">
        <v>4</v>
      </c>
      <c r="U936" s="6">
        <v>10</v>
      </c>
      <c r="V936" s="5" t="s">
        <v>92</v>
      </c>
      <c r="W936" s="8"/>
      <c r="Y936">
        <f t="shared" si="17"/>
        <v>40</v>
      </c>
    </row>
    <row r="937" spans="1:25" ht="15.75" customHeight="1">
      <c r="A937" s="5" t="s">
        <v>1845</v>
      </c>
      <c r="B937" s="6">
        <v>11</v>
      </c>
      <c r="C937" s="5" t="s">
        <v>47</v>
      </c>
      <c r="D937" s="6" t="s">
        <v>216</v>
      </c>
      <c r="E937" s="6"/>
      <c r="F937" s="7">
        <v>45384</v>
      </c>
      <c r="G937" s="6">
        <v>9</v>
      </c>
      <c r="H937" s="5" t="s">
        <v>46</v>
      </c>
      <c r="I937" s="6">
        <v>1</v>
      </c>
      <c r="J937" s="5" t="s">
        <v>97</v>
      </c>
      <c r="K937" s="6">
        <v>42251</v>
      </c>
      <c r="L937" s="5" t="s">
        <v>90</v>
      </c>
      <c r="M937" s="5" t="s">
        <v>27</v>
      </c>
      <c r="N937" s="5" t="s">
        <v>28</v>
      </c>
      <c r="O937" s="6" t="s">
        <v>355</v>
      </c>
      <c r="P937" s="6" t="s">
        <v>1846</v>
      </c>
      <c r="Q937" s="5" t="s">
        <v>48</v>
      </c>
      <c r="R937" s="5" t="s">
        <v>32</v>
      </c>
      <c r="S937" s="5" t="s">
        <v>49</v>
      </c>
      <c r="T937" s="6">
        <v>4</v>
      </c>
      <c r="U937" s="6">
        <v>12</v>
      </c>
      <c r="V937" s="5" t="s">
        <v>92</v>
      </c>
      <c r="W937" s="8"/>
      <c r="Y937">
        <f t="shared" si="17"/>
        <v>33.333333333333329</v>
      </c>
    </row>
    <row r="938" spans="1:25" ht="15.75" customHeight="1">
      <c r="A938" s="5" t="s">
        <v>1847</v>
      </c>
      <c r="B938" s="6">
        <v>77</v>
      </c>
      <c r="C938" s="5" t="s">
        <v>51</v>
      </c>
      <c r="D938" s="7">
        <v>45352</v>
      </c>
      <c r="E938" s="7"/>
      <c r="F938" s="7">
        <v>45505</v>
      </c>
      <c r="G938" s="6">
        <v>5</v>
      </c>
      <c r="H938" s="5" t="s">
        <v>38</v>
      </c>
      <c r="I938" s="6">
        <v>5</v>
      </c>
      <c r="J938" s="5" t="s">
        <v>39</v>
      </c>
      <c r="K938" s="6">
        <v>35960</v>
      </c>
      <c r="L938" s="5" t="s">
        <v>26</v>
      </c>
      <c r="M938" s="5" t="s">
        <v>66</v>
      </c>
      <c r="N938" s="5" t="s">
        <v>47</v>
      </c>
      <c r="O938" s="6" t="s">
        <v>235</v>
      </c>
      <c r="P938" s="6" t="s">
        <v>1848</v>
      </c>
      <c r="Q938" s="5" t="s">
        <v>86</v>
      </c>
      <c r="R938" s="5" t="s">
        <v>32</v>
      </c>
      <c r="S938" s="5" t="s">
        <v>49</v>
      </c>
      <c r="T938" s="6">
        <v>9</v>
      </c>
      <c r="U938" s="6">
        <v>8</v>
      </c>
      <c r="V938" s="5" t="s">
        <v>92</v>
      </c>
      <c r="W938" s="8"/>
      <c r="Y938">
        <f t="shared" si="17"/>
        <v>112.5</v>
      </c>
    </row>
    <row r="939" spans="1:25" ht="15.75" customHeight="1">
      <c r="A939" s="5" t="s">
        <v>1849</v>
      </c>
      <c r="B939" s="6">
        <v>3</v>
      </c>
      <c r="C939" s="5" t="s">
        <v>62</v>
      </c>
      <c r="D939" s="6" t="s">
        <v>650</v>
      </c>
      <c r="E939" s="6"/>
      <c r="F939" s="7">
        <v>45271</v>
      </c>
      <c r="G939" s="6">
        <v>13</v>
      </c>
      <c r="H939" s="5" t="s">
        <v>24</v>
      </c>
      <c r="I939" s="6">
        <v>1</v>
      </c>
      <c r="J939" s="5" t="s">
        <v>97</v>
      </c>
      <c r="K939" s="6">
        <v>10901</v>
      </c>
      <c r="L939" s="5" t="s">
        <v>80</v>
      </c>
      <c r="M939" s="5" t="s">
        <v>27</v>
      </c>
      <c r="N939" s="5" t="s">
        <v>28</v>
      </c>
      <c r="O939" s="6" t="s">
        <v>1306</v>
      </c>
      <c r="P939" s="6" t="s">
        <v>1850</v>
      </c>
      <c r="Q939" s="5" t="s">
        <v>48</v>
      </c>
      <c r="R939" s="5" t="s">
        <v>32</v>
      </c>
      <c r="S939" s="5" t="s">
        <v>33</v>
      </c>
      <c r="T939" s="6">
        <v>11</v>
      </c>
      <c r="U939" s="6">
        <v>10</v>
      </c>
      <c r="V939" s="5" t="s">
        <v>34</v>
      </c>
      <c r="W939" s="8"/>
      <c r="Y939">
        <f t="shared" si="17"/>
        <v>110.00000000000001</v>
      </c>
    </row>
    <row r="940" spans="1:25" ht="15.75" customHeight="1">
      <c r="A940" s="5" t="s">
        <v>1851</v>
      </c>
      <c r="B940" s="6">
        <v>33</v>
      </c>
      <c r="C940" s="5" t="s">
        <v>36</v>
      </c>
      <c r="D940" s="6" t="s">
        <v>650</v>
      </c>
      <c r="E940" s="6"/>
      <c r="F940" s="7">
        <v>44937</v>
      </c>
      <c r="G940" s="6">
        <v>2</v>
      </c>
      <c r="H940" s="5" t="s">
        <v>46</v>
      </c>
      <c r="I940" s="6">
        <v>1</v>
      </c>
      <c r="J940" s="5" t="s">
        <v>89</v>
      </c>
      <c r="K940" s="6">
        <v>43897</v>
      </c>
      <c r="L940" s="5" t="s">
        <v>65</v>
      </c>
      <c r="M940" s="5" t="s">
        <v>66</v>
      </c>
      <c r="N940" s="5" t="s">
        <v>28</v>
      </c>
      <c r="O940" s="6" t="s">
        <v>1413</v>
      </c>
      <c r="P940" s="6" t="s">
        <v>1852</v>
      </c>
      <c r="Q940" s="5" t="s">
        <v>86</v>
      </c>
      <c r="R940" s="5" t="s">
        <v>32</v>
      </c>
      <c r="S940" s="5" t="s">
        <v>53</v>
      </c>
      <c r="T940" s="6">
        <v>10</v>
      </c>
      <c r="U940" s="6">
        <v>12</v>
      </c>
      <c r="V940" s="5" t="s">
        <v>34</v>
      </c>
      <c r="W940" s="8"/>
      <c r="Y940">
        <f t="shared" si="17"/>
        <v>83.333333333333343</v>
      </c>
    </row>
    <row r="941" spans="1:25" ht="15.75" customHeight="1">
      <c r="A941" s="5" t="s">
        <v>1853</v>
      </c>
      <c r="B941" s="6">
        <v>6</v>
      </c>
      <c r="C941" s="5" t="s">
        <v>51</v>
      </c>
      <c r="D941" s="6" t="s">
        <v>724</v>
      </c>
      <c r="E941" s="6"/>
      <c r="F941" s="7">
        <v>45018</v>
      </c>
      <c r="G941" s="6">
        <v>12</v>
      </c>
      <c r="H941" s="5" t="s">
        <v>38</v>
      </c>
      <c r="I941" s="6">
        <v>3</v>
      </c>
      <c r="J941" s="5" t="s">
        <v>97</v>
      </c>
      <c r="K941" s="6">
        <v>48183</v>
      </c>
      <c r="L941" s="5" t="s">
        <v>65</v>
      </c>
      <c r="M941" s="5" t="s">
        <v>27</v>
      </c>
      <c r="N941" s="5" t="s">
        <v>47</v>
      </c>
      <c r="O941" s="6" t="s">
        <v>41</v>
      </c>
      <c r="P941" s="6" t="s">
        <v>1854</v>
      </c>
      <c r="Q941" s="5" t="s">
        <v>69</v>
      </c>
      <c r="R941" s="5" t="s">
        <v>32</v>
      </c>
      <c r="S941" s="5" t="s">
        <v>53</v>
      </c>
      <c r="T941" s="6">
        <v>10</v>
      </c>
      <c r="U941" s="6">
        <v>12</v>
      </c>
      <c r="V941" s="5" t="s">
        <v>34</v>
      </c>
      <c r="W941" s="8"/>
      <c r="Y941">
        <f t="shared" si="17"/>
        <v>83.333333333333343</v>
      </c>
    </row>
    <row r="942" spans="1:25" ht="15.75" customHeight="1">
      <c r="A942" s="5" t="s">
        <v>1855</v>
      </c>
      <c r="B942" s="6">
        <v>50</v>
      </c>
      <c r="C942" s="5" t="s">
        <v>82</v>
      </c>
      <c r="D942" s="7">
        <v>45567</v>
      </c>
      <c r="E942" s="7"/>
      <c r="F942" s="6" t="s">
        <v>565</v>
      </c>
      <c r="G942" s="6">
        <v>7</v>
      </c>
      <c r="H942" s="5" t="s">
        <v>73</v>
      </c>
      <c r="I942" s="6">
        <v>1</v>
      </c>
      <c r="J942" s="5" t="s">
        <v>89</v>
      </c>
      <c r="K942" s="6">
        <v>9482</v>
      </c>
      <c r="L942" s="5" t="s">
        <v>80</v>
      </c>
      <c r="M942" s="5" t="s">
        <v>66</v>
      </c>
      <c r="N942" s="5" t="s">
        <v>28</v>
      </c>
      <c r="O942" s="7">
        <v>45567</v>
      </c>
      <c r="P942" s="7">
        <v>45598.583333333336</v>
      </c>
      <c r="Q942" s="5" t="s">
        <v>48</v>
      </c>
      <c r="R942" s="5" t="s">
        <v>32</v>
      </c>
      <c r="S942" s="5" t="s">
        <v>33</v>
      </c>
      <c r="T942" s="6">
        <v>5</v>
      </c>
      <c r="U942" s="6">
        <v>10</v>
      </c>
      <c r="V942" s="5" t="s">
        <v>92</v>
      </c>
      <c r="W942" s="8"/>
      <c r="Y942">
        <f t="shared" si="17"/>
        <v>50</v>
      </c>
    </row>
    <row r="943" spans="1:25" ht="15.75" customHeight="1">
      <c r="A943" s="5" t="s">
        <v>1856</v>
      </c>
      <c r="B943" s="6">
        <v>10</v>
      </c>
      <c r="C943" s="5" t="s">
        <v>51</v>
      </c>
      <c r="D943" s="7">
        <v>45179</v>
      </c>
      <c r="E943" s="7"/>
      <c r="F943" s="7">
        <v>45240</v>
      </c>
      <c r="G943" s="6">
        <v>2</v>
      </c>
      <c r="H943" s="5" t="s">
        <v>83</v>
      </c>
      <c r="I943" s="6">
        <v>2</v>
      </c>
      <c r="J943" s="5" t="s">
        <v>25</v>
      </c>
      <c r="K943" s="6">
        <v>47454</v>
      </c>
      <c r="L943" s="5" t="s">
        <v>40</v>
      </c>
      <c r="M943" s="5" t="s">
        <v>27</v>
      </c>
      <c r="N943" s="5" t="s">
        <v>28</v>
      </c>
      <c r="O943" s="7">
        <v>45179</v>
      </c>
      <c r="P943" s="7">
        <v>45179.291666666664</v>
      </c>
      <c r="Q943" s="5" t="s">
        <v>43</v>
      </c>
      <c r="R943" s="5" t="s">
        <v>32</v>
      </c>
      <c r="S943" s="5" t="s">
        <v>49</v>
      </c>
      <c r="T943" s="6">
        <v>11</v>
      </c>
      <c r="U943" s="6">
        <v>8</v>
      </c>
      <c r="V943" s="5" t="s">
        <v>92</v>
      </c>
      <c r="W943" s="8"/>
      <c r="Y943">
        <f t="shared" si="17"/>
        <v>137.5</v>
      </c>
    </row>
    <row r="944" spans="1:25" ht="15.75" customHeight="1">
      <c r="A944" s="5" t="s">
        <v>1857</v>
      </c>
      <c r="B944" s="6">
        <v>5</v>
      </c>
      <c r="C944" s="5" t="s">
        <v>22</v>
      </c>
      <c r="D944" s="7">
        <v>45170</v>
      </c>
      <c r="E944" s="7"/>
      <c r="F944" s="6" t="s">
        <v>607</v>
      </c>
      <c r="G944" s="6">
        <v>7</v>
      </c>
      <c r="H944" s="5" t="s">
        <v>73</v>
      </c>
      <c r="I944" s="6">
        <v>5</v>
      </c>
      <c r="J944" s="5" t="s">
        <v>39</v>
      </c>
      <c r="K944" s="6">
        <v>30428</v>
      </c>
      <c r="L944" s="5" t="s">
        <v>80</v>
      </c>
      <c r="M944" s="5" t="s">
        <v>66</v>
      </c>
      <c r="N944" s="5" t="s">
        <v>47</v>
      </c>
      <c r="O944" s="7">
        <v>45047</v>
      </c>
      <c r="P944" s="7">
        <v>45047.416666666664</v>
      </c>
      <c r="Q944" s="5" t="s">
        <v>69</v>
      </c>
      <c r="R944" s="5" t="s">
        <v>32</v>
      </c>
      <c r="S944" s="5" t="s">
        <v>33</v>
      </c>
      <c r="T944" s="6">
        <v>7</v>
      </c>
      <c r="U944" s="6">
        <v>12</v>
      </c>
      <c r="V944" s="5" t="s">
        <v>92</v>
      </c>
      <c r="W944" s="8"/>
      <c r="Y944">
        <f t="shared" si="17"/>
        <v>58.333333333333336</v>
      </c>
    </row>
    <row r="945" spans="1:25" ht="15.75" customHeight="1">
      <c r="A945" s="5" t="s">
        <v>1858</v>
      </c>
      <c r="B945" s="6">
        <v>23</v>
      </c>
      <c r="C945" s="5" t="s">
        <v>22</v>
      </c>
      <c r="D945" s="6" t="s">
        <v>787</v>
      </c>
      <c r="E945" s="6"/>
      <c r="F945" s="7">
        <v>44960</v>
      </c>
      <c r="G945" s="6">
        <v>10</v>
      </c>
      <c r="H945" s="5" t="s">
        <v>58</v>
      </c>
      <c r="I945" s="6">
        <v>4</v>
      </c>
      <c r="J945" s="5" t="s">
        <v>97</v>
      </c>
      <c r="K945" s="6">
        <v>12400</v>
      </c>
      <c r="L945" s="5" t="s">
        <v>90</v>
      </c>
      <c r="M945" s="5" t="s">
        <v>27</v>
      </c>
      <c r="N945" s="5" t="s">
        <v>28</v>
      </c>
      <c r="O945" s="6" t="s">
        <v>934</v>
      </c>
      <c r="P945" s="6" t="s">
        <v>1859</v>
      </c>
      <c r="Q945" s="5" t="s">
        <v>86</v>
      </c>
      <c r="R945" s="5" t="s">
        <v>32</v>
      </c>
      <c r="S945" s="5" t="s">
        <v>53</v>
      </c>
      <c r="T945" s="6">
        <v>9</v>
      </c>
      <c r="U945" s="6">
        <v>8</v>
      </c>
      <c r="V945" s="5" t="s">
        <v>34</v>
      </c>
      <c r="W945" s="8"/>
      <c r="Y945">
        <f t="shared" si="17"/>
        <v>112.5</v>
      </c>
    </row>
    <row r="946" spans="1:25" ht="15.75" customHeight="1">
      <c r="A946" s="5" t="s">
        <v>1860</v>
      </c>
      <c r="B946" s="6">
        <v>10</v>
      </c>
      <c r="C946" s="5" t="s">
        <v>82</v>
      </c>
      <c r="D946" s="6" t="s">
        <v>332</v>
      </c>
      <c r="E946" s="6"/>
      <c r="F946" s="7">
        <v>45449</v>
      </c>
      <c r="G946" s="6">
        <v>14</v>
      </c>
      <c r="H946" s="5" t="s">
        <v>38</v>
      </c>
      <c r="I946" s="6">
        <v>3</v>
      </c>
      <c r="J946" s="5" t="s">
        <v>89</v>
      </c>
      <c r="K946" s="6">
        <v>44574</v>
      </c>
      <c r="L946" s="5" t="s">
        <v>80</v>
      </c>
      <c r="M946" s="5" t="s">
        <v>66</v>
      </c>
      <c r="N946" s="5" t="s">
        <v>28</v>
      </c>
      <c r="O946" s="6" t="s">
        <v>294</v>
      </c>
      <c r="P946" s="6" t="s">
        <v>1861</v>
      </c>
      <c r="Q946" s="5" t="s">
        <v>48</v>
      </c>
      <c r="R946" s="5" t="s">
        <v>32</v>
      </c>
      <c r="S946" s="5" t="s">
        <v>53</v>
      </c>
      <c r="T946" s="6">
        <v>8</v>
      </c>
      <c r="U946" s="6">
        <v>8</v>
      </c>
      <c r="V946" s="5" t="s">
        <v>34</v>
      </c>
      <c r="W946" s="8"/>
      <c r="Y946">
        <f t="shared" si="17"/>
        <v>100</v>
      </c>
    </row>
    <row r="947" spans="1:25" ht="15.75" customHeight="1">
      <c r="A947" s="5" t="s">
        <v>1862</v>
      </c>
      <c r="B947" s="6">
        <v>44</v>
      </c>
      <c r="C947" s="5" t="s">
        <v>62</v>
      </c>
      <c r="D947" s="6" t="s">
        <v>126</v>
      </c>
      <c r="E947" s="6"/>
      <c r="F947" s="6" t="s">
        <v>204</v>
      </c>
      <c r="G947" s="6">
        <v>3</v>
      </c>
      <c r="H947" s="5" t="s">
        <v>58</v>
      </c>
      <c r="I947" s="6">
        <v>5</v>
      </c>
      <c r="J947" s="5" t="s">
        <v>52</v>
      </c>
      <c r="K947" s="6">
        <v>48284</v>
      </c>
      <c r="L947" s="5" t="s">
        <v>65</v>
      </c>
      <c r="M947" s="5" t="s">
        <v>66</v>
      </c>
      <c r="N947" s="5" t="s">
        <v>28</v>
      </c>
      <c r="O947" s="6" t="s">
        <v>640</v>
      </c>
      <c r="P947" s="6" t="s">
        <v>1863</v>
      </c>
      <c r="Q947" s="5" t="s">
        <v>69</v>
      </c>
      <c r="R947" s="5" t="s">
        <v>32</v>
      </c>
      <c r="S947" s="5" t="s">
        <v>49</v>
      </c>
      <c r="T947" s="6">
        <v>11</v>
      </c>
      <c r="U947" s="6">
        <v>12</v>
      </c>
      <c r="V947" s="5" t="s">
        <v>54</v>
      </c>
      <c r="W947" s="8"/>
      <c r="Y947">
        <f t="shared" si="17"/>
        <v>91.666666666666657</v>
      </c>
    </row>
    <row r="948" spans="1:25" ht="15.75" customHeight="1">
      <c r="A948" s="5" t="s">
        <v>1864</v>
      </c>
      <c r="B948" s="6">
        <v>2</v>
      </c>
      <c r="C948" s="5" t="s">
        <v>36</v>
      </c>
      <c r="D948" s="6" t="s">
        <v>495</v>
      </c>
      <c r="E948" s="6"/>
      <c r="F948" s="7">
        <v>44966</v>
      </c>
      <c r="G948" s="6">
        <v>9</v>
      </c>
      <c r="H948" s="5" t="s">
        <v>58</v>
      </c>
      <c r="I948" s="6">
        <v>5</v>
      </c>
      <c r="J948" s="5" t="s">
        <v>39</v>
      </c>
      <c r="K948" s="6">
        <v>12396</v>
      </c>
      <c r="L948" s="5" t="s">
        <v>80</v>
      </c>
      <c r="M948" s="5" t="s">
        <v>66</v>
      </c>
      <c r="N948" s="5" t="s">
        <v>47</v>
      </c>
      <c r="O948" s="6" t="s">
        <v>271</v>
      </c>
      <c r="P948" s="6" t="s">
        <v>1865</v>
      </c>
      <c r="Q948" s="5" t="s">
        <v>43</v>
      </c>
      <c r="R948" s="5" t="s">
        <v>32</v>
      </c>
      <c r="S948" s="5" t="s">
        <v>53</v>
      </c>
      <c r="T948" s="6">
        <v>6</v>
      </c>
      <c r="U948" s="6">
        <v>10</v>
      </c>
      <c r="V948" s="5" t="s">
        <v>34</v>
      </c>
      <c r="W948" s="8"/>
      <c r="Y948">
        <f t="shared" si="17"/>
        <v>60</v>
      </c>
    </row>
    <row r="949" spans="1:25" ht="15.75" customHeight="1">
      <c r="A949" s="5" t="s">
        <v>1866</v>
      </c>
      <c r="B949" s="6">
        <v>13</v>
      </c>
      <c r="C949" s="5" t="s">
        <v>51</v>
      </c>
      <c r="D949" s="6" t="s">
        <v>136</v>
      </c>
      <c r="E949" s="6"/>
      <c r="F949" s="7">
        <v>45292</v>
      </c>
      <c r="G949" s="6">
        <v>5</v>
      </c>
      <c r="H949" s="5" t="s">
        <v>24</v>
      </c>
      <c r="I949" s="6">
        <v>2</v>
      </c>
      <c r="J949" s="5" t="s">
        <v>25</v>
      </c>
      <c r="K949" s="6">
        <v>12338</v>
      </c>
      <c r="L949" s="5" t="s">
        <v>26</v>
      </c>
      <c r="M949" s="5" t="s">
        <v>66</v>
      </c>
      <c r="N949" s="5" t="s">
        <v>47</v>
      </c>
      <c r="O949" s="6" t="s">
        <v>491</v>
      </c>
      <c r="P949" s="6" t="s">
        <v>1867</v>
      </c>
      <c r="Q949" s="5" t="s">
        <v>48</v>
      </c>
      <c r="R949" s="5" t="s">
        <v>32</v>
      </c>
      <c r="S949" s="5" t="s">
        <v>53</v>
      </c>
      <c r="T949" s="6">
        <v>9</v>
      </c>
      <c r="U949" s="6">
        <v>8</v>
      </c>
      <c r="V949" s="5" t="s">
        <v>54</v>
      </c>
      <c r="W949" s="8"/>
      <c r="Y949">
        <f t="shared" si="17"/>
        <v>112.5</v>
      </c>
    </row>
    <row r="950" spans="1:25" ht="15.75" customHeight="1">
      <c r="A950" s="5" t="s">
        <v>1868</v>
      </c>
      <c r="B950" s="6">
        <v>40</v>
      </c>
      <c r="C950" s="5" t="s">
        <v>22</v>
      </c>
      <c r="D950" s="6" t="s">
        <v>264</v>
      </c>
      <c r="E950" s="6"/>
      <c r="F950" s="6" t="s">
        <v>486</v>
      </c>
      <c r="G950" s="6">
        <v>6</v>
      </c>
      <c r="H950" s="5" t="s">
        <v>46</v>
      </c>
      <c r="I950" s="6">
        <v>1</v>
      </c>
      <c r="J950" s="5" t="s">
        <v>89</v>
      </c>
      <c r="K950" s="6">
        <v>47718</v>
      </c>
      <c r="L950" s="5" t="s">
        <v>90</v>
      </c>
      <c r="M950" s="5" t="s">
        <v>66</v>
      </c>
      <c r="N950" s="5" t="s">
        <v>47</v>
      </c>
      <c r="O950" s="7">
        <v>45238</v>
      </c>
      <c r="P950" s="7">
        <v>45268.125</v>
      </c>
      <c r="Q950" s="5" t="s">
        <v>69</v>
      </c>
      <c r="R950" s="5" t="s">
        <v>32</v>
      </c>
      <c r="S950" s="5" t="s">
        <v>53</v>
      </c>
      <c r="T950" s="6">
        <v>6</v>
      </c>
      <c r="U950" s="6">
        <v>10</v>
      </c>
      <c r="V950" s="5" t="s">
        <v>92</v>
      </c>
      <c r="W950" s="8"/>
      <c r="Y950">
        <f t="shared" si="17"/>
        <v>60</v>
      </c>
    </row>
    <row r="951" spans="1:25" ht="15.75" customHeight="1">
      <c r="A951" s="5" t="s">
        <v>1869</v>
      </c>
      <c r="B951" s="6">
        <v>2</v>
      </c>
      <c r="C951" s="5" t="s">
        <v>62</v>
      </c>
      <c r="D951" s="6" t="s">
        <v>541</v>
      </c>
      <c r="E951" s="6"/>
      <c r="F951" s="6" t="s">
        <v>187</v>
      </c>
      <c r="G951" s="6">
        <v>2</v>
      </c>
      <c r="H951" s="5" t="s">
        <v>24</v>
      </c>
      <c r="I951" s="6">
        <v>2</v>
      </c>
      <c r="J951" s="5" t="s">
        <v>25</v>
      </c>
      <c r="K951" s="6">
        <v>17500</v>
      </c>
      <c r="L951" s="5" t="s">
        <v>80</v>
      </c>
      <c r="M951" s="5" t="s">
        <v>66</v>
      </c>
      <c r="N951" s="5" t="s">
        <v>28</v>
      </c>
      <c r="O951" s="7">
        <v>45267</v>
      </c>
      <c r="P951" s="7">
        <v>45267.333333333336</v>
      </c>
      <c r="Q951" s="5" t="s">
        <v>69</v>
      </c>
      <c r="R951" s="5" t="s">
        <v>32</v>
      </c>
      <c r="S951" s="5" t="s">
        <v>49</v>
      </c>
      <c r="T951" s="6">
        <v>8</v>
      </c>
      <c r="U951" s="6">
        <v>12</v>
      </c>
      <c r="V951" s="5" t="s">
        <v>34</v>
      </c>
      <c r="W951" s="8"/>
      <c r="Y951">
        <f t="shared" si="17"/>
        <v>66.666666666666657</v>
      </c>
    </row>
    <row r="952" spans="1:25" ht="15.75" customHeight="1">
      <c r="A952" s="5" t="s">
        <v>1870</v>
      </c>
      <c r="B952" s="6">
        <v>84</v>
      </c>
      <c r="C952" s="5" t="s">
        <v>82</v>
      </c>
      <c r="D952" s="6" t="s">
        <v>1302</v>
      </c>
      <c r="E952" s="6"/>
      <c r="F952" s="6" t="s">
        <v>364</v>
      </c>
      <c r="G952" s="6">
        <v>2</v>
      </c>
      <c r="H952" s="5" t="s">
        <v>38</v>
      </c>
      <c r="I952" s="6">
        <v>1</v>
      </c>
      <c r="J952" s="5" t="s">
        <v>25</v>
      </c>
      <c r="K952" s="6">
        <v>16545</v>
      </c>
      <c r="L952" s="5" t="s">
        <v>65</v>
      </c>
      <c r="M952" s="5" t="s">
        <v>27</v>
      </c>
      <c r="N952" s="5" t="s">
        <v>28</v>
      </c>
      <c r="O952" s="7">
        <v>45269</v>
      </c>
      <c r="P952" s="6" t="s">
        <v>1871</v>
      </c>
      <c r="Q952" s="5" t="s">
        <v>69</v>
      </c>
      <c r="R952" s="5" t="s">
        <v>32</v>
      </c>
      <c r="S952" s="5" t="s">
        <v>53</v>
      </c>
      <c r="T952" s="6">
        <v>5</v>
      </c>
      <c r="U952" s="6">
        <v>8</v>
      </c>
      <c r="V952" s="5" t="s">
        <v>92</v>
      </c>
      <c r="W952" s="8"/>
      <c r="Y952">
        <f t="shared" si="17"/>
        <v>62.5</v>
      </c>
    </row>
    <row r="953" spans="1:25" ht="15.75" customHeight="1">
      <c r="A953" s="5" t="s">
        <v>1872</v>
      </c>
      <c r="B953" s="6">
        <v>65</v>
      </c>
      <c r="C953" s="5" t="s">
        <v>47</v>
      </c>
      <c r="D953" s="6" t="s">
        <v>756</v>
      </c>
      <c r="E953" s="6"/>
      <c r="F953" s="6" t="s">
        <v>301</v>
      </c>
      <c r="G953" s="6">
        <v>6</v>
      </c>
      <c r="H953" s="5" t="s">
        <v>58</v>
      </c>
      <c r="I953" s="6">
        <v>1</v>
      </c>
      <c r="J953" s="5" t="s">
        <v>97</v>
      </c>
      <c r="K953" s="6">
        <v>10241</v>
      </c>
      <c r="L953" s="5" t="s">
        <v>90</v>
      </c>
      <c r="M953" s="5" t="s">
        <v>27</v>
      </c>
      <c r="N953" s="5" t="s">
        <v>47</v>
      </c>
      <c r="O953" s="6" t="s">
        <v>67</v>
      </c>
      <c r="P953" s="6" t="s">
        <v>1873</v>
      </c>
      <c r="Q953" s="5" t="s">
        <v>31</v>
      </c>
      <c r="R953" s="5" t="s">
        <v>32</v>
      </c>
      <c r="S953" s="5" t="s">
        <v>33</v>
      </c>
      <c r="T953" s="6">
        <v>10</v>
      </c>
      <c r="U953" s="6">
        <v>10</v>
      </c>
      <c r="V953" s="5" t="s">
        <v>92</v>
      </c>
      <c r="W953" s="8"/>
      <c r="Y953">
        <f t="shared" si="17"/>
        <v>100</v>
      </c>
    </row>
    <row r="954" spans="1:25" ht="15.75" customHeight="1">
      <c r="A954" s="5" t="s">
        <v>1874</v>
      </c>
      <c r="B954" s="6">
        <v>63</v>
      </c>
      <c r="C954" s="5" t="s">
        <v>22</v>
      </c>
      <c r="D954" s="7">
        <v>45203</v>
      </c>
      <c r="E954" s="7"/>
      <c r="F954" s="6" t="s">
        <v>94</v>
      </c>
      <c r="G954" s="6">
        <v>11</v>
      </c>
      <c r="H954" s="5" t="s">
        <v>83</v>
      </c>
      <c r="I954" s="6">
        <v>5</v>
      </c>
      <c r="J954" s="5" t="s">
        <v>97</v>
      </c>
      <c r="K954" s="6">
        <v>28778</v>
      </c>
      <c r="L954" s="5" t="s">
        <v>65</v>
      </c>
      <c r="M954" s="5" t="s">
        <v>66</v>
      </c>
      <c r="N954" s="5" t="s">
        <v>47</v>
      </c>
      <c r="O954" s="7">
        <v>45203</v>
      </c>
      <c r="P954" s="7">
        <v>45203.583333333336</v>
      </c>
      <c r="Q954" s="5" t="s">
        <v>86</v>
      </c>
      <c r="R954" s="5" t="s">
        <v>44</v>
      </c>
      <c r="S954" s="5" t="s">
        <v>49</v>
      </c>
      <c r="T954" s="6">
        <v>6</v>
      </c>
      <c r="U954" s="6">
        <v>10</v>
      </c>
      <c r="V954" s="5" t="s">
        <v>92</v>
      </c>
      <c r="W954" s="8"/>
      <c r="Y954">
        <f t="shared" si="17"/>
        <v>60</v>
      </c>
    </row>
    <row r="955" spans="1:25" ht="15.75" customHeight="1">
      <c r="A955" s="5" t="s">
        <v>1875</v>
      </c>
      <c r="B955" s="6">
        <v>73</v>
      </c>
      <c r="C955" s="5" t="s">
        <v>82</v>
      </c>
      <c r="D955" s="7">
        <v>45201</v>
      </c>
      <c r="E955" s="7"/>
      <c r="F955" s="6" t="s">
        <v>274</v>
      </c>
      <c r="G955" s="6">
        <v>5</v>
      </c>
      <c r="H955" s="5" t="s">
        <v>58</v>
      </c>
      <c r="I955" s="6">
        <v>1</v>
      </c>
      <c r="J955" s="5" t="s">
        <v>89</v>
      </c>
      <c r="K955" s="6">
        <v>27821</v>
      </c>
      <c r="L955" s="5" t="s">
        <v>40</v>
      </c>
      <c r="M955" s="5" t="s">
        <v>27</v>
      </c>
      <c r="N955" s="5" t="s">
        <v>28</v>
      </c>
      <c r="O955" s="7">
        <v>45140</v>
      </c>
      <c r="P955" s="7">
        <v>45171.208333333336</v>
      </c>
      <c r="Q955" s="5" t="s">
        <v>48</v>
      </c>
      <c r="R955" s="5" t="s">
        <v>32</v>
      </c>
      <c r="S955" s="5" t="s">
        <v>33</v>
      </c>
      <c r="T955" s="6">
        <v>4</v>
      </c>
      <c r="U955" s="6">
        <v>8</v>
      </c>
      <c r="V955" s="5" t="s">
        <v>92</v>
      </c>
      <c r="W955" s="8"/>
      <c r="Y955">
        <f t="shared" si="17"/>
        <v>50</v>
      </c>
    </row>
    <row r="956" spans="1:25" ht="15.75" customHeight="1">
      <c r="A956" s="5" t="s">
        <v>1876</v>
      </c>
      <c r="B956" s="6">
        <v>17</v>
      </c>
      <c r="C956" s="5" t="s">
        <v>51</v>
      </c>
      <c r="D956" s="6" t="s">
        <v>917</v>
      </c>
      <c r="E956" s="6"/>
      <c r="F956" s="6" t="s">
        <v>278</v>
      </c>
      <c r="G956" s="6">
        <v>5</v>
      </c>
      <c r="H956" s="5" t="s">
        <v>83</v>
      </c>
      <c r="I956" s="6">
        <v>3</v>
      </c>
      <c r="J956" s="5" t="s">
        <v>52</v>
      </c>
      <c r="K956" s="6">
        <v>9695</v>
      </c>
      <c r="L956" s="5" t="s">
        <v>26</v>
      </c>
      <c r="M956" s="5" t="s">
        <v>66</v>
      </c>
      <c r="N956" s="5" t="s">
        <v>28</v>
      </c>
      <c r="O956" s="7">
        <v>45210</v>
      </c>
      <c r="P956" s="7">
        <v>45210.833333333336</v>
      </c>
      <c r="Q956" s="5" t="s">
        <v>48</v>
      </c>
      <c r="R956" s="5" t="s">
        <v>32</v>
      </c>
      <c r="S956" s="5" t="s">
        <v>33</v>
      </c>
      <c r="T956" s="6">
        <v>9</v>
      </c>
      <c r="U956" s="6">
        <v>10</v>
      </c>
      <c r="V956" s="5" t="s">
        <v>34</v>
      </c>
      <c r="W956" s="8"/>
      <c r="Y956">
        <f t="shared" si="17"/>
        <v>90</v>
      </c>
    </row>
    <row r="957" spans="1:25" ht="15.75" customHeight="1">
      <c r="A957" s="5" t="s">
        <v>1877</v>
      </c>
      <c r="B957" s="6">
        <v>9</v>
      </c>
      <c r="C957" s="5" t="s">
        <v>36</v>
      </c>
      <c r="D957" s="6" t="s">
        <v>318</v>
      </c>
      <c r="E957" s="6"/>
      <c r="F957" s="7">
        <v>45386</v>
      </c>
      <c r="G957" s="6">
        <v>8</v>
      </c>
      <c r="H957" s="5" t="s">
        <v>24</v>
      </c>
      <c r="I957" s="6">
        <v>3</v>
      </c>
      <c r="J957" s="5" t="s">
        <v>89</v>
      </c>
      <c r="K957" s="6">
        <v>16530</v>
      </c>
      <c r="L957" s="5" t="s">
        <v>40</v>
      </c>
      <c r="M957" s="5" t="s">
        <v>66</v>
      </c>
      <c r="N957" s="5" t="s">
        <v>28</v>
      </c>
      <c r="O957" s="6" t="s">
        <v>477</v>
      </c>
      <c r="P957" s="6" t="s">
        <v>1878</v>
      </c>
      <c r="Q957" s="5" t="s">
        <v>48</v>
      </c>
      <c r="R957" s="5" t="s">
        <v>44</v>
      </c>
      <c r="S957" s="5" t="s">
        <v>49</v>
      </c>
      <c r="T957" s="6">
        <v>11</v>
      </c>
      <c r="U957" s="6">
        <v>10</v>
      </c>
      <c r="V957" s="5" t="s">
        <v>92</v>
      </c>
      <c r="W957" s="8"/>
      <c r="Y957">
        <f t="shared" si="17"/>
        <v>110.00000000000001</v>
      </c>
    </row>
    <row r="958" spans="1:25" ht="15.75" customHeight="1">
      <c r="A958" s="5" t="s">
        <v>1879</v>
      </c>
      <c r="B958" s="6">
        <v>75</v>
      </c>
      <c r="C958" s="5" t="s">
        <v>22</v>
      </c>
      <c r="D958" s="7">
        <v>45018</v>
      </c>
      <c r="E958" s="7"/>
      <c r="F958" s="6" t="s">
        <v>167</v>
      </c>
      <c r="G958" s="6">
        <v>10</v>
      </c>
      <c r="H958" s="5" t="s">
        <v>24</v>
      </c>
      <c r="I958" s="6">
        <v>3</v>
      </c>
      <c r="J958" s="5" t="s">
        <v>52</v>
      </c>
      <c r="K958" s="6">
        <v>19318</v>
      </c>
      <c r="L958" s="5" t="s">
        <v>26</v>
      </c>
      <c r="M958" s="5" t="s">
        <v>66</v>
      </c>
      <c r="N958" s="5" t="s">
        <v>28</v>
      </c>
      <c r="O958" s="6" t="s">
        <v>88</v>
      </c>
      <c r="P958" s="6" t="s">
        <v>1880</v>
      </c>
      <c r="Q958" s="5" t="s">
        <v>69</v>
      </c>
      <c r="R958" s="5" t="s">
        <v>32</v>
      </c>
      <c r="S958" s="5" t="s">
        <v>33</v>
      </c>
      <c r="T958" s="6">
        <v>11</v>
      </c>
      <c r="U958" s="6">
        <v>12</v>
      </c>
      <c r="V958" s="5" t="s">
        <v>54</v>
      </c>
      <c r="W958" s="8"/>
      <c r="Y958">
        <f t="shared" si="17"/>
        <v>91.666666666666657</v>
      </c>
    </row>
    <row r="959" spans="1:25" ht="15.75" customHeight="1">
      <c r="A959" s="5" t="s">
        <v>1881</v>
      </c>
      <c r="B959" s="6">
        <v>15</v>
      </c>
      <c r="C959" s="5" t="s">
        <v>22</v>
      </c>
      <c r="D959" s="7">
        <v>45536</v>
      </c>
      <c r="E959" s="7"/>
      <c r="F959" s="6" t="s">
        <v>629</v>
      </c>
      <c r="G959" s="6">
        <v>12</v>
      </c>
      <c r="H959" s="5" t="s">
        <v>46</v>
      </c>
      <c r="I959" s="6">
        <v>5</v>
      </c>
      <c r="J959" s="5" t="s">
        <v>25</v>
      </c>
      <c r="K959" s="6">
        <v>27331</v>
      </c>
      <c r="L959" s="5" t="s">
        <v>80</v>
      </c>
      <c r="M959" s="5" t="s">
        <v>66</v>
      </c>
      <c r="N959" s="5" t="s">
        <v>28</v>
      </c>
      <c r="O959" s="7">
        <v>45505</v>
      </c>
      <c r="P959" s="7">
        <v>45505.333333333336</v>
      </c>
      <c r="Q959" s="5" t="s">
        <v>86</v>
      </c>
      <c r="R959" s="5" t="s">
        <v>32</v>
      </c>
      <c r="S959" s="5" t="s">
        <v>49</v>
      </c>
      <c r="T959" s="6">
        <v>6</v>
      </c>
      <c r="U959" s="6">
        <v>12</v>
      </c>
      <c r="V959" s="5" t="s">
        <v>34</v>
      </c>
      <c r="W959" s="8"/>
      <c r="Y959">
        <f t="shared" si="17"/>
        <v>50</v>
      </c>
    </row>
    <row r="960" spans="1:25" ht="15.75" customHeight="1">
      <c r="A960" s="5" t="s">
        <v>1882</v>
      </c>
      <c r="B960" s="6">
        <v>24</v>
      </c>
      <c r="C960" s="5" t="s">
        <v>51</v>
      </c>
      <c r="D960" s="6" t="s">
        <v>527</v>
      </c>
      <c r="E960" s="6"/>
      <c r="F960" s="6" t="s">
        <v>326</v>
      </c>
      <c r="G960" s="6">
        <v>7</v>
      </c>
      <c r="H960" s="5" t="s">
        <v>58</v>
      </c>
      <c r="I960" s="6">
        <v>2</v>
      </c>
      <c r="J960" s="5" t="s">
        <v>39</v>
      </c>
      <c r="K960" s="6">
        <v>31355</v>
      </c>
      <c r="L960" s="5" t="s">
        <v>90</v>
      </c>
      <c r="M960" s="5" t="s">
        <v>66</v>
      </c>
      <c r="N960" s="5" t="s">
        <v>47</v>
      </c>
      <c r="O960" s="7">
        <v>45204</v>
      </c>
      <c r="P960" s="7">
        <v>45204.25</v>
      </c>
      <c r="Q960" s="5" t="s">
        <v>43</v>
      </c>
      <c r="R960" s="5" t="s">
        <v>32</v>
      </c>
      <c r="S960" s="5" t="s">
        <v>33</v>
      </c>
      <c r="T960" s="6">
        <v>8</v>
      </c>
      <c r="U960" s="6">
        <v>10</v>
      </c>
      <c r="V960" s="5" t="s">
        <v>92</v>
      </c>
      <c r="W960" s="8"/>
      <c r="Y960">
        <f t="shared" si="17"/>
        <v>80</v>
      </c>
    </row>
    <row r="961" spans="1:25" ht="15.75" customHeight="1">
      <c r="A961" s="5" t="s">
        <v>1883</v>
      </c>
      <c r="B961" s="6">
        <v>38</v>
      </c>
      <c r="C961" s="5" t="s">
        <v>47</v>
      </c>
      <c r="D961" s="7">
        <v>44989</v>
      </c>
      <c r="E961" s="7"/>
      <c r="F961" s="7">
        <v>45081</v>
      </c>
      <c r="G961" s="6">
        <v>3</v>
      </c>
      <c r="H961" s="5" t="s">
        <v>73</v>
      </c>
      <c r="I961" s="6">
        <v>4</v>
      </c>
      <c r="J961" s="5" t="s">
        <v>89</v>
      </c>
      <c r="K961" s="6">
        <v>16324</v>
      </c>
      <c r="L961" s="5" t="s">
        <v>80</v>
      </c>
      <c r="M961" s="5" t="s">
        <v>27</v>
      </c>
      <c r="N961" s="5" t="s">
        <v>28</v>
      </c>
      <c r="O961" s="7">
        <v>44961</v>
      </c>
      <c r="P961" s="7">
        <v>44961.458333333336</v>
      </c>
      <c r="Q961" s="5" t="s">
        <v>48</v>
      </c>
      <c r="R961" s="5" t="s">
        <v>32</v>
      </c>
      <c r="S961" s="5" t="s">
        <v>49</v>
      </c>
      <c r="T961" s="6">
        <v>10</v>
      </c>
      <c r="U961" s="6">
        <v>10</v>
      </c>
      <c r="V961" s="5" t="s">
        <v>34</v>
      </c>
      <c r="W961" s="8"/>
      <c r="Y961">
        <f t="shared" si="17"/>
        <v>100</v>
      </c>
    </row>
    <row r="962" spans="1:25" ht="15.75" customHeight="1">
      <c r="A962" s="5" t="s">
        <v>1884</v>
      </c>
      <c r="B962" s="6">
        <v>35</v>
      </c>
      <c r="C962" s="5" t="s">
        <v>62</v>
      </c>
      <c r="D962" s="6" t="s">
        <v>650</v>
      </c>
      <c r="E962" s="6"/>
      <c r="F962" s="7">
        <v>45241</v>
      </c>
      <c r="G962" s="6">
        <v>12</v>
      </c>
      <c r="H962" s="5" t="s">
        <v>24</v>
      </c>
      <c r="I962" s="6">
        <v>1</v>
      </c>
      <c r="J962" s="5" t="s">
        <v>89</v>
      </c>
      <c r="K962" s="6">
        <v>33149</v>
      </c>
      <c r="L962" s="5" t="s">
        <v>26</v>
      </c>
      <c r="M962" s="5" t="s">
        <v>66</v>
      </c>
      <c r="N962" s="5" t="s">
        <v>28</v>
      </c>
      <c r="O962" s="6" t="s">
        <v>183</v>
      </c>
      <c r="P962" s="6" t="s">
        <v>1885</v>
      </c>
      <c r="Q962" s="5" t="s">
        <v>86</v>
      </c>
      <c r="R962" s="5" t="s">
        <v>32</v>
      </c>
      <c r="S962" s="5" t="s">
        <v>53</v>
      </c>
      <c r="T962" s="6">
        <v>4</v>
      </c>
      <c r="U962" s="6">
        <v>8</v>
      </c>
      <c r="V962" s="5" t="s">
        <v>54</v>
      </c>
      <c r="W962" s="8"/>
      <c r="Y962">
        <f t="shared" si="17"/>
        <v>50</v>
      </c>
    </row>
    <row r="963" spans="1:25" ht="15.75" customHeight="1">
      <c r="A963" s="5" t="s">
        <v>1886</v>
      </c>
      <c r="B963" s="6">
        <v>49</v>
      </c>
      <c r="C963" s="5" t="s">
        <v>36</v>
      </c>
      <c r="D963" s="7">
        <v>44938</v>
      </c>
      <c r="E963" s="7"/>
      <c r="F963" s="7">
        <v>45181</v>
      </c>
      <c r="G963" s="6">
        <v>8</v>
      </c>
      <c r="H963" s="5" t="s">
        <v>24</v>
      </c>
      <c r="I963" s="6">
        <v>4</v>
      </c>
      <c r="J963" s="5" t="s">
        <v>52</v>
      </c>
      <c r="K963" s="6">
        <v>8218</v>
      </c>
      <c r="L963" s="5" t="s">
        <v>26</v>
      </c>
      <c r="M963" s="5" t="s">
        <v>66</v>
      </c>
      <c r="N963" s="5" t="s">
        <v>28</v>
      </c>
      <c r="O963" s="6" t="s">
        <v>417</v>
      </c>
      <c r="P963" s="6" t="s">
        <v>1887</v>
      </c>
      <c r="Q963" s="5" t="s">
        <v>86</v>
      </c>
      <c r="R963" s="5" t="s">
        <v>44</v>
      </c>
      <c r="S963" s="5" t="s">
        <v>53</v>
      </c>
      <c r="T963" s="6">
        <v>11</v>
      </c>
      <c r="U963" s="6">
        <v>12</v>
      </c>
      <c r="V963" s="5" t="s">
        <v>92</v>
      </c>
      <c r="W963" s="8"/>
      <c r="Y963">
        <f t="shared" ref="Y963:Y1001" si="18">(T963/U963*100)</f>
        <v>91.666666666666657</v>
      </c>
    </row>
    <row r="964" spans="1:25" ht="15.75" customHeight="1">
      <c r="A964" s="5" t="s">
        <v>1888</v>
      </c>
      <c r="B964" s="6">
        <v>69</v>
      </c>
      <c r="C964" s="5" t="s">
        <v>22</v>
      </c>
      <c r="D964" s="7">
        <v>45294</v>
      </c>
      <c r="E964" s="7"/>
      <c r="F964" s="7">
        <v>45476</v>
      </c>
      <c r="G964" s="6">
        <v>6</v>
      </c>
      <c r="H964" s="5" t="s">
        <v>46</v>
      </c>
      <c r="I964" s="6">
        <v>2</v>
      </c>
      <c r="J964" s="5" t="s">
        <v>25</v>
      </c>
      <c r="K964" s="6">
        <v>25141</v>
      </c>
      <c r="L964" s="5" t="s">
        <v>26</v>
      </c>
      <c r="M964" s="5" t="s">
        <v>66</v>
      </c>
      <c r="N964" s="5" t="s">
        <v>28</v>
      </c>
      <c r="O964" s="7">
        <v>45294</v>
      </c>
      <c r="P964" s="7">
        <v>45325.916666666664</v>
      </c>
      <c r="Q964" s="5" t="s">
        <v>31</v>
      </c>
      <c r="R964" s="5" t="s">
        <v>32</v>
      </c>
      <c r="S964" s="5" t="s">
        <v>33</v>
      </c>
      <c r="T964" s="6">
        <v>6</v>
      </c>
      <c r="U964" s="6">
        <v>8</v>
      </c>
      <c r="V964" s="5" t="s">
        <v>54</v>
      </c>
      <c r="W964" s="8"/>
      <c r="Y964">
        <f t="shared" si="18"/>
        <v>75</v>
      </c>
    </row>
    <row r="965" spans="1:25" ht="15.75" customHeight="1">
      <c r="A965" s="5" t="s">
        <v>1889</v>
      </c>
      <c r="B965" s="6">
        <v>62</v>
      </c>
      <c r="C965" s="5" t="s">
        <v>36</v>
      </c>
      <c r="D965" s="6" t="s">
        <v>245</v>
      </c>
      <c r="E965" s="6"/>
      <c r="F965" s="7">
        <v>45114</v>
      </c>
      <c r="G965" s="6">
        <v>8</v>
      </c>
      <c r="H965" s="5" t="s">
        <v>83</v>
      </c>
      <c r="I965" s="6">
        <v>2</v>
      </c>
      <c r="J965" s="5" t="s">
        <v>25</v>
      </c>
      <c r="K965" s="6">
        <v>41784</v>
      </c>
      <c r="L965" s="5" t="s">
        <v>65</v>
      </c>
      <c r="M965" s="5" t="s">
        <v>27</v>
      </c>
      <c r="N965" s="5" t="s">
        <v>47</v>
      </c>
      <c r="O965" s="6" t="s">
        <v>141</v>
      </c>
      <c r="P965" s="6" t="s">
        <v>1801</v>
      </c>
      <c r="Q965" s="5" t="s">
        <v>48</v>
      </c>
      <c r="R965" s="5" t="s">
        <v>32</v>
      </c>
      <c r="S965" s="5" t="s">
        <v>53</v>
      </c>
      <c r="T965" s="6">
        <v>10</v>
      </c>
      <c r="U965" s="6">
        <v>10</v>
      </c>
      <c r="V965" s="5" t="s">
        <v>92</v>
      </c>
      <c r="W965" s="8"/>
      <c r="Y965">
        <f t="shared" si="18"/>
        <v>100</v>
      </c>
    </row>
    <row r="966" spans="1:25" ht="15.75" customHeight="1">
      <c r="A966" s="5" t="s">
        <v>1890</v>
      </c>
      <c r="B966" s="6">
        <v>60</v>
      </c>
      <c r="C966" s="5" t="s">
        <v>22</v>
      </c>
      <c r="D966" s="6" t="s">
        <v>466</v>
      </c>
      <c r="E966" s="6"/>
      <c r="F966" s="6" t="s">
        <v>777</v>
      </c>
      <c r="G966" s="6">
        <v>1</v>
      </c>
      <c r="H966" s="5" t="s">
        <v>46</v>
      </c>
      <c r="I966" s="6">
        <v>5</v>
      </c>
      <c r="J966" s="5" t="s">
        <v>52</v>
      </c>
      <c r="K966" s="6">
        <v>7837</v>
      </c>
      <c r="L966" s="5" t="s">
        <v>90</v>
      </c>
      <c r="M966" s="5" t="s">
        <v>66</v>
      </c>
      <c r="N966" s="5" t="s">
        <v>47</v>
      </c>
      <c r="O966" s="6" t="s">
        <v>1018</v>
      </c>
      <c r="P966" s="6" t="s">
        <v>1891</v>
      </c>
      <c r="Q966" s="5" t="s">
        <v>69</v>
      </c>
      <c r="R966" s="5" t="s">
        <v>32</v>
      </c>
      <c r="S966" s="5" t="s">
        <v>49</v>
      </c>
      <c r="T966" s="6">
        <v>8</v>
      </c>
      <c r="U966" s="6">
        <v>8</v>
      </c>
      <c r="V966" s="5" t="s">
        <v>54</v>
      </c>
      <c r="W966" s="8"/>
      <c r="Y966">
        <f t="shared" si="18"/>
        <v>100</v>
      </c>
    </row>
    <row r="967" spans="1:25" ht="15.75" customHeight="1">
      <c r="A967" s="5" t="s">
        <v>1892</v>
      </c>
      <c r="B967" s="6">
        <v>50</v>
      </c>
      <c r="C967" s="5" t="s">
        <v>36</v>
      </c>
      <c r="D967" s="6" t="s">
        <v>525</v>
      </c>
      <c r="E967" s="6"/>
      <c r="F967" s="6" t="s">
        <v>1021</v>
      </c>
      <c r="G967" s="6">
        <v>12</v>
      </c>
      <c r="H967" s="5" t="s">
        <v>58</v>
      </c>
      <c r="I967" s="6">
        <v>3</v>
      </c>
      <c r="J967" s="5" t="s">
        <v>25</v>
      </c>
      <c r="K967" s="6">
        <v>44802</v>
      </c>
      <c r="L967" s="5" t="s">
        <v>80</v>
      </c>
      <c r="M967" s="5" t="s">
        <v>27</v>
      </c>
      <c r="N967" s="5" t="s">
        <v>28</v>
      </c>
      <c r="O967" s="6" t="s">
        <v>525</v>
      </c>
      <c r="P967" s="6" t="s">
        <v>1893</v>
      </c>
      <c r="Q967" s="5" t="s">
        <v>86</v>
      </c>
      <c r="R967" s="5" t="s">
        <v>32</v>
      </c>
      <c r="S967" s="5" t="s">
        <v>33</v>
      </c>
      <c r="T967" s="6">
        <v>5</v>
      </c>
      <c r="U967" s="6">
        <v>10</v>
      </c>
      <c r="V967" s="5" t="s">
        <v>92</v>
      </c>
      <c r="W967" s="8"/>
      <c r="Y967">
        <f t="shared" si="18"/>
        <v>50</v>
      </c>
    </row>
    <row r="968" spans="1:25" ht="15.75" customHeight="1">
      <c r="A968" s="5" t="s">
        <v>1894</v>
      </c>
      <c r="B968" s="6">
        <v>78</v>
      </c>
      <c r="C968" s="5" t="s">
        <v>82</v>
      </c>
      <c r="D968" s="7">
        <v>45566</v>
      </c>
      <c r="E968" s="7"/>
      <c r="F968" s="6" t="s">
        <v>260</v>
      </c>
      <c r="G968" s="6">
        <v>14</v>
      </c>
      <c r="H968" s="5" t="s">
        <v>38</v>
      </c>
      <c r="I968" s="6">
        <v>3</v>
      </c>
      <c r="J968" s="5" t="s">
        <v>97</v>
      </c>
      <c r="K968" s="6">
        <v>45077</v>
      </c>
      <c r="L968" s="5" t="s">
        <v>80</v>
      </c>
      <c r="M968" s="5" t="s">
        <v>27</v>
      </c>
      <c r="N968" s="5" t="s">
        <v>47</v>
      </c>
      <c r="O968" s="7">
        <v>45566</v>
      </c>
      <c r="P968" s="7">
        <v>45566.583333333336</v>
      </c>
      <c r="Q968" s="5" t="s">
        <v>86</v>
      </c>
      <c r="R968" s="5" t="s">
        <v>32</v>
      </c>
      <c r="S968" s="5" t="s">
        <v>53</v>
      </c>
      <c r="T968" s="6">
        <v>8</v>
      </c>
      <c r="U968" s="6">
        <v>12</v>
      </c>
      <c r="V968" s="5" t="s">
        <v>34</v>
      </c>
      <c r="W968" s="8"/>
      <c r="Y968">
        <f t="shared" si="18"/>
        <v>66.666666666666657</v>
      </c>
    </row>
    <row r="969" spans="1:25" ht="15.75" customHeight="1">
      <c r="A969" s="5" t="s">
        <v>1895</v>
      </c>
      <c r="B969" s="6">
        <v>75</v>
      </c>
      <c r="C969" s="5" t="s">
        <v>22</v>
      </c>
      <c r="D969" s="6" t="s">
        <v>1073</v>
      </c>
      <c r="E969" s="6"/>
      <c r="F969" s="7">
        <v>45632</v>
      </c>
      <c r="G969" s="6">
        <v>15</v>
      </c>
      <c r="H969" s="5" t="s">
        <v>38</v>
      </c>
      <c r="I969" s="6">
        <v>2</v>
      </c>
      <c r="J969" s="5" t="s">
        <v>39</v>
      </c>
      <c r="K969" s="6">
        <v>19379</v>
      </c>
      <c r="L969" s="5" t="s">
        <v>40</v>
      </c>
      <c r="M969" s="5" t="s">
        <v>27</v>
      </c>
      <c r="N969" s="5" t="s">
        <v>47</v>
      </c>
      <c r="O969" s="6" t="s">
        <v>390</v>
      </c>
      <c r="P969" s="6" t="s">
        <v>1896</v>
      </c>
      <c r="Q969" s="5" t="s">
        <v>43</v>
      </c>
      <c r="R969" s="5" t="s">
        <v>32</v>
      </c>
      <c r="S969" s="5" t="s">
        <v>53</v>
      </c>
      <c r="T969" s="6">
        <v>5</v>
      </c>
      <c r="U969" s="6">
        <v>12</v>
      </c>
      <c r="V969" s="5" t="s">
        <v>92</v>
      </c>
      <c r="W969" s="8"/>
      <c r="Y969">
        <f t="shared" si="18"/>
        <v>41.666666666666671</v>
      </c>
    </row>
    <row r="970" spans="1:25" ht="15.75" customHeight="1">
      <c r="A970" s="5" t="s">
        <v>1897</v>
      </c>
      <c r="B970" s="6">
        <v>9</v>
      </c>
      <c r="C970" s="5" t="s">
        <v>36</v>
      </c>
      <c r="D970" s="7">
        <v>45117</v>
      </c>
      <c r="E970" s="7"/>
      <c r="F970" s="6" t="s">
        <v>519</v>
      </c>
      <c r="G970" s="6">
        <v>6</v>
      </c>
      <c r="H970" s="5" t="s">
        <v>83</v>
      </c>
      <c r="I970" s="6">
        <v>5</v>
      </c>
      <c r="J970" s="5" t="s">
        <v>89</v>
      </c>
      <c r="K970" s="6">
        <v>9239</v>
      </c>
      <c r="L970" s="5" t="s">
        <v>26</v>
      </c>
      <c r="M970" s="5" t="s">
        <v>27</v>
      </c>
      <c r="N970" s="5" t="s">
        <v>47</v>
      </c>
      <c r="O970" s="7">
        <v>45026</v>
      </c>
      <c r="P970" s="7">
        <v>45026.416666666664</v>
      </c>
      <c r="Q970" s="5" t="s">
        <v>31</v>
      </c>
      <c r="R970" s="5" t="s">
        <v>32</v>
      </c>
      <c r="S970" s="5" t="s">
        <v>33</v>
      </c>
      <c r="T970" s="6">
        <v>11</v>
      </c>
      <c r="U970" s="6">
        <v>10</v>
      </c>
      <c r="V970" s="5" t="s">
        <v>34</v>
      </c>
      <c r="W970" s="8"/>
      <c r="Y970">
        <f t="shared" si="18"/>
        <v>110.00000000000001</v>
      </c>
    </row>
    <row r="971" spans="1:25" ht="15.75" customHeight="1">
      <c r="A971" s="5" t="s">
        <v>1898</v>
      </c>
      <c r="B971" s="6">
        <v>34</v>
      </c>
      <c r="C971" s="5" t="s">
        <v>62</v>
      </c>
      <c r="D971" s="6" t="s">
        <v>226</v>
      </c>
      <c r="E971" s="6"/>
      <c r="F971" s="6" t="s">
        <v>252</v>
      </c>
      <c r="G971" s="6">
        <v>10</v>
      </c>
      <c r="H971" s="5" t="s">
        <v>24</v>
      </c>
      <c r="I971" s="6">
        <v>5</v>
      </c>
      <c r="J971" s="5" t="s">
        <v>39</v>
      </c>
      <c r="K971" s="6">
        <v>49896</v>
      </c>
      <c r="L971" s="5" t="s">
        <v>26</v>
      </c>
      <c r="M971" s="5" t="s">
        <v>66</v>
      </c>
      <c r="N971" s="5" t="s">
        <v>47</v>
      </c>
      <c r="O971" s="6" t="s">
        <v>253</v>
      </c>
      <c r="P971" s="6" t="s">
        <v>1899</v>
      </c>
      <c r="Q971" s="5" t="s">
        <v>86</v>
      </c>
      <c r="R971" s="5" t="s">
        <v>32</v>
      </c>
      <c r="S971" s="5" t="s">
        <v>53</v>
      </c>
      <c r="T971" s="6">
        <v>10</v>
      </c>
      <c r="U971" s="6">
        <v>12</v>
      </c>
      <c r="V971" s="5" t="s">
        <v>92</v>
      </c>
      <c r="W971" s="8"/>
      <c r="Y971">
        <f t="shared" si="18"/>
        <v>83.333333333333343</v>
      </c>
    </row>
    <row r="972" spans="1:25" ht="15.75" customHeight="1">
      <c r="A972" s="5" t="s">
        <v>1900</v>
      </c>
      <c r="B972" s="6">
        <v>76</v>
      </c>
      <c r="C972" s="5" t="s">
        <v>82</v>
      </c>
      <c r="D972" s="6" t="s">
        <v>703</v>
      </c>
      <c r="E972" s="6"/>
      <c r="F972" s="6" t="s">
        <v>162</v>
      </c>
      <c r="G972" s="6">
        <v>7</v>
      </c>
      <c r="H972" s="5" t="s">
        <v>83</v>
      </c>
      <c r="I972" s="6">
        <v>1</v>
      </c>
      <c r="J972" s="5" t="s">
        <v>89</v>
      </c>
      <c r="K972" s="6">
        <v>25812</v>
      </c>
      <c r="L972" s="5" t="s">
        <v>26</v>
      </c>
      <c r="M972" s="5" t="s">
        <v>27</v>
      </c>
      <c r="N972" s="5" t="s">
        <v>28</v>
      </c>
      <c r="O972" s="6" t="s">
        <v>438</v>
      </c>
      <c r="P972" s="6" t="s">
        <v>1901</v>
      </c>
      <c r="Q972" s="5" t="s">
        <v>86</v>
      </c>
      <c r="R972" s="5" t="s">
        <v>44</v>
      </c>
      <c r="S972" s="5" t="s">
        <v>53</v>
      </c>
      <c r="T972" s="6">
        <v>10</v>
      </c>
      <c r="U972" s="6">
        <v>10</v>
      </c>
      <c r="V972" s="5" t="s">
        <v>92</v>
      </c>
      <c r="W972" s="8"/>
      <c r="Y972">
        <f t="shared" si="18"/>
        <v>100</v>
      </c>
    </row>
    <row r="973" spans="1:25" ht="15.75" customHeight="1">
      <c r="A973" s="5" t="s">
        <v>1902</v>
      </c>
      <c r="B973" s="6">
        <v>35</v>
      </c>
      <c r="C973" s="5" t="s">
        <v>82</v>
      </c>
      <c r="D973" s="7">
        <v>45509</v>
      </c>
      <c r="E973" s="7"/>
      <c r="F973" s="6" t="s">
        <v>644</v>
      </c>
      <c r="G973" s="6">
        <v>5</v>
      </c>
      <c r="H973" s="5" t="s">
        <v>24</v>
      </c>
      <c r="I973" s="6">
        <v>3</v>
      </c>
      <c r="J973" s="5" t="s">
        <v>97</v>
      </c>
      <c r="K973" s="6">
        <v>34669</v>
      </c>
      <c r="L973" s="5" t="s">
        <v>80</v>
      </c>
      <c r="M973" s="5" t="s">
        <v>66</v>
      </c>
      <c r="N973" s="5" t="s">
        <v>47</v>
      </c>
      <c r="O973" s="7">
        <v>45417</v>
      </c>
      <c r="P973" s="7">
        <v>45417.666666666664</v>
      </c>
      <c r="Q973" s="5" t="s">
        <v>69</v>
      </c>
      <c r="R973" s="5" t="s">
        <v>32</v>
      </c>
      <c r="S973" s="5" t="s">
        <v>33</v>
      </c>
      <c r="T973" s="6">
        <v>4</v>
      </c>
      <c r="U973" s="6">
        <v>8</v>
      </c>
      <c r="V973" s="5" t="s">
        <v>54</v>
      </c>
      <c r="W973" s="8"/>
      <c r="Y973">
        <f t="shared" si="18"/>
        <v>50</v>
      </c>
    </row>
    <row r="974" spans="1:25" ht="15.75" customHeight="1">
      <c r="A974" s="5" t="s">
        <v>1903</v>
      </c>
      <c r="B974" s="6">
        <v>1</v>
      </c>
      <c r="C974" s="5" t="s">
        <v>62</v>
      </c>
      <c r="D974" s="6" t="s">
        <v>650</v>
      </c>
      <c r="E974" s="6"/>
      <c r="F974" s="7">
        <v>45210</v>
      </c>
      <c r="G974" s="6">
        <v>11</v>
      </c>
      <c r="H974" s="5" t="s">
        <v>24</v>
      </c>
      <c r="I974" s="6">
        <v>2</v>
      </c>
      <c r="J974" s="5" t="s">
        <v>25</v>
      </c>
      <c r="K974" s="6">
        <v>14611</v>
      </c>
      <c r="L974" s="5" t="s">
        <v>40</v>
      </c>
      <c r="M974" s="5" t="s">
        <v>27</v>
      </c>
      <c r="N974" s="5" t="s">
        <v>28</v>
      </c>
      <c r="O974" s="6" t="s">
        <v>650</v>
      </c>
      <c r="P974" s="6" t="s">
        <v>1904</v>
      </c>
      <c r="Q974" s="5" t="s">
        <v>69</v>
      </c>
      <c r="R974" s="5" t="s">
        <v>32</v>
      </c>
      <c r="S974" s="5" t="s">
        <v>53</v>
      </c>
      <c r="T974" s="6">
        <v>8</v>
      </c>
      <c r="U974" s="6">
        <v>10</v>
      </c>
      <c r="V974" s="5" t="s">
        <v>54</v>
      </c>
      <c r="W974" s="8"/>
      <c r="Y974">
        <f t="shared" si="18"/>
        <v>80</v>
      </c>
    </row>
    <row r="975" spans="1:25" ht="15.75" customHeight="1">
      <c r="A975" s="5" t="s">
        <v>1905</v>
      </c>
      <c r="B975" s="6">
        <v>40</v>
      </c>
      <c r="C975" s="5" t="s">
        <v>36</v>
      </c>
      <c r="D975" s="6" t="s">
        <v>490</v>
      </c>
      <c r="E975" s="6"/>
      <c r="F975" s="6" t="s">
        <v>833</v>
      </c>
      <c r="G975" s="6">
        <v>13</v>
      </c>
      <c r="H975" s="5" t="s">
        <v>38</v>
      </c>
      <c r="I975" s="6">
        <v>4</v>
      </c>
      <c r="J975" s="5" t="s">
        <v>52</v>
      </c>
      <c r="K975" s="6">
        <v>9150</v>
      </c>
      <c r="L975" s="5" t="s">
        <v>65</v>
      </c>
      <c r="M975" s="5" t="s">
        <v>27</v>
      </c>
      <c r="N975" s="5" t="s">
        <v>28</v>
      </c>
      <c r="O975" s="7">
        <v>45150</v>
      </c>
      <c r="P975" s="7">
        <v>45181.083333333336</v>
      </c>
      <c r="Q975" s="5" t="s">
        <v>43</v>
      </c>
      <c r="R975" s="5" t="s">
        <v>32</v>
      </c>
      <c r="S975" s="5" t="s">
        <v>53</v>
      </c>
      <c r="T975" s="6">
        <v>7</v>
      </c>
      <c r="U975" s="6">
        <v>8</v>
      </c>
      <c r="V975" s="5" t="s">
        <v>54</v>
      </c>
      <c r="W975" s="8"/>
      <c r="Y975">
        <f t="shared" si="18"/>
        <v>87.5</v>
      </c>
    </row>
    <row r="976" spans="1:25" ht="15.75" customHeight="1">
      <c r="A976" s="5" t="s">
        <v>1906</v>
      </c>
      <c r="B976" s="6">
        <v>64</v>
      </c>
      <c r="C976" s="5" t="s">
        <v>51</v>
      </c>
      <c r="D976" s="6" t="s">
        <v>342</v>
      </c>
      <c r="E976" s="6"/>
      <c r="F976" s="6" t="s">
        <v>761</v>
      </c>
      <c r="G976" s="6">
        <v>1</v>
      </c>
      <c r="H976" s="5" t="s">
        <v>83</v>
      </c>
      <c r="I976" s="6">
        <v>3</v>
      </c>
      <c r="J976" s="5" t="s">
        <v>97</v>
      </c>
      <c r="K976" s="6">
        <v>16109</v>
      </c>
      <c r="L976" s="5" t="s">
        <v>90</v>
      </c>
      <c r="M976" s="5" t="s">
        <v>27</v>
      </c>
      <c r="N976" s="5" t="s">
        <v>28</v>
      </c>
      <c r="O976" s="6" t="s">
        <v>342</v>
      </c>
      <c r="P976" s="6" t="s">
        <v>1907</v>
      </c>
      <c r="Q976" s="5" t="s">
        <v>43</v>
      </c>
      <c r="R976" s="5" t="s">
        <v>32</v>
      </c>
      <c r="S976" s="5" t="s">
        <v>53</v>
      </c>
      <c r="T976" s="6">
        <v>11</v>
      </c>
      <c r="U976" s="6">
        <v>10</v>
      </c>
      <c r="V976" s="5" t="s">
        <v>92</v>
      </c>
      <c r="W976" s="8"/>
      <c r="Y976">
        <f t="shared" si="18"/>
        <v>110.00000000000001</v>
      </c>
    </row>
    <row r="977" spans="1:25" ht="15.75" customHeight="1">
      <c r="A977" s="5" t="s">
        <v>1908</v>
      </c>
      <c r="B977" s="6">
        <v>22</v>
      </c>
      <c r="C977" s="5" t="s">
        <v>62</v>
      </c>
      <c r="D977" s="6" t="s">
        <v>358</v>
      </c>
      <c r="E977" s="6"/>
      <c r="F977" s="6" t="s">
        <v>531</v>
      </c>
      <c r="G977" s="6">
        <v>2</v>
      </c>
      <c r="H977" s="5" t="s">
        <v>46</v>
      </c>
      <c r="I977" s="6">
        <v>1</v>
      </c>
      <c r="J977" s="5" t="s">
        <v>39</v>
      </c>
      <c r="K977" s="6">
        <v>39214</v>
      </c>
      <c r="L977" s="5" t="s">
        <v>65</v>
      </c>
      <c r="M977" s="5" t="s">
        <v>66</v>
      </c>
      <c r="N977" s="5" t="s">
        <v>47</v>
      </c>
      <c r="O977" s="6" t="s">
        <v>360</v>
      </c>
      <c r="P977" s="6" t="s">
        <v>1909</v>
      </c>
      <c r="Q977" s="5" t="s">
        <v>43</v>
      </c>
      <c r="R977" s="5" t="s">
        <v>32</v>
      </c>
      <c r="S977" s="5" t="s">
        <v>53</v>
      </c>
      <c r="T977" s="6">
        <v>9</v>
      </c>
      <c r="U977" s="6">
        <v>12</v>
      </c>
      <c r="V977" s="5" t="s">
        <v>92</v>
      </c>
      <c r="W977" s="8"/>
      <c r="Y977">
        <f t="shared" si="18"/>
        <v>75</v>
      </c>
    </row>
    <row r="978" spans="1:25" ht="15.75" customHeight="1">
      <c r="A978" s="5" t="s">
        <v>1910</v>
      </c>
      <c r="B978" s="6">
        <v>60</v>
      </c>
      <c r="C978" s="5" t="s">
        <v>36</v>
      </c>
      <c r="D978" s="6" t="s">
        <v>595</v>
      </c>
      <c r="E978" s="6"/>
      <c r="F978" s="6" t="s">
        <v>179</v>
      </c>
      <c r="G978" s="6">
        <v>11</v>
      </c>
      <c r="H978" s="5" t="s">
        <v>24</v>
      </c>
      <c r="I978" s="6">
        <v>5</v>
      </c>
      <c r="J978" s="5" t="s">
        <v>52</v>
      </c>
      <c r="K978" s="6">
        <v>31016</v>
      </c>
      <c r="L978" s="5" t="s">
        <v>80</v>
      </c>
      <c r="M978" s="5" t="s">
        <v>66</v>
      </c>
      <c r="N978" s="5" t="s">
        <v>28</v>
      </c>
      <c r="O978" s="6" t="s">
        <v>349</v>
      </c>
      <c r="P978" s="6" t="s">
        <v>1911</v>
      </c>
      <c r="Q978" s="5" t="s">
        <v>69</v>
      </c>
      <c r="R978" s="5" t="s">
        <v>32</v>
      </c>
      <c r="S978" s="5" t="s">
        <v>33</v>
      </c>
      <c r="T978" s="6">
        <v>7</v>
      </c>
      <c r="U978" s="6">
        <v>10</v>
      </c>
      <c r="V978" s="5" t="s">
        <v>92</v>
      </c>
      <c r="W978" s="8"/>
      <c r="Y978">
        <f t="shared" si="18"/>
        <v>70</v>
      </c>
    </row>
    <row r="979" spans="1:25" ht="15.75" customHeight="1">
      <c r="A979" s="5" t="s">
        <v>1912</v>
      </c>
      <c r="B979" s="6">
        <v>64</v>
      </c>
      <c r="C979" s="5" t="s">
        <v>62</v>
      </c>
      <c r="D979" s="6" t="s">
        <v>302</v>
      </c>
      <c r="E979" s="6"/>
      <c r="F979" s="7">
        <v>45052</v>
      </c>
      <c r="G979" s="6">
        <v>11</v>
      </c>
      <c r="H979" s="5" t="s">
        <v>73</v>
      </c>
      <c r="I979" s="6">
        <v>2</v>
      </c>
      <c r="J979" s="5" t="s">
        <v>25</v>
      </c>
      <c r="K979" s="6">
        <v>16936</v>
      </c>
      <c r="L979" s="5" t="s">
        <v>26</v>
      </c>
      <c r="M979" s="5" t="s">
        <v>27</v>
      </c>
      <c r="N979" s="5" t="s">
        <v>47</v>
      </c>
      <c r="O979" s="6" t="s">
        <v>302</v>
      </c>
      <c r="P979" s="6" t="s">
        <v>1913</v>
      </c>
      <c r="Q979" s="5" t="s">
        <v>69</v>
      </c>
      <c r="R979" s="5" t="s">
        <v>32</v>
      </c>
      <c r="S979" s="5" t="s">
        <v>49</v>
      </c>
      <c r="T979" s="6">
        <v>11</v>
      </c>
      <c r="U979" s="6">
        <v>10</v>
      </c>
      <c r="V979" s="5" t="s">
        <v>34</v>
      </c>
      <c r="W979" s="8"/>
      <c r="Y979">
        <f t="shared" si="18"/>
        <v>110.00000000000001</v>
      </c>
    </row>
    <row r="980" spans="1:25" ht="15.75" customHeight="1">
      <c r="A980" s="5" t="s">
        <v>1914</v>
      </c>
      <c r="B980" s="6">
        <v>72</v>
      </c>
      <c r="C980" s="5" t="s">
        <v>62</v>
      </c>
      <c r="D980" s="6" t="s">
        <v>271</v>
      </c>
      <c r="E980" s="6"/>
      <c r="F980" s="6" t="s">
        <v>99</v>
      </c>
      <c r="G980" s="6">
        <v>7</v>
      </c>
      <c r="H980" s="5" t="s">
        <v>73</v>
      </c>
      <c r="I980" s="6">
        <v>3</v>
      </c>
      <c r="J980" s="5" t="s">
        <v>97</v>
      </c>
      <c r="K980" s="6">
        <v>16036</v>
      </c>
      <c r="L980" s="5" t="s">
        <v>90</v>
      </c>
      <c r="M980" s="5" t="s">
        <v>66</v>
      </c>
      <c r="N980" s="5" t="s">
        <v>28</v>
      </c>
      <c r="O980" s="6" t="s">
        <v>56</v>
      </c>
      <c r="P980" s="6" t="s">
        <v>1915</v>
      </c>
      <c r="Q980" s="5" t="s">
        <v>31</v>
      </c>
      <c r="R980" s="5" t="s">
        <v>32</v>
      </c>
      <c r="S980" s="5" t="s">
        <v>49</v>
      </c>
      <c r="T980" s="6">
        <v>7</v>
      </c>
      <c r="U980" s="6">
        <v>10</v>
      </c>
      <c r="V980" s="5" t="s">
        <v>34</v>
      </c>
      <c r="W980" s="8"/>
      <c r="Y980">
        <f t="shared" si="18"/>
        <v>70</v>
      </c>
    </row>
    <row r="981" spans="1:25" ht="15.75" customHeight="1">
      <c r="A981" s="5" t="s">
        <v>1916</v>
      </c>
      <c r="B981" s="6">
        <v>11</v>
      </c>
      <c r="C981" s="5" t="s">
        <v>22</v>
      </c>
      <c r="D981" s="7">
        <v>45598</v>
      </c>
      <c r="E981" s="7"/>
      <c r="F981" s="6" t="s">
        <v>565</v>
      </c>
      <c r="G981" s="6">
        <v>6</v>
      </c>
      <c r="H981" s="5" t="s">
        <v>46</v>
      </c>
      <c r="I981" s="6">
        <v>4</v>
      </c>
      <c r="J981" s="5" t="s">
        <v>52</v>
      </c>
      <c r="K981" s="6">
        <v>44236</v>
      </c>
      <c r="L981" s="5" t="s">
        <v>80</v>
      </c>
      <c r="M981" s="5" t="s">
        <v>66</v>
      </c>
      <c r="N981" s="5" t="s">
        <v>28</v>
      </c>
      <c r="O981" s="7">
        <v>45506</v>
      </c>
      <c r="P981" s="7">
        <v>45506.5</v>
      </c>
      <c r="Q981" s="5" t="s">
        <v>48</v>
      </c>
      <c r="R981" s="5" t="s">
        <v>44</v>
      </c>
      <c r="S981" s="5" t="s">
        <v>53</v>
      </c>
      <c r="T981" s="6">
        <v>7</v>
      </c>
      <c r="U981" s="6">
        <v>12</v>
      </c>
      <c r="V981" s="5" t="s">
        <v>92</v>
      </c>
      <c r="W981" s="8"/>
      <c r="Y981">
        <f t="shared" si="18"/>
        <v>58.333333333333336</v>
      </c>
    </row>
    <row r="982" spans="1:25" ht="15.75" customHeight="1">
      <c r="A982" s="5" t="s">
        <v>1917</v>
      </c>
      <c r="B982" s="6">
        <v>14</v>
      </c>
      <c r="C982" s="5" t="s">
        <v>36</v>
      </c>
      <c r="D982" s="7">
        <v>45566</v>
      </c>
      <c r="E982" s="7"/>
      <c r="F982" s="6" t="s">
        <v>1788</v>
      </c>
      <c r="G982" s="6">
        <v>9</v>
      </c>
      <c r="H982" s="5" t="s">
        <v>73</v>
      </c>
      <c r="I982" s="6">
        <v>1</v>
      </c>
      <c r="J982" s="5" t="s">
        <v>97</v>
      </c>
      <c r="K982" s="6">
        <v>19021</v>
      </c>
      <c r="L982" s="5" t="s">
        <v>80</v>
      </c>
      <c r="M982" s="5" t="s">
        <v>66</v>
      </c>
      <c r="N982" s="5" t="s">
        <v>28</v>
      </c>
      <c r="O982" s="7">
        <v>45413</v>
      </c>
      <c r="P982" s="7">
        <v>45413.083333333336</v>
      </c>
      <c r="Q982" s="5" t="s">
        <v>48</v>
      </c>
      <c r="R982" s="5" t="s">
        <v>32</v>
      </c>
      <c r="S982" s="5" t="s">
        <v>53</v>
      </c>
      <c r="T982" s="6">
        <v>9</v>
      </c>
      <c r="U982" s="6">
        <v>10</v>
      </c>
      <c r="V982" s="5" t="s">
        <v>54</v>
      </c>
      <c r="W982" s="8"/>
      <c r="Y982">
        <f t="shared" si="18"/>
        <v>90</v>
      </c>
    </row>
    <row r="983" spans="1:25" ht="15.75" customHeight="1">
      <c r="A983" s="5" t="s">
        <v>1918</v>
      </c>
      <c r="B983" s="6">
        <v>60</v>
      </c>
      <c r="C983" s="5" t="s">
        <v>51</v>
      </c>
      <c r="D983" s="7">
        <v>44989</v>
      </c>
      <c r="E983" s="7"/>
      <c r="F983" s="6" t="s">
        <v>601</v>
      </c>
      <c r="G983" s="6">
        <v>13</v>
      </c>
      <c r="H983" s="5" t="s">
        <v>58</v>
      </c>
      <c r="I983" s="6">
        <v>1</v>
      </c>
      <c r="J983" s="5" t="s">
        <v>97</v>
      </c>
      <c r="K983" s="6">
        <v>41943</v>
      </c>
      <c r="L983" s="5" t="s">
        <v>80</v>
      </c>
      <c r="M983" s="5" t="s">
        <v>27</v>
      </c>
      <c r="N983" s="5" t="s">
        <v>28</v>
      </c>
      <c r="O983" s="7">
        <v>44930</v>
      </c>
      <c r="P983" s="7">
        <v>44961.083333333336</v>
      </c>
      <c r="Q983" s="5" t="s">
        <v>31</v>
      </c>
      <c r="R983" s="5" t="s">
        <v>44</v>
      </c>
      <c r="S983" s="5" t="s">
        <v>49</v>
      </c>
      <c r="T983" s="6">
        <v>7</v>
      </c>
      <c r="U983" s="6">
        <v>12</v>
      </c>
      <c r="V983" s="5" t="s">
        <v>54</v>
      </c>
      <c r="W983" s="8"/>
      <c r="Y983">
        <f t="shared" si="18"/>
        <v>58.333333333333336</v>
      </c>
    </row>
    <row r="984" spans="1:25" ht="15.75" customHeight="1">
      <c r="A984" s="5" t="s">
        <v>1919</v>
      </c>
      <c r="B984" s="6">
        <v>30</v>
      </c>
      <c r="C984" s="5" t="s">
        <v>22</v>
      </c>
      <c r="D984" s="7">
        <v>45537</v>
      </c>
      <c r="E984" s="7"/>
      <c r="F984" s="6" t="s">
        <v>537</v>
      </c>
      <c r="G984" s="6">
        <v>12</v>
      </c>
      <c r="H984" s="5" t="s">
        <v>24</v>
      </c>
      <c r="I984" s="6">
        <v>3</v>
      </c>
      <c r="J984" s="5" t="s">
        <v>25</v>
      </c>
      <c r="K984" s="6">
        <v>42848</v>
      </c>
      <c r="L984" s="5" t="s">
        <v>90</v>
      </c>
      <c r="M984" s="5" t="s">
        <v>66</v>
      </c>
      <c r="N984" s="5" t="s">
        <v>28</v>
      </c>
      <c r="O984" s="7">
        <v>45414</v>
      </c>
      <c r="P984" s="7">
        <v>45445.208333333336</v>
      </c>
      <c r="Q984" s="5" t="s">
        <v>48</v>
      </c>
      <c r="R984" s="5" t="s">
        <v>32</v>
      </c>
      <c r="S984" s="5" t="s">
        <v>53</v>
      </c>
      <c r="T984" s="6">
        <v>5</v>
      </c>
      <c r="U984" s="6">
        <v>10</v>
      </c>
      <c r="V984" s="5" t="s">
        <v>54</v>
      </c>
      <c r="W984" s="8"/>
      <c r="Y984">
        <f t="shared" si="18"/>
        <v>50</v>
      </c>
    </row>
    <row r="985" spans="1:25" ht="15.75" customHeight="1">
      <c r="A985" s="5" t="s">
        <v>1920</v>
      </c>
      <c r="B985" s="6">
        <v>35</v>
      </c>
      <c r="C985" s="5" t="s">
        <v>62</v>
      </c>
      <c r="D985" s="6" t="s">
        <v>426</v>
      </c>
      <c r="E985" s="6"/>
      <c r="F985" s="6" t="s">
        <v>37</v>
      </c>
      <c r="G985" s="6">
        <v>11</v>
      </c>
      <c r="H985" s="5" t="s">
        <v>46</v>
      </c>
      <c r="I985" s="6">
        <v>4</v>
      </c>
      <c r="J985" s="5" t="s">
        <v>89</v>
      </c>
      <c r="K985" s="6">
        <v>20471</v>
      </c>
      <c r="L985" s="5" t="s">
        <v>90</v>
      </c>
      <c r="M985" s="5" t="s">
        <v>66</v>
      </c>
      <c r="N985" s="5" t="s">
        <v>28</v>
      </c>
      <c r="O985" s="6" t="s">
        <v>426</v>
      </c>
      <c r="P985" s="6" t="s">
        <v>1921</v>
      </c>
      <c r="Q985" s="5" t="s">
        <v>69</v>
      </c>
      <c r="R985" s="5" t="s">
        <v>32</v>
      </c>
      <c r="S985" s="5" t="s">
        <v>49</v>
      </c>
      <c r="T985" s="6">
        <v>8</v>
      </c>
      <c r="U985" s="6">
        <v>8</v>
      </c>
      <c r="V985" s="5" t="s">
        <v>92</v>
      </c>
      <c r="W985" s="8"/>
      <c r="Y985">
        <f t="shared" si="18"/>
        <v>100</v>
      </c>
    </row>
    <row r="986" spans="1:25" ht="15.75" customHeight="1">
      <c r="A986" s="5" t="s">
        <v>1922</v>
      </c>
      <c r="B986" s="6">
        <v>85</v>
      </c>
      <c r="C986" s="5" t="s">
        <v>47</v>
      </c>
      <c r="D986" s="6" t="s">
        <v>162</v>
      </c>
      <c r="E986" s="6"/>
      <c r="F986" s="7">
        <v>44936</v>
      </c>
      <c r="G986" s="6">
        <v>3</v>
      </c>
      <c r="H986" s="5" t="s">
        <v>83</v>
      </c>
      <c r="I986" s="6">
        <v>1</v>
      </c>
      <c r="J986" s="5" t="s">
        <v>52</v>
      </c>
      <c r="K986" s="6">
        <v>28244</v>
      </c>
      <c r="L986" s="5" t="s">
        <v>40</v>
      </c>
      <c r="M986" s="5" t="s">
        <v>66</v>
      </c>
      <c r="N986" s="5" t="s">
        <v>28</v>
      </c>
      <c r="O986" s="6" t="s">
        <v>314</v>
      </c>
      <c r="P986" s="6" t="s">
        <v>164</v>
      </c>
      <c r="Q986" s="5" t="s">
        <v>48</v>
      </c>
      <c r="R986" s="5" t="s">
        <v>32</v>
      </c>
      <c r="S986" s="5" t="s">
        <v>33</v>
      </c>
      <c r="T986" s="6">
        <v>10</v>
      </c>
      <c r="U986" s="6">
        <v>10</v>
      </c>
      <c r="V986" s="5" t="s">
        <v>54</v>
      </c>
      <c r="W986" s="8"/>
      <c r="Y986">
        <f t="shared" si="18"/>
        <v>100</v>
      </c>
    </row>
    <row r="987" spans="1:25" ht="15.75" customHeight="1">
      <c r="A987" s="5" t="s">
        <v>1923</v>
      </c>
      <c r="B987" s="6">
        <v>37</v>
      </c>
      <c r="C987" s="5" t="s">
        <v>62</v>
      </c>
      <c r="D987" s="7">
        <v>45112</v>
      </c>
      <c r="E987" s="7"/>
      <c r="F987" s="7">
        <v>45143</v>
      </c>
      <c r="G987" s="6">
        <v>1</v>
      </c>
      <c r="H987" s="5" t="s">
        <v>24</v>
      </c>
      <c r="I987" s="6">
        <v>2</v>
      </c>
      <c r="J987" s="5" t="s">
        <v>25</v>
      </c>
      <c r="K987" s="6">
        <v>43985</v>
      </c>
      <c r="L987" s="5" t="s">
        <v>40</v>
      </c>
      <c r="M987" s="5" t="s">
        <v>66</v>
      </c>
      <c r="N987" s="5" t="s">
        <v>28</v>
      </c>
      <c r="O987" s="7">
        <v>45112</v>
      </c>
      <c r="P987" s="7">
        <v>45143.5</v>
      </c>
      <c r="Q987" s="5" t="s">
        <v>69</v>
      </c>
      <c r="R987" s="5" t="s">
        <v>32</v>
      </c>
      <c r="S987" s="5" t="s">
        <v>33</v>
      </c>
      <c r="T987" s="6">
        <v>4</v>
      </c>
      <c r="U987" s="6">
        <v>8</v>
      </c>
      <c r="V987" s="5" t="s">
        <v>92</v>
      </c>
      <c r="W987" s="8"/>
      <c r="Y987">
        <f t="shared" si="18"/>
        <v>50</v>
      </c>
    </row>
    <row r="988" spans="1:25" ht="15.75" customHeight="1">
      <c r="A988" s="5" t="s">
        <v>1924</v>
      </c>
      <c r="B988" s="6">
        <v>5</v>
      </c>
      <c r="C988" s="5" t="s">
        <v>62</v>
      </c>
      <c r="D988" s="7">
        <v>45569</v>
      </c>
      <c r="E988" s="7"/>
      <c r="F988" s="6" t="s">
        <v>638</v>
      </c>
      <c r="G988" s="6">
        <v>3</v>
      </c>
      <c r="H988" s="5" t="s">
        <v>46</v>
      </c>
      <c r="I988" s="6">
        <v>1</v>
      </c>
      <c r="J988" s="5" t="s">
        <v>97</v>
      </c>
      <c r="K988" s="6">
        <v>43440</v>
      </c>
      <c r="L988" s="5" t="s">
        <v>65</v>
      </c>
      <c r="M988" s="5" t="s">
        <v>27</v>
      </c>
      <c r="N988" s="5" t="s">
        <v>28</v>
      </c>
      <c r="O988" s="7">
        <v>45539</v>
      </c>
      <c r="P988" s="7">
        <v>45539.666666666664</v>
      </c>
      <c r="Q988" s="5" t="s">
        <v>31</v>
      </c>
      <c r="R988" s="5" t="s">
        <v>32</v>
      </c>
      <c r="S988" s="5" t="s">
        <v>33</v>
      </c>
      <c r="T988" s="6">
        <v>7</v>
      </c>
      <c r="U988" s="6">
        <v>12</v>
      </c>
      <c r="V988" s="5" t="s">
        <v>34</v>
      </c>
      <c r="W988" s="8"/>
      <c r="Y988">
        <f t="shared" si="18"/>
        <v>58.333333333333336</v>
      </c>
    </row>
    <row r="989" spans="1:25" ht="15.75" customHeight="1">
      <c r="A989" s="5" t="s">
        <v>1925</v>
      </c>
      <c r="B989" s="6">
        <v>83</v>
      </c>
      <c r="C989" s="5" t="s">
        <v>36</v>
      </c>
      <c r="D989" s="6" t="s">
        <v>223</v>
      </c>
      <c r="E989" s="6"/>
      <c r="F989" s="6" t="s">
        <v>354</v>
      </c>
      <c r="G989" s="6">
        <v>14</v>
      </c>
      <c r="H989" s="5" t="s">
        <v>38</v>
      </c>
      <c r="I989" s="6">
        <v>4</v>
      </c>
      <c r="J989" s="5" t="s">
        <v>25</v>
      </c>
      <c r="K989" s="6">
        <v>6502</v>
      </c>
      <c r="L989" s="5" t="s">
        <v>90</v>
      </c>
      <c r="M989" s="5" t="s">
        <v>27</v>
      </c>
      <c r="N989" s="5" t="s">
        <v>28</v>
      </c>
      <c r="O989" s="7">
        <v>45627</v>
      </c>
      <c r="P989" s="7">
        <v>45627.291666666664</v>
      </c>
      <c r="Q989" s="5" t="s">
        <v>43</v>
      </c>
      <c r="R989" s="5" t="s">
        <v>32</v>
      </c>
      <c r="S989" s="5" t="s">
        <v>33</v>
      </c>
      <c r="T989" s="6">
        <v>10</v>
      </c>
      <c r="U989" s="6">
        <v>12</v>
      </c>
      <c r="V989" s="5" t="s">
        <v>54</v>
      </c>
      <c r="W989" s="8"/>
      <c r="Y989">
        <f t="shared" si="18"/>
        <v>83.333333333333343</v>
      </c>
    </row>
    <row r="990" spans="1:25" ht="15.75" customHeight="1">
      <c r="A990" s="5" t="s">
        <v>1926</v>
      </c>
      <c r="B990" s="6">
        <v>78</v>
      </c>
      <c r="C990" s="5" t="s">
        <v>36</v>
      </c>
      <c r="D990" s="6" t="s">
        <v>164</v>
      </c>
      <c r="E990" s="6"/>
      <c r="F990" s="7">
        <v>45087</v>
      </c>
      <c r="G990" s="6">
        <v>10</v>
      </c>
      <c r="H990" s="5" t="s">
        <v>83</v>
      </c>
      <c r="I990" s="6">
        <v>5</v>
      </c>
      <c r="J990" s="5" t="s">
        <v>89</v>
      </c>
      <c r="K990" s="6">
        <v>39178</v>
      </c>
      <c r="L990" s="5" t="s">
        <v>90</v>
      </c>
      <c r="M990" s="5" t="s">
        <v>27</v>
      </c>
      <c r="N990" s="5" t="s">
        <v>28</v>
      </c>
      <c r="O990" s="6" t="s">
        <v>703</v>
      </c>
      <c r="P990" s="6" t="s">
        <v>1927</v>
      </c>
      <c r="Q990" s="5" t="s">
        <v>31</v>
      </c>
      <c r="R990" s="5" t="s">
        <v>32</v>
      </c>
      <c r="S990" s="5" t="s">
        <v>33</v>
      </c>
      <c r="T990" s="6">
        <v>7</v>
      </c>
      <c r="U990" s="6">
        <v>10</v>
      </c>
      <c r="V990" s="5" t="s">
        <v>34</v>
      </c>
      <c r="W990" s="8"/>
      <c r="Y990">
        <f t="shared" si="18"/>
        <v>70</v>
      </c>
    </row>
    <row r="991" spans="1:25" ht="15.75" customHeight="1">
      <c r="A991" s="5" t="s">
        <v>1928</v>
      </c>
      <c r="B991" s="6">
        <v>26</v>
      </c>
      <c r="C991" s="5" t="s">
        <v>22</v>
      </c>
      <c r="D991" s="6" t="s">
        <v>216</v>
      </c>
      <c r="E991" s="6"/>
      <c r="F991" s="7">
        <v>45445</v>
      </c>
      <c r="G991" s="6">
        <v>11</v>
      </c>
      <c r="H991" s="5" t="s">
        <v>38</v>
      </c>
      <c r="I991" s="6">
        <v>5</v>
      </c>
      <c r="J991" s="5" t="s">
        <v>52</v>
      </c>
      <c r="K991" s="6">
        <v>8770</v>
      </c>
      <c r="L991" s="5" t="s">
        <v>90</v>
      </c>
      <c r="M991" s="5" t="s">
        <v>66</v>
      </c>
      <c r="N991" s="5" t="s">
        <v>28</v>
      </c>
      <c r="O991" s="6" t="s">
        <v>355</v>
      </c>
      <c r="P991" s="6" t="s">
        <v>1929</v>
      </c>
      <c r="Q991" s="5" t="s">
        <v>48</v>
      </c>
      <c r="R991" s="5" t="s">
        <v>44</v>
      </c>
      <c r="S991" s="5" t="s">
        <v>33</v>
      </c>
      <c r="T991" s="6">
        <v>11</v>
      </c>
      <c r="U991" s="6">
        <v>12</v>
      </c>
      <c r="V991" s="5" t="s">
        <v>54</v>
      </c>
      <c r="W991" s="8"/>
      <c r="Y991">
        <f t="shared" si="18"/>
        <v>91.666666666666657</v>
      </c>
    </row>
    <row r="992" spans="1:25" ht="15.75" customHeight="1">
      <c r="A992" s="5" t="s">
        <v>1930</v>
      </c>
      <c r="B992" s="6">
        <v>62</v>
      </c>
      <c r="C992" s="5" t="s">
        <v>51</v>
      </c>
      <c r="D992" s="6" t="s">
        <v>323</v>
      </c>
      <c r="E992" s="6"/>
      <c r="F992" s="6" t="s">
        <v>231</v>
      </c>
      <c r="G992" s="6">
        <v>13</v>
      </c>
      <c r="H992" s="5" t="s">
        <v>24</v>
      </c>
      <c r="I992" s="6">
        <v>3</v>
      </c>
      <c r="J992" s="5" t="s">
        <v>89</v>
      </c>
      <c r="K992" s="6">
        <v>47865</v>
      </c>
      <c r="L992" s="5" t="s">
        <v>40</v>
      </c>
      <c r="M992" s="5" t="s">
        <v>27</v>
      </c>
      <c r="N992" s="5" t="s">
        <v>28</v>
      </c>
      <c r="O992" s="6" t="s">
        <v>223</v>
      </c>
      <c r="P992" s="6" t="s">
        <v>1931</v>
      </c>
      <c r="Q992" s="5" t="s">
        <v>69</v>
      </c>
      <c r="R992" s="5" t="s">
        <v>32</v>
      </c>
      <c r="S992" s="5" t="s">
        <v>49</v>
      </c>
      <c r="T992" s="6">
        <v>4</v>
      </c>
      <c r="U992" s="6">
        <v>10</v>
      </c>
      <c r="V992" s="5" t="s">
        <v>92</v>
      </c>
      <c r="W992" s="8"/>
      <c r="Y992">
        <f t="shared" si="18"/>
        <v>40</v>
      </c>
    </row>
    <row r="993" spans="1:25" ht="15.75" customHeight="1">
      <c r="A993" s="5" t="s">
        <v>1932</v>
      </c>
      <c r="B993" s="6">
        <v>4</v>
      </c>
      <c r="C993" s="5" t="s">
        <v>22</v>
      </c>
      <c r="D993" s="6" t="s">
        <v>94</v>
      </c>
      <c r="E993" s="6"/>
      <c r="F993" s="6" t="s">
        <v>761</v>
      </c>
      <c r="G993" s="6">
        <v>8</v>
      </c>
      <c r="H993" s="5" t="s">
        <v>83</v>
      </c>
      <c r="I993" s="6">
        <v>4</v>
      </c>
      <c r="J993" s="5" t="s">
        <v>39</v>
      </c>
      <c r="K993" s="6">
        <v>9001</v>
      </c>
      <c r="L993" s="5" t="s">
        <v>80</v>
      </c>
      <c r="M993" s="5" t="s">
        <v>66</v>
      </c>
      <c r="N993" s="5" t="s">
        <v>28</v>
      </c>
      <c r="O993" s="6" t="s">
        <v>150</v>
      </c>
      <c r="P993" s="6" t="s">
        <v>1933</v>
      </c>
      <c r="Q993" s="5" t="s">
        <v>48</v>
      </c>
      <c r="R993" s="5" t="s">
        <v>32</v>
      </c>
      <c r="S993" s="5" t="s">
        <v>53</v>
      </c>
      <c r="T993" s="6">
        <v>11</v>
      </c>
      <c r="U993" s="6">
        <v>12</v>
      </c>
      <c r="V993" s="5" t="s">
        <v>92</v>
      </c>
      <c r="W993" s="8"/>
      <c r="Y993">
        <f t="shared" si="18"/>
        <v>91.666666666666657</v>
      </c>
    </row>
    <row r="994" spans="1:25" ht="15.75" customHeight="1">
      <c r="A994" s="5" t="s">
        <v>1934</v>
      </c>
      <c r="B994" s="6">
        <v>89</v>
      </c>
      <c r="C994" s="5" t="s">
        <v>82</v>
      </c>
      <c r="D994" s="6" t="s">
        <v>201</v>
      </c>
      <c r="E994" s="6"/>
      <c r="F994" s="6" t="s">
        <v>516</v>
      </c>
      <c r="G994" s="6">
        <v>1</v>
      </c>
      <c r="H994" s="5" t="s">
        <v>73</v>
      </c>
      <c r="I994" s="6">
        <v>1</v>
      </c>
      <c r="J994" s="5" t="s">
        <v>52</v>
      </c>
      <c r="K994" s="6">
        <v>25946</v>
      </c>
      <c r="L994" s="5" t="s">
        <v>26</v>
      </c>
      <c r="M994" s="5" t="s">
        <v>66</v>
      </c>
      <c r="N994" s="5" t="s">
        <v>47</v>
      </c>
      <c r="O994" s="6" t="s">
        <v>201</v>
      </c>
      <c r="P994" s="6" t="s">
        <v>1759</v>
      </c>
      <c r="Q994" s="5" t="s">
        <v>48</v>
      </c>
      <c r="R994" s="5" t="s">
        <v>32</v>
      </c>
      <c r="S994" s="5" t="s">
        <v>49</v>
      </c>
      <c r="T994" s="6">
        <v>4</v>
      </c>
      <c r="U994" s="6">
        <v>8</v>
      </c>
      <c r="V994" s="5" t="s">
        <v>92</v>
      </c>
      <c r="W994" s="8"/>
      <c r="Y994">
        <f t="shared" si="18"/>
        <v>50</v>
      </c>
    </row>
    <row r="995" spans="1:25" ht="15.75" customHeight="1">
      <c r="A995" s="5" t="s">
        <v>1935</v>
      </c>
      <c r="B995" s="6">
        <v>42</v>
      </c>
      <c r="C995" s="5" t="s">
        <v>62</v>
      </c>
      <c r="D995" s="6" t="s">
        <v>359</v>
      </c>
      <c r="E995" s="6"/>
      <c r="F995" s="6" t="s">
        <v>1029</v>
      </c>
      <c r="G995" s="6">
        <v>3</v>
      </c>
      <c r="H995" s="5" t="s">
        <v>46</v>
      </c>
      <c r="I995" s="6">
        <v>1</v>
      </c>
      <c r="J995" s="5" t="s">
        <v>89</v>
      </c>
      <c r="K995" s="6">
        <v>5598</v>
      </c>
      <c r="L995" s="5" t="s">
        <v>40</v>
      </c>
      <c r="M995" s="5" t="s">
        <v>66</v>
      </c>
      <c r="N995" s="5" t="s">
        <v>28</v>
      </c>
      <c r="O995" s="6" t="s">
        <v>359</v>
      </c>
      <c r="P995" s="6" t="s">
        <v>1936</v>
      </c>
      <c r="Q995" s="5" t="s">
        <v>43</v>
      </c>
      <c r="R995" s="5" t="s">
        <v>32</v>
      </c>
      <c r="S995" s="5" t="s">
        <v>33</v>
      </c>
      <c r="T995" s="6">
        <v>7</v>
      </c>
      <c r="U995" s="6">
        <v>12</v>
      </c>
      <c r="V995" s="5" t="s">
        <v>92</v>
      </c>
      <c r="W995" s="8"/>
      <c r="Y995">
        <f t="shared" si="18"/>
        <v>58.333333333333336</v>
      </c>
    </row>
    <row r="996" spans="1:25" ht="15.75" customHeight="1">
      <c r="A996" s="5" t="s">
        <v>1937</v>
      </c>
      <c r="B996" s="6">
        <v>89</v>
      </c>
      <c r="C996" s="5" t="s">
        <v>47</v>
      </c>
      <c r="D996" s="6" t="s">
        <v>37</v>
      </c>
      <c r="E996" s="6"/>
      <c r="F996" s="6" t="s">
        <v>107</v>
      </c>
      <c r="G996" s="6">
        <v>2</v>
      </c>
      <c r="H996" s="5" t="s">
        <v>24</v>
      </c>
      <c r="I996" s="6">
        <v>5</v>
      </c>
      <c r="J996" s="5" t="s">
        <v>97</v>
      </c>
      <c r="K996" s="6">
        <v>35316</v>
      </c>
      <c r="L996" s="5" t="s">
        <v>90</v>
      </c>
      <c r="M996" s="5" t="s">
        <v>66</v>
      </c>
      <c r="N996" s="5" t="s">
        <v>47</v>
      </c>
      <c r="O996" s="6" t="s">
        <v>750</v>
      </c>
      <c r="P996" s="6" t="s">
        <v>1938</v>
      </c>
      <c r="Q996" s="5" t="s">
        <v>48</v>
      </c>
      <c r="R996" s="5" t="s">
        <v>32</v>
      </c>
      <c r="S996" s="5" t="s">
        <v>53</v>
      </c>
      <c r="T996" s="6">
        <v>5</v>
      </c>
      <c r="U996" s="6">
        <v>8</v>
      </c>
      <c r="V996" s="5" t="s">
        <v>54</v>
      </c>
      <c r="W996" s="8"/>
      <c r="Y996">
        <f t="shared" si="18"/>
        <v>62.5</v>
      </c>
    </row>
    <row r="997" spans="1:25" ht="15.75" customHeight="1">
      <c r="A997" s="5" t="s">
        <v>1939</v>
      </c>
      <c r="B997" s="6">
        <v>18</v>
      </c>
      <c r="C997" s="5" t="s">
        <v>62</v>
      </c>
      <c r="D997" s="7">
        <v>44969</v>
      </c>
      <c r="E997" s="7"/>
      <c r="F997" s="7">
        <v>45089</v>
      </c>
      <c r="G997" s="6">
        <v>4</v>
      </c>
      <c r="H997" s="5" t="s">
        <v>58</v>
      </c>
      <c r="I997" s="6">
        <v>5</v>
      </c>
      <c r="J997" s="5" t="s">
        <v>52</v>
      </c>
      <c r="K997" s="6">
        <v>30567</v>
      </c>
      <c r="L997" s="5" t="s">
        <v>40</v>
      </c>
      <c r="M997" s="5" t="s">
        <v>66</v>
      </c>
      <c r="N997" s="5" t="s">
        <v>28</v>
      </c>
      <c r="O997" s="6" t="s">
        <v>277</v>
      </c>
      <c r="P997" s="6" t="s">
        <v>1940</v>
      </c>
      <c r="Q997" s="5" t="s">
        <v>43</v>
      </c>
      <c r="R997" s="5" t="s">
        <v>32</v>
      </c>
      <c r="S997" s="5" t="s">
        <v>53</v>
      </c>
      <c r="T997" s="6">
        <v>10</v>
      </c>
      <c r="U997" s="6">
        <v>10</v>
      </c>
      <c r="V997" s="5" t="s">
        <v>34</v>
      </c>
      <c r="W997" s="8"/>
      <c r="Y997">
        <f t="shared" si="18"/>
        <v>100</v>
      </c>
    </row>
    <row r="998" spans="1:25" ht="15.75" customHeight="1">
      <c r="A998" s="5" t="s">
        <v>1941</v>
      </c>
      <c r="B998" s="6">
        <v>40</v>
      </c>
      <c r="C998" s="5" t="s">
        <v>62</v>
      </c>
      <c r="D998" s="6" t="s">
        <v>869</v>
      </c>
      <c r="E998" s="6"/>
      <c r="F998" s="6" t="s">
        <v>201</v>
      </c>
      <c r="G998" s="6">
        <v>13</v>
      </c>
      <c r="H998" s="5" t="s">
        <v>83</v>
      </c>
      <c r="I998" s="6">
        <v>2</v>
      </c>
      <c r="J998" s="5" t="s">
        <v>52</v>
      </c>
      <c r="K998" s="6">
        <v>31508</v>
      </c>
      <c r="L998" s="5" t="s">
        <v>65</v>
      </c>
      <c r="M998" s="5" t="s">
        <v>66</v>
      </c>
      <c r="N998" s="5" t="s">
        <v>47</v>
      </c>
      <c r="O998" s="7">
        <v>45238</v>
      </c>
      <c r="P998" s="7">
        <v>45238.541666666664</v>
      </c>
      <c r="Q998" s="5" t="s">
        <v>69</v>
      </c>
      <c r="R998" s="5" t="s">
        <v>32</v>
      </c>
      <c r="S998" s="5" t="s">
        <v>33</v>
      </c>
      <c r="T998" s="6">
        <v>4</v>
      </c>
      <c r="U998" s="6">
        <v>10</v>
      </c>
      <c r="V998" s="5" t="s">
        <v>92</v>
      </c>
      <c r="W998" s="8"/>
      <c r="Y998">
        <f t="shared" si="18"/>
        <v>40</v>
      </c>
    </row>
    <row r="999" spans="1:25" ht="15.75" customHeight="1">
      <c r="A999" s="5" t="s">
        <v>1942</v>
      </c>
      <c r="B999" s="6">
        <v>72</v>
      </c>
      <c r="C999" s="5" t="s">
        <v>22</v>
      </c>
      <c r="D999" s="7">
        <v>45080</v>
      </c>
      <c r="E999" s="7"/>
      <c r="F999" s="6" t="s">
        <v>728</v>
      </c>
      <c r="G999" s="6">
        <v>11</v>
      </c>
      <c r="H999" s="5" t="s">
        <v>83</v>
      </c>
      <c r="I999" s="6">
        <v>5</v>
      </c>
      <c r="J999" s="5" t="s">
        <v>25</v>
      </c>
      <c r="K999" s="6">
        <v>48744</v>
      </c>
      <c r="L999" s="5" t="s">
        <v>90</v>
      </c>
      <c r="M999" s="5" t="s">
        <v>66</v>
      </c>
      <c r="N999" s="5" t="s">
        <v>47</v>
      </c>
      <c r="O999" s="7">
        <v>44960</v>
      </c>
      <c r="P999" s="7">
        <v>44988.083333333336</v>
      </c>
      <c r="Q999" s="5" t="s">
        <v>69</v>
      </c>
      <c r="R999" s="5" t="s">
        <v>32</v>
      </c>
      <c r="S999" s="5" t="s">
        <v>33</v>
      </c>
      <c r="T999" s="6">
        <v>8</v>
      </c>
      <c r="U999" s="6">
        <v>10</v>
      </c>
      <c r="V999" s="5" t="s">
        <v>54</v>
      </c>
      <c r="W999" s="8"/>
      <c r="Y999">
        <f t="shared" si="18"/>
        <v>80</v>
      </c>
    </row>
    <row r="1000" spans="1:25" ht="15.75" customHeight="1">
      <c r="A1000" s="5" t="s">
        <v>1943</v>
      </c>
      <c r="B1000" s="6">
        <v>39</v>
      </c>
      <c r="C1000" s="5" t="s">
        <v>47</v>
      </c>
      <c r="D1000" s="6" t="s">
        <v>1055</v>
      </c>
      <c r="E1000" s="6"/>
      <c r="F1000" s="6" t="s">
        <v>531</v>
      </c>
      <c r="G1000" s="6">
        <v>6</v>
      </c>
      <c r="H1000" s="5" t="s">
        <v>24</v>
      </c>
      <c r="I1000" s="6">
        <v>2</v>
      </c>
      <c r="J1000" s="5" t="s">
        <v>97</v>
      </c>
      <c r="K1000" s="6">
        <v>44159</v>
      </c>
      <c r="L1000" s="5" t="s">
        <v>65</v>
      </c>
      <c r="M1000" s="5" t="s">
        <v>66</v>
      </c>
      <c r="N1000" s="5" t="s">
        <v>28</v>
      </c>
      <c r="O1000" s="6" t="s">
        <v>170</v>
      </c>
      <c r="P1000" s="6" t="s">
        <v>124</v>
      </c>
      <c r="Q1000" s="5" t="s">
        <v>43</v>
      </c>
      <c r="R1000" s="5" t="s">
        <v>32</v>
      </c>
      <c r="S1000" s="5" t="s">
        <v>33</v>
      </c>
      <c r="T1000" s="6">
        <v>10</v>
      </c>
      <c r="U1000" s="6">
        <v>8</v>
      </c>
      <c r="V1000" s="5" t="s">
        <v>34</v>
      </c>
      <c r="W1000" s="8"/>
      <c r="Y1000">
        <f t="shared" si="18"/>
        <v>125</v>
      </c>
    </row>
    <row r="1001" spans="1:25" ht="15.75" customHeight="1">
      <c r="A1001" s="5" t="s">
        <v>1944</v>
      </c>
      <c r="B1001" s="6">
        <v>14</v>
      </c>
      <c r="C1001" s="5" t="s">
        <v>47</v>
      </c>
      <c r="D1001" s="7">
        <v>45088</v>
      </c>
      <c r="E1001" s="7"/>
      <c r="F1001" s="7">
        <v>45271</v>
      </c>
      <c r="G1001" s="6">
        <v>6</v>
      </c>
      <c r="H1001" s="5" t="s">
        <v>24</v>
      </c>
      <c r="I1001" s="6">
        <v>1</v>
      </c>
      <c r="J1001" s="5" t="s">
        <v>39</v>
      </c>
      <c r="K1001" s="6">
        <v>35276</v>
      </c>
      <c r="L1001" s="5" t="s">
        <v>90</v>
      </c>
      <c r="M1001" s="5" t="s">
        <v>27</v>
      </c>
      <c r="N1001" s="5" t="s">
        <v>28</v>
      </c>
      <c r="O1001" s="7">
        <v>45088</v>
      </c>
      <c r="P1001" s="7">
        <v>45118.833333333336</v>
      </c>
      <c r="Q1001" s="5" t="s">
        <v>31</v>
      </c>
      <c r="R1001" s="5" t="s">
        <v>32</v>
      </c>
      <c r="S1001" s="5" t="s">
        <v>33</v>
      </c>
      <c r="T1001" s="6">
        <v>8</v>
      </c>
      <c r="U1001" s="6">
        <v>10</v>
      </c>
      <c r="V1001" s="5" t="s">
        <v>92</v>
      </c>
      <c r="W1001" s="8"/>
      <c r="Y1001">
        <f t="shared" si="18"/>
        <v>80</v>
      </c>
    </row>
    <row r="1002" spans="1:25" ht="15.75" customHeight="1">
      <c r="G1002" s="9"/>
      <c r="H1002" s="9"/>
      <c r="M1002">
        <f>COUNTIF(M2:M1001,"Yes")</f>
        <v>617</v>
      </c>
    </row>
    <row r="1003" spans="1:25" ht="15.75" customHeight="1">
      <c r="G1003" s="9"/>
      <c r="H1003" s="9"/>
    </row>
    <row r="1004" spans="1:25" ht="15.75" customHeight="1">
      <c r="G1004" s="9"/>
      <c r="H1004" s="9"/>
    </row>
    <row r="1005" spans="1:25" ht="15.75" customHeight="1">
      <c r="G1005" s="9"/>
      <c r="H1005" s="9"/>
    </row>
    <row r="1006" spans="1:25" ht="15.75" customHeight="1">
      <c r="G1006" s="9"/>
      <c r="H1006" s="9"/>
    </row>
    <row r="1007" spans="1:25" ht="15.75" customHeight="1">
      <c r="G1007" s="9"/>
      <c r="H1007" s="9"/>
    </row>
    <row r="1008" spans="1:25" ht="15.75" customHeight="1">
      <c r="G1008" s="9"/>
      <c r="H1008" s="9"/>
    </row>
    <row r="1009" spans="7:8" ht="15.75" customHeight="1">
      <c r="G1009" s="9"/>
      <c r="H1009" s="9"/>
    </row>
    <row r="1010" spans="7:8" ht="15.75" customHeight="1">
      <c r="G1010" s="9"/>
      <c r="H1010" s="9"/>
    </row>
    <row r="1011" spans="7:8" ht="15.75" customHeight="1">
      <c r="G1011" s="9"/>
      <c r="H1011" s="9"/>
    </row>
    <row r="1012" spans="7:8" ht="15.75" customHeight="1">
      <c r="G1012" s="9"/>
      <c r="H1012" s="9"/>
    </row>
    <row r="1013" spans="7:8" ht="15.75" customHeight="1">
      <c r="G1013" s="9"/>
      <c r="H1013" s="9"/>
    </row>
    <row r="1014" spans="7:8" ht="15.75" customHeight="1">
      <c r="G1014" s="9"/>
      <c r="H1014" s="9"/>
    </row>
    <row r="1015" spans="7:8" ht="15.75" customHeight="1">
      <c r="G1015" s="9"/>
      <c r="H1015" s="9"/>
    </row>
    <row r="1016" spans="7:8" ht="15.75" customHeight="1">
      <c r="G1016" s="9"/>
      <c r="H1016" s="9"/>
    </row>
    <row r="1017" spans="7:8" ht="15.75" customHeight="1">
      <c r="G1017" s="9"/>
      <c r="H1017" s="9"/>
    </row>
    <row r="1018" spans="7:8" ht="15.75" customHeight="1">
      <c r="G1018" s="9"/>
      <c r="H1018" s="9"/>
    </row>
    <row r="1019" spans="7:8" ht="15.75" customHeight="1">
      <c r="G1019" s="9"/>
      <c r="H1019" s="9"/>
    </row>
    <row r="1020" spans="7:8" ht="15.75" customHeight="1">
      <c r="G1020" s="9"/>
      <c r="H1020" s="9"/>
    </row>
    <row r="1021" spans="7:8" ht="15.75" customHeight="1">
      <c r="G1021" s="9"/>
      <c r="H1021" s="9"/>
    </row>
    <row r="1022" spans="7:8" ht="15.75" customHeight="1">
      <c r="G1022" s="9"/>
      <c r="H1022" s="9"/>
    </row>
    <row r="1023" spans="7:8" ht="15.75" customHeight="1">
      <c r="G1023" s="9"/>
      <c r="H1023" s="9"/>
    </row>
    <row r="1024" spans="7:8" ht="15.75" customHeight="1">
      <c r="G1024" s="9"/>
      <c r="H1024" s="9"/>
    </row>
    <row r="1025" spans="7:8" ht="15.75" customHeight="1">
      <c r="G1025" s="9"/>
      <c r="H1025" s="9"/>
    </row>
    <row r="1026" spans="7:8" ht="15.75" customHeight="1">
      <c r="G1026" s="9"/>
      <c r="H1026" s="9"/>
    </row>
    <row r="1027" spans="7:8" ht="15.75" customHeight="1">
      <c r="G1027" s="9"/>
      <c r="H1027" s="9"/>
    </row>
    <row r="1028" spans="7:8" ht="15.75" customHeight="1">
      <c r="G1028" s="9"/>
      <c r="H1028" s="9"/>
    </row>
    <row r="1029" spans="7:8" ht="15.75" customHeight="1">
      <c r="G1029" s="9"/>
      <c r="H1029" s="9"/>
    </row>
    <row r="1030" spans="7:8" ht="15.75" customHeight="1">
      <c r="G1030" s="9"/>
      <c r="H1030" s="9"/>
    </row>
    <row r="1031" spans="7:8" ht="15.75" customHeight="1">
      <c r="G1031" s="9"/>
      <c r="H1031" s="9"/>
    </row>
    <row r="1032" spans="7:8" ht="15.75" customHeight="1">
      <c r="G1032" s="9"/>
      <c r="H1032" s="9"/>
    </row>
    <row r="1033" spans="7:8" ht="15.75" customHeight="1">
      <c r="G1033" s="9"/>
      <c r="H1033" s="9"/>
    </row>
    <row r="1034" spans="7:8" ht="15.75" customHeight="1">
      <c r="G1034" s="9"/>
      <c r="H1034" s="9"/>
    </row>
    <row r="1035" spans="7:8" ht="15.75" customHeight="1">
      <c r="G1035" s="9"/>
      <c r="H1035" s="9"/>
    </row>
    <row r="1036" spans="7:8" ht="15.75" customHeight="1">
      <c r="G1036" s="9"/>
      <c r="H1036" s="9"/>
    </row>
    <row r="1037" spans="7:8" ht="15.75" customHeight="1">
      <c r="G1037" s="9"/>
      <c r="H1037" s="9"/>
    </row>
    <row r="1038" spans="7:8" ht="15.75" customHeight="1">
      <c r="G1038" s="9"/>
      <c r="H1038" s="9"/>
    </row>
    <row r="1039" spans="7:8" ht="15.75" customHeight="1">
      <c r="G1039" s="9"/>
      <c r="H1039" s="9"/>
    </row>
    <row r="1040" spans="7:8" ht="15.75" customHeight="1">
      <c r="G1040" s="9"/>
      <c r="H1040" s="9"/>
    </row>
    <row r="1041" spans="7:8" ht="15.75" customHeight="1">
      <c r="G1041" s="9"/>
      <c r="H1041" s="9"/>
    </row>
    <row r="1042" spans="7:8" ht="15.75" customHeight="1">
      <c r="G1042" s="9"/>
      <c r="H1042" s="9"/>
    </row>
    <row r="1043" spans="7:8" ht="15.75" customHeight="1">
      <c r="G1043" s="9"/>
      <c r="H1043" s="9"/>
    </row>
    <row r="1044" spans="7:8" ht="15.75" customHeight="1">
      <c r="G1044" s="9"/>
      <c r="H1044" s="9"/>
    </row>
    <row r="1045" spans="7:8" ht="15.75" customHeight="1">
      <c r="G1045" s="9"/>
      <c r="H1045" s="9"/>
    </row>
    <row r="1046" spans="7:8" ht="15.75" customHeight="1">
      <c r="G1046" s="9"/>
      <c r="H1046" s="9"/>
    </row>
    <row r="1047" spans="7:8" ht="15.75" customHeight="1">
      <c r="G1047" s="9"/>
      <c r="H1047" s="9"/>
    </row>
    <row r="1048" spans="7:8" ht="15.75" customHeight="1">
      <c r="G1048" s="9"/>
      <c r="H1048" s="9"/>
    </row>
    <row r="1049" spans="7:8" ht="15.75" customHeight="1">
      <c r="G1049" s="9"/>
      <c r="H1049" s="9"/>
    </row>
    <row r="1050" spans="7:8" ht="15.75" customHeight="1">
      <c r="G1050" s="9"/>
      <c r="H1050" s="9"/>
    </row>
    <row r="1051" spans="7:8" ht="15.75" customHeight="1">
      <c r="G1051" s="9"/>
      <c r="H1051" s="9"/>
    </row>
    <row r="1052" spans="7:8" ht="15.75" customHeight="1">
      <c r="G1052" s="9"/>
      <c r="H1052" s="9"/>
    </row>
    <row r="1053" spans="7:8" ht="15.75" customHeight="1">
      <c r="G1053" s="9"/>
      <c r="H1053" s="9"/>
    </row>
    <row r="1054" spans="7:8" ht="15.75" customHeight="1">
      <c r="G1054" s="9"/>
      <c r="H1054" s="9"/>
    </row>
    <row r="1055" spans="7:8" ht="15.75" customHeight="1">
      <c r="G1055" s="9"/>
      <c r="H1055" s="9"/>
    </row>
    <row r="1056" spans="7:8" ht="15.75" customHeight="1">
      <c r="G1056" s="9"/>
      <c r="H1056" s="9"/>
    </row>
    <row r="1057" spans="7:8" ht="15.75" customHeight="1">
      <c r="G1057" s="9"/>
      <c r="H1057" s="9"/>
    </row>
    <row r="1058" spans="7:8" ht="15.75" customHeight="1">
      <c r="G1058" s="9"/>
      <c r="H1058" s="9"/>
    </row>
    <row r="1059" spans="7:8" ht="15.75" customHeight="1">
      <c r="G1059" s="9"/>
      <c r="H1059" s="9"/>
    </row>
    <row r="1060" spans="7:8" ht="15.75" customHeight="1">
      <c r="G1060" s="9"/>
      <c r="H1060" s="9"/>
    </row>
    <row r="1061" spans="7:8" ht="15.75" customHeight="1">
      <c r="G1061" s="9"/>
      <c r="H1061" s="9"/>
    </row>
    <row r="1062" spans="7:8" ht="15.75" customHeight="1">
      <c r="G1062" s="9"/>
      <c r="H1062" s="9"/>
    </row>
    <row r="1063" spans="7:8" ht="15.75" customHeight="1">
      <c r="G1063" s="9"/>
      <c r="H1063" s="9"/>
    </row>
    <row r="1064" spans="7:8" ht="15.75" customHeight="1">
      <c r="G1064" s="9"/>
      <c r="H1064" s="9"/>
    </row>
    <row r="1065" spans="7:8" ht="15.75" customHeight="1">
      <c r="G1065" s="9"/>
      <c r="H1065" s="9"/>
    </row>
    <row r="1066" spans="7:8" ht="15.75" customHeight="1">
      <c r="G1066" s="9"/>
      <c r="H1066" s="9"/>
    </row>
    <row r="1067" spans="7:8" ht="15.75" customHeight="1">
      <c r="G1067" s="9"/>
      <c r="H1067" s="9"/>
    </row>
    <row r="1068" spans="7:8" ht="15.75" customHeight="1">
      <c r="G1068" s="9"/>
      <c r="H1068" s="9"/>
    </row>
    <row r="1069" spans="7:8" ht="15.75" customHeight="1">
      <c r="G1069" s="9"/>
      <c r="H1069" s="9"/>
    </row>
    <row r="1070" spans="7:8" ht="15.75" customHeight="1">
      <c r="G1070" s="9"/>
      <c r="H1070" s="9"/>
    </row>
    <row r="1071" spans="7:8" ht="15.75" customHeight="1">
      <c r="G1071" s="9"/>
      <c r="H1071" s="9"/>
    </row>
    <row r="1072" spans="7:8" ht="15.75" customHeight="1">
      <c r="G1072" s="9"/>
      <c r="H1072" s="9"/>
    </row>
    <row r="1073" spans="7:8" ht="15.75" customHeight="1">
      <c r="G1073" s="9"/>
      <c r="H1073" s="9"/>
    </row>
    <row r="1074" spans="7:8" ht="15.75" customHeight="1">
      <c r="G1074" s="9"/>
      <c r="H1074" s="9"/>
    </row>
    <row r="1075" spans="7:8" ht="15.75" customHeight="1">
      <c r="G1075" s="9"/>
      <c r="H1075" s="9"/>
    </row>
    <row r="1076" spans="7:8" ht="15.75" customHeight="1">
      <c r="G1076" s="9"/>
      <c r="H1076" s="9"/>
    </row>
    <row r="1077" spans="7:8" ht="15.75" customHeight="1">
      <c r="G1077" s="9"/>
      <c r="H1077" s="9"/>
    </row>
    <row r="1078" spans="7:8" ht="15.75" customHeight="1">
      <c r="G1078" s="9"/>
      <c r="H1078" s="9"/>
    </row>
    <row r="1079" spans="7:8" ht="15.75" customHeight="1">
      <c r="G1079" s="9"/>
      <c r="H1079" s="9"/>
    </row>
    <row r="1080" spans="7:8" ht="15.75" customHeight="1">
      <c r="G1080" s="9"/>
      <c r="H1080" s="9"/>
    </row>
    <row r="1081" spans="7:8" ht="15.75" customHeight="1">
      <c r="G1081" s="9"/>
      <c r="H1081" s="9"/>
    </row>
    <row r="1082" spans="7:8" ht="15.75" customHeight="1">
      <c r="G1082" s="9"/>
      <c r="H1082" s="9"/>
    </row>
    <row r="1083" spans="7:8" ht="15.75" customHeight="1">
      <c r="G1083" s="9"/>
      <c r="H1083" s="9"/>
    </row>
    <row r="1084" spans="7:8" ht="15.75" customHeight="1">
      <c r="G1084" s="9"/>
      <c r="H1084" s="9"/>
    </row>
    <row r="1085" spans="7:8" ht="15.75" customHeight="1">
      <c r="G1085" s="9"/>
      <c r="H1085" s="9"/>
    </row>
    <row r="1086" spans="7:8" ht="15.75" customHeight="1">
      <c r="G1086" s="9"/>
      <c r="H1086" s="9"/>
    </row>
    <row r="1087" spans="7:8" ht="15.75" customHeight="1">
      <c r="G1087" s="9"/>
      <c r="H1087" s="9"/>
    </row>
    <row r="1088" spans="7:8" ht="15.75" customHeight="1">
      <c r="G1088" s="9"/>
      <c r="H1088" s="9"/>
    </row>
    <row r="1089" spans="7:8" ht="15.75" customHeight="1">
      <c r="G1089" s="9"/>
      <c r="H1089" s="9"/>
    </row>
    <row r="1090" spans="7:8" ht="15.75" customHeight="1">
      <c r="G1090" s="9"/>
      <c r="H1090" s="9"/>
    </row>
    <row r="1091" spans="7:8" ht="15.75" customHeight="1">
      <c r="G1091" s="9"/>
      <c r="H1091" s="9"/>
    </row>
    <row r="1092" spans="7:8" ht="15.75" customHeight="1">
      <c r="G1092" s="9"/>
      <c r="H1092" s="9"/>
    </row>
    <row r="1093" spans="7:8" ht="15.75" customHeight="1">
      <c r="G1093" s="9"/>
      <c r="H1093" s="9"/>
    </row>
    <row r="1094" spans="7:8" ht="15.75" customHeight="1">
      <c r="G1094" s="9"/>
      <c r="H1094" s="9"/>
    </row>
    <row r="1095" spans="7:8" ht="15.75" customHeight="1">
      <c r="G1095" s="9"/>
      <c r="H1095" s="9"/>
    </row>
    <row r="1096" spans="7:8" ht="15.75" customHeight="1">
      <c r="G1096" s="9"/>
      <c r="H1096" s="9"/>
    </row>
    <row r="1097" spans="7:8" ht="15.75" customHeight="1">
      <c r="G1097" s="9"/>
      <c r="H1097" s="9"/>
    </row>
    <row r="1098" spans="7:8" ht="15.75" customHeight="1">
      <c r="G1098" s="9"/>
      <c r="H1098" s="9"/>
    </row>
    <row r="1099" spans="7:8" ht="15.75" customHeight="1">
      <c r="G1099" s="9"/>
      <c r="H1099" s="9"/>
    </row>
    <row r="1100" spans="7:8" ht="15.75" customHeight="1">
      <c r="G1100" s="9"/>
      <c r="H1100" s="9"/>
    </row>
    <row r="1101" spans="7:8" ht="15.75" customHeight="1">
      <c r="G1101" s="9"/>
      <c r="H1101" s="9"/>
    </row>
    <row r="1102" spans="7:8" ht="15.75" customHeight="1">
      <c r="G1102" s="9"/>
      <c r="H1102" s="9"/>
    </row>
    <row r="1103" spans="7:8" ht="15.75" customHeight="1">
      <c r="G1103" s="9"/>
      <c r="H1103" s="9"/>
    </row>
    <row r="1104" spans="7:8" ht="15.75" customHeight="1">
      <c r="G1104" s="9"/>
      <c r="H1104" s="9"/>
    </row>
    <row r="1105" spans="7:8" ht="15.75" customHeight="1">
      <c r="G1105" s="9"/>
      <c r="H1105" s="9"/>
    </row>
    <row r="1106" spans="7:8" ht="15.75" customHeight="1">
      <c r="G1106" s="9"/>
      <c r="H1106" s="9"/>
    </row>
    <row r="1107" spans="7:8" ht="15.75" customHeight="1">
      <c r="G1107" s="9"/>
      <c r="H1107" s="9"/>
    </row>
    <row r="1108" spans="7:8" ht="15.75" customHeight="1">
      <c r="G1108" s="9"/>
      <c r="H1108" s="9"/>
    </row>
    <row r="1109" spans="7:8" ht="15.75" customHeight="1">
      <c r="G1109" s="9"/>
      <c r="H1109" s="9"/>
    </row>
    <row r="1110" spans="7:8" ht="15.75" customHeight="1">
      <c r="G1110" s="9"/>
      <c r="H1110" s="9"/>
    </row>
    <row r="1111" spans="7:8" ht="15.75" customHeight="1">
      <c r="G1111" s="9"/>
      <c r="H1111" s="9"/>
    </row>
    <row r="1112" spans="7:8" ht="15.75" customHeight="1">
      <c r="G1112" s="9"/>
      <c r="H1112" s="9"/>
    </row>
    <row r="1113" spans="7:8" ht="15.75" customHeight="1">
      <c r="G1113" s="9"/>
      <c r="H1113" s="9"/>
    </row>
    <row r="1114" spans="7:8" ht="15.75" customHeight="1">
      <c r="G1114" s="9"/>
      <c r="H1114" s="9"/>
    </row>
    <row r="1115" spans="7:8" ht="15.75" customHeight="1">
      <c r="G1115" s="9"/>
      <c r="H1115" s="9"/>
    </row>
    <row r="1116" spans="7:8" ht="15.75" customHeight="1">
      <c r="G1116" s="9"/>
      <c r="H1116" s="9"/>
    </row>
    <row r="1117" spans="7:8" ht="15.75" customHeight="1">
      <c r="G1117" s="9"/>
      <c r="H1117" s="9"/>
    </row>
    <row r="1118" spans="7:8" ht="15.75" customHeight="1">
      <c r="G1118" s="9"/>
      <c r="H1118" s="9"/>
    </row>
    <row r="1119" spans="7:8" ht="15.75" customHeight="1">
      <c r="G1119" s="9"/>
      <c r="H1119" s="9"/>
    </row>
    <row r="1120" spans="7:8" ht="15.75" customHeight="1">
      <c r="G1120" s="9"/>
      <c r="H1120" s="9"/>
    </row>
    <row r="1121" spans="7:8" ht="15.75" customHeight="1">
      <c r="G1121" s="9"/>
      <c r="H1121" s="9"/>
    </row>
    <row r="1122" spans="7:8" ht="15.75" customHeight="1">
      <c r="G1122" s="9"/>
      <c r="H1122" s="9"/>
    </row>
    <row r="1123" spans="7:8" ht="15.75" customHeight="1">
      <c r="G1123" s="9"/>
      <c r="H1123" s="9"/>
    </row>
    <row r="1124" spans="7:8" ht="15.75" customHeight="1">
      <c r="G1124" s="9"/>
      <c r="H1124" s="9"/>
    </row>
    <row r="1125" spans="7:8" ht="15.75" customHeight="1">
      <c r="G1125" s="9"/>
      <c r="H1125" s="9"/>
    </row>
    <row r="1126" spans="7:8" ht="15.75" customHeight="1">
      <c r="G1126" s="9"/>
      <c r="H1126" s="9"/>
    </row>
    <row r="1127" spans="7:8" ht="15.75" customHeight="1">
      <c r="G1127" s="9"/>
      <c r="H1127" s="9"/>
    </row>
    <row r="1128" spans="7:8" ht="15.75" customHeight="1">
      <c r="G1128" s="9"/>
      <c r="H1128" s="9"/>
    </row>
    <row r="1129" spans="7:8" ht="15.75" customHeight="1">
      <c r="G1129" s="9"/>
      <c r="H1129" s="9"/>
    </row>
    <row r="1130" spans="7:8" ht="15.75" customHeight="1">
      <c r="G1130" s="9"/>
      <c r="H1130" s="9"/>
    </row>
    <row r="1131" spans="7:8" ht="15.75" customHeight="1">
      <c r="G1131" s="9"/>
      <c r="H1131" s="9"/>
    </row>
    <row r="1132" spans="7:8" ht="15.75" customHeight="1">
      <c r="G1132" s="9"/>
      <c r="H1132" s="9"/>
    </row>
    <row r="1133" spans="7:8" ht="15.75" customHeight="1">
      <c r="G1133" s="9"/>
      <c r="H1133" s="9"/>
    </row>
    <row r="1134" spans="7:8" ht="15.75" customHeight="1">
      <c r="G1134" s="9"/>
      <c r="H1134" s="9"/>
    </row>
    <row r="1135" spans="7:8" ht="15.75" customHeight="1">
      <c r="G1135" s="9"/>
      <c r="H1135" s="9"/>
    </row>
    <row r="1136" spans="7:8" ht="15.75" customHeight="1">
      <c r="G1136" s="9"/>
      <c r="H1136" s="9"/>
    </row>
    <row r="1137" spans="7:8" ht="15.75" customHeight="1">
      <c r="G1137" s="9"/>
      <c r="H1137" s="9"/>
    </row>
    <row r="1138" spans="7:8" ht="15.75" customHeight="1">
      <c r="G1138" s="9"/>
      <c r="H1138" s="9"/>
    </row>
    <row r="1139" spans="7:8" ht="15.75" customHeight="1">
      <c r="G1139" s="9"/>
      <c r="H1139" s="9"/>
    </row>
    <row r="1140" spans="7:8" ht="15.75" customHeight="1">
      <c r="G1140" s="9"/>
      <c r="H1140" s="9"/>
    </row>
    <row r="1141" spans="7:8" ht="15.75" customHeight="1">
      <c r="G1141" s="9"/>
      <c r="H1141" s="9"/>
    </row>
    <row r="1142" spans="7:8" ht="15.75" customHeight="1">
      <c r="G1142" s="9"/>
      <c r="H1142" s="9"/>
    </row>
    <row r="1143" spans="7:8" ht="15.75" customHeight="1">
      <c r="G1143" s="9"/>
      <c r="H1143" s="9"/>
    </row>
    <row r="1144" spans="7:8" ht="15.75" customHeight="1">
      <c r="G1144" s="9"/>
      <c r="H1144" s="9"/>
    </row>
    <row r="1145" spans="7:8" ht="15.75" customHeight="1">
      <c r="G1145" s="9"/>
      <c r="H1145" s="9"/>
    </row>
    <row r="1146" spans="7:8" ht="15.75" customHeight="1">
      <c r="G1146" s="9"/>
      <c r="H1146" s="9"/>
    </row>
    <row r="1147" spans="7:8" ht="15.75" customHeight="1">
      <c r="G1147" s="9"/>
      <c r="H1147" s="9"/>
    </row>
    <row r="1148" spans="7:8" ht="15.75" customHeight="1">
      <c r="G1148" s="9"/>
      <c r="H1148" s="9"/>
    </row>
    <row r="1149" spans="7:8" ht="15.75" customHeight="1">
      <c r="G1149" s="9"/>
      <c r="H1149" s="9"/>
    </row>
    <row r="1150" spans="7:8" ht="15.75" customHeight="1">
      <c r="G1150" s="9"/>
      <c r="H1150" s="9"/>
    </row>
    <row r="1151" spans="7:8" ht="15.75" customHeight="1">
      <c r="G1151" s="9"/>
      <c r="H1151" s="9"/>
    </row>
    <row r="1152" spans="7:8" ht="15.75" customHeight="1">
      <c r="G1152" s="9"/>
      <c r="H1152" s="9"/>
    </row>
    <row r="1153" spans="7:8" ht="15.75" customHeight="1">
      <c r="G1153" s="9"/>
      <c r="H1153" s="9"/>
    </row>
    <row r="1154" spans="7:8" ht="15.75" customHeight="1">
      <c r="G1154" s="9"/>
      <c r="H1154" s="9"/>
    </row>
    <row r="1155" spans="7:8" ht="15.75" customHeight="1">
      <c r="G1155" s="9"/>
      <c r="H1155" s="9"/>
    </row>
    <row r="1156" spans="7:8" ht="15.75" customHeight="1">
      <c r="G1156" s="9"/>
      <c r="H1156" s="9"/>
    </row>
    <row r="1157" spans="7:8" ht="15.75" customHeight="1">
      <c r="G1157" s="9"/>
      <c r="H1157" s="9"/>
    </row>
    <row r="1158" spans="7:8" ht="15.75" customHeight="1">
      <c r="G1158" s="9"/>
      <c r="H1158" s="9"/>
    </row>
    <row r="1159" spans="7:8" ht="15.75" customHeight="1">
      <c r="G1159" s="9"/>
      <c r="H1159" s="9"/>
    </row>
    <row r="1160" spans="7:8" ht="15.75" customHeight="1">
      <c r="G1160" s="9"/>
      <c r="H1160" s="9"/>
    </row>
    <row r="1161" spans="7:8" ht="15.75" customHeight="1">
      <c r="G1161" s="9"/>
      <c r="H1161" s="9"/>
    </row>
    <row r="1162" spans="7:8" ht="15.75" customHeight="1">
      <c r="G1162" s="9"/>
      <c r="H1162" s="9"/>
    </row>
    <row r="1163" spans="7:8" ht="15.75" customHeight="1">
      <c r="G1163" s="9"/>
      <c r="H1163" s="9"/>
    </row>
    <row r="1164" spans="7:8" ht="15.75" customHeight="1">
      <c r="G1164" s="9"/>
      <c r="H1164" s="9"/>
    </row>
    <row r="1165" spans="7:8" ht="15.75" customHeight="1">
      <c r="G1165" s="9"/>
      <c r="H1165" s="9"/>
    </row>
    <row r="1166" spans="7:8" ht="15.75" customHeight="1">
      <c r="G1166" s="9"/>
      <c r="H1166" s="9"/>
    </row>
    <row r="1167" spans="7:8" ht="15.75" customHeight="1">
      <c r="G1167" s="9"/>
      <c r="H1167" s="9"/>
    </row>
    <row r="1168" spans="7:8" ht="15.75" customHeight="1">
      <c r="G1168" s="9"/>
      <c r="H1168" s="9"/>
    </row>
    <row r="1169" spans="7:8" ht="15.75" customHeight="1">
      <c r="G1169" s="9"/>
      <c r="H1169" s="9"/>
    </row>
    <row r="1170" spans="7:8" ht="15.75" customHeight="1">
      <c r="G1170" s="9"/>
      <c r="H1170" s="9"/>
    </row>
    <row r="1171" spans="7:8" ht="15.75" customHeight="1">
      <c r="G1171" s="9"/>
      <c r="H1171" s="9"/>
    </row>
    <row r="1172" spans="7:8" ht="15.75" customHeight="1">
      <c r="G1172" s="9"/>
      <c r="H1172" s="9"/>
    </row>
    <row r="1173" spans="7:8" ht="15.75" customHeight="1">
      <c r="G1173" s="9"/>
      <c r="H1173" s="9"/>
    </row>
    <row r="1174" spans="7:8" ht="15.75" customHeight="1">
      <c r="G1174" s="9"/>
      <c r="H1174" s="9"/>
    </row>
    <row r="1175" spans="7:8" ht="15.75" customHeight="1">
      <c r="G1175" s="9"/>
      <c r="H1175" s="9"/>
    </row>
    <row r="1176" spans="7:8" ht="15.75" customHeight="1">
      <c r="G1176" s="9"/>
      <c r="H1176" s="9"/>
    </row>
    <row r="1177" spans="7:8" ht="15.75" customHeight="1">
      <c r="G1177" s="9"/>
      <c r="H1177" s="9"/>
    </row>
    <row r="1178" spans="7:8" ht="15.75" customHeight="1">
      <c r="G1178" s="9"/>
      <c r="H1178" s="9"/>
    </row>
    <row r="1179" spans="7:8" ht="15.75" customHeight="1">
      <c r="G1179" s="9"/>
      <c r="H1179" s="9"/>
    </row>
    <row r="1180" spans="7:8" ht="15.75" customHeight="1">
      <c r="G1180" s="9"/>
      <c r="H1180" s="9"/>
    </row>
    <row r="1181" spans="7:8" ht="15.75" customHeight="1">
      <c r="G1181" s="9"/>
      <c r="H1181" s="9"/>
    </row>
    <row r="1182" spans="7:8" ht="15.75" customHeight="1">
      <c r="G1182" s="9"/>
      <c r="H1182" s="9"/>
    </row>
    <row r="1183" spans="7:8" ht="15.75" customHeight="1">
      <c r="G1183" s="9"/>
      <c r="H1183" s="9"/>
    </row>
    <row r="1184" spans="7:8" ht="15.75" customHeight="1">
      <c r="G1184" s="9"/>
      <c r="H1184" s="9"/>
    </row>
    <row r="1185" spans="7:8" ht="15.75" customHeight="1">
      <c r="G1185" s="9"/>
      <c r="H1185" s="9"/>
    </row>
    <row r="1186" spans="7:8" ht="15.75" customHeight="1">
      <c r="G1186" s="9"/>
      <c r="H1186" s="9"/>
    </row>
    <row r="1187" spans="7:8" ht="15.75" customHeight="1">
      <c r="G1187" s="9"/>
      <c r="H1187" s="9"/>
    </row>
    <row r="1188" spans="7:8" ht="15.75" customHeight="1">
      <c r="G1188" s="9"/>
      <c r="H1188" s="9"/>
    </row>
    <row r="1189" spans="7:8" ht="15.75" customHeight="1">
      <c r="G1189" s="9"/>
      <c r="H1189" s="9"/>
    </row>
    <row r="1190" spans="7:8" ht="15.75" customHeight="1">
      <c r="G1190" s="9"/>
      <c r="H1190" s="9"/>
    </row>
    <row r="1191" spans="7:8" ht="15.75" customHeight="1">
      <c r="G1191" s="9"/>
      <c r="H1191" s="9"/>
    </row>
    <row r="1192" spans="7:8" ht="15.75" customHeight="1">
      <c r="G1192" s="9"/>
      <c r="H1192" s="9"/>
    </row>
    <row r="1193" spans="7:8" ht="15.75" customHeight="1">
      <c r="G1193" s="9"/>
      <c r="H1193" s="9"/>
    </row>
    <row r="1194" spans="7:8" ht="15.75" customHeight="1">
      <c r="G1194" s="9"/>
      <c r="H1194" s="9"/>
    </row>
    <row r="1195" spans="7:8" ht="15.75" customHeight="1">
      <c r="G1195" s="9"/>
      <c r="H1195" s="9"/>
    </row>
    <row r="1196" spans="7:8" ht="15.75" customHeight="1">
      <c r="G1196" s="9"/>
      <c r="H1196" s="9"/>
    </row>
    <row r="1197" spans="7:8" ht="15.75" customHeight="1">
      <c r="G1197" s="9"/>
      <c r="H1197" s="9"/>
    </row>
    <row r="1198" spans="7:8" ht="15.75" customHeight="1">
      <c r="G1198" s="9"/>
      <c r="H1198" s="9"/>
    </row>
    <row r="1199" spans="7:8" ht="15.75" customHeight="1">
      <c r="G1199" s="9"/>
      <c r="H1199" s="9"/>
    </row>
    <row r="1200" spans="7:8" ht="15.75" customHeight="1">
      <c r="G1200" s="9"/>
      <c r="H1200" s="9"/>
    </row>
    <row r="1201" spans="7:8" ht="15.75" customHeight="1">
      <c r="G1201" s="9"/>
      <c r="H1201" s="9"/>
    </row>
    <row r="1202" spans="7:8" ht="15.75" customHeight="1">
      <c r="G1202" s="9"/>
      <c r="H1202" s="9"/>
    </row>
    <row r="1203" spans="7:8" ht="15.75" customHeight="1">
      <c r="G1203" s="9"/>
      <c r="H1203" s="9"/>
    </row>
    <row r="1204" spans="7:8" ht="15.75" customHeight="1">
      <c r="G1204" s="9"/>
      <c r="H1204" s="9"/>
    </row>
    <row r="1205" spans="7:8" ht="15.75" customHeight="1">
      <c r="G1205" s="9"/>
      <c r="H1205" s="9"/>
    </row>
    <row r="1206" spans="7:8" ht="15.75" customHeight="1">
      <c r="G1206" s="9"/>
      <c r="H1206" s="9"/>
    </row>
    <row r="1207" spans="7:8" ht="15.75" customHeight="1">
      <c r="G1207" s="9"/>
      <c r="H1207" s="9"/>
    </row>
    <row r="1208" spans="7:8" ht="15.75" customHeight="1">
      <c r="G1208" s="9"/>
      <c r="H1208" s="9"/>
    </row>
    <row r="1209" spans="7:8" ht="15.75" customHeight="1">
      <c r="G1209" s="9"/>
      <c r="H1209" s="9"/>
    </row>
    <row r="1210" spans="7:8" ht="15.75" customHeight="1">
      <c r="G1210" s="9"/>
      <c r="H1210" s="9"/>
    </row>
    <row r="1211" spans="7:8" ht="15.75" customHeight="1">
      <c r="G1211" s="9"/>
      <c r="H1211" s="9"/>
    </row>
    <row r="1212" spans="7:8" ht="15.75" customHeight="1">
      <c r="G1212" s="9"/>
      <c r="H1212" s="9"/>
    </row>
    <row r="1213" spans="7:8" ht="15.75" customHeight="1">
      <c r="G1213" s="9"/>
      <c r="H1213" s="9"/>
    </row>
    <row r="1214" spans="7:8" ht="15.75" customHeight="1">
      <c r="G1214" s="9"/>
      <c r="H1214" s="9"/>
    </row>
    <row r="1215" spans="7:8" ht="15.75" customHeight="1">
      <c r="G1215" s="9"/>
      <c r="H1215" s="9"/>
    </row>
    <row r="1216" spans="7:8" ht="15.75" customHeight="1">
      <c r="G1216" s="9"/>
      <c r="H1216" s="9"/>
    </row>
    <row r="1217" spans="7:8" ht="15.75" customHeight="1">
      <c r="G1217" s="9"/>
      <c r="H1217" s="9"/>
    </row>
    <row r="1218" spans="7:8" ht="15.75" customHeight="1">
      <c r="G1218" s="9"/>
      <c r="H1218" s="9"/>
    </row>
    <row r="1219" spans="7:8" ht="15.75" customHeight="1">
      <c r="G1219" s="9"/>
      <c r="H1219" s="9"/>
    </row>
    <row r="1220" spans="7:8" ht="15.75" customHeight="1">
      <c r="G1220" s="9"/>
      <c r="H1220" s="9"/>
    </row>
    <row r="1221" spans="7:8" ht="15.75" customHeight="1">
      <c r="G1221" s="9"/>
      <c r="H1221" s="9"/>
    </row>
    <row r="1222" spans="7:8" ht="15.75" customHeight="1">
      <c r="G1222" s="9"/>
      <c r="H1222" s="9"/>
    </row>
    <row r="1223" spans="7:8" ht="15.75" customHeight="1">
      <c r="G1223" s="9"/>
      <c r="H1223" s="9"/>
    </row>
    <row r="1224" spans="7:8" ht="15.75" customHeight="1">
      <c r="G1224" s="9"/>
      <c r="H1224" s="9"/>
    </row>
    <row r="1225" spans="7:8" ht="15.75" customHeight="1">
      <c r="G1225" s="9"/>
      <c r="H1225" s="9"/>
    </row>
    <row r="1226" spans="7:8" ht="15.75" customHeight="1">
      <c r="G1226" s="9"/>
      <c r="H1226" s="9"/>
    </row>
    <row r="1227" spans="7:8" ht="15.75" customHeight="1">
      <c r="G1227" s="9"/>
      <c r="H1227" s="9"/>
    </row>
    <row r="1228" spans="7:8" ht="15.75" customHeight="1">
      <c r="G1228" s="9"/>
      <c r="H1228" s="9"/>
    </row>
    <row r="1229" spans="7:8" ht="15.75" customHeight="1">
      <c r="G1229" s="9"/>
      <c r="H1229" s="9"/>
    </row>
    <row r="1230" spans="7:8" ht="15.75" customHeight="1">
      <c r="G1230" s="9"/>
      <c r="H1230" s="9"/>
    </row>
    <row r="1231" spans="7:8" ht="15.75" customHeight="1">
      <c r="G1231" s="9"/>
      <c r="H1231" s="9"/>
    </row>
    <row r="1232" spans="7:8" ht="15.75" customHeight="1">
      <c r="G1232" s="9"/>
      <c r="H1232" s="9"/>
    </row>
    <row r="1233" spans="7:8" ht="15.75" customHeight="1">
      <c r="G1233" s="9"/>
      <c r="H1233" s="9"/>
    </row>
    <row r="1234" spans="7:8" ht="15.75" customHeight="1">
      <c r="G1234" s="9"/>
      <c r="H1234" s="9"/>
    </row>
    <row r="1235" spans="7:8" ht="15.75" customHeight="1">
      <c r="G1235" s="9"/>
      <c r="H1235" s="9"/>
    </row>
    <row r="1236" spans="7:8" ht="15.75" customHeight="1">
      <c r="G1236" s="9"/>
      <c r="H1236" s="9"/>
    </row>
    <row r="1237" spans="7:8" ht="15.75" customHeight="1">
      <c r="G1237" s="9"/>
      <c r="H1237" s="9"/>
    </row>
    <row r="1238" spans="7:8" ht="15.75" customHeight="1">
      <c r="G1238" s="9"/>
      <c r="H1238" s="9"/>
    </row>
    <row r="1239" spans="7:8" ht="15.75" customHeight="1">
      <c r="G1239" s="9"/>
      <c r="H1239" s="9"/>
    </row>
    <row r="1240" spans="7:8" ht="15.75" customHeight="1">
      <c r="G1240" s="9"/>
      <c r="H1240" s="9"/>
    </row>
    <row r="1241" spans="7:8" ht="15.75" customHeight="1">
      <c r="G1241" s="9"/>
      <c r="H1241" s="9"/>
    </row>
    <row r="1242" spans="7:8" ht="15.75" customHeight="1">
      <c r="G1242" s="9"/>
      <c r="H1242" s="9"/>
    </row>
    <row r="1243" spans="7:8" ht="15.75" customHeight="1">
      <c r="G1243" s="9"/>
      <c r="H1243" s="9"/>
    </row>
    <row r="1244" spans="7:8" ht="15.75" customHeight="1">
      <c r="G1244" s="9"/>
      <c r="H1244" s="9"/>
    </row>
    <row r="1245" spans="7:8" ht="15.75" customHeight="1">
      <c r="G1245" s="9"/>
      <c r="H1245" s="9"/>
    </row>
    <row r="1246" spans="7:8" ht="15.75" customHeight="1">
      <c r="G1246" s="9"/>
      <c r="H1246" s="9"/>
    </row>
    <row r="1247" spans="7:8" ht="15.75" customHeight="1">
      <c r="G1247" s="9"/>
      <c r="H1247" s="9"/>
    </row>
    <row r="1248" spans="7:8" ht="15.75" customHeight="1">
      <c r="G1248" s="9"/>
      <c r="H1248" s="9"/>
    </row>
    <row r="1249" spans="7:8" ht="15.75" customHeight="1">
      <c r="G1249" s="9"/>
      <c r="H1249" s="9"/>
    </row>
    <row r="1250" spans="7:8" ht="15.75" customHeight="1">
      <c r="G1250" s="9"/>
      <c r="H1250" s="9"/>
    </row>
    <row r="1251" spans="7:8" ht="15.75" customHeight="1">
      <c r="G1251" s="9"/>
      <c r="H1251" s="9"/>
    </row>
    <row r="1252" spans="7:8" ht="15.75" customHeight="1">
      <c r="G1252" s="9"/>
      <c r="H1252" s="9"/>
    </row>
    <row r="1253" spans="7:8" ht="15.75" customHeight="1">
      <c r="G1253" s="9"/>
      <c r="H1253" s="9"/>
    </row>
    <row r="1254" spans="7:8" ht="15.75" customHeight="1">
      <c r="G1254" s="9"/>
      <c r="H1254" s="9"/>
    </row>
    <row r="1255" spans="7:8" ht="15.75" customHeight="1">
      <c r="G1255" s="9"/>
      <c r="H1255" s="9"/>
    </row>
    <row r="1256" spans="7:8" ht="15.75" customHeight="1">
      <c r="G1256" s="9"/>
      <c r="H1256" s="9"/>
    </row>
    <row r="1257" spans="7:8" ht="15.75" customHeight="1">
      <c r="G1257" s="9"/>
      <c r="H1257" s="9"/>
    </row>
    <row r="1258" spans="7:8" ht="15.75" customHeight="1">
      <c r="G1258" s="9"/>
      <c r="H1258" s="9"/>
    </row>
    <row r="1259" spans="7:8" ht="15.75" customHeight="1">
      <c r="G1259" s="9"/>
      <c r="H1259" s="9"/>
    </row>
    <row r="1260" spans="7:8" ht="15.75" customHeight="1">
      <c r="G1260" s="9"/>
      <c r="H1260" s="9"/>
    </row>
    <row r="1261" spans="7:8" ht="15.75" customHeight="1">
      <c r="G1261" s="9"/>
      <c r="H1261" s="9"/>
    </row>
    <row r="1262" spans="7:8" ht="15.75" customHeight="1">
      <c r="G1262" s="9"/>
      <c r="H1262" s="9"/>
    </row>
    <row r="1263" spans="7:8" ht="15.75" customHeight="1">
      <c r="G1263" s="9"/>
      <c r="H1263" s="9"/>
    </row>
    <row r="1264" spans="7:8" ht="15.75" customHeight="1">
      <c r="G1264" s="9"/>
      <c r="H1264" s="9"/>
    </row>
    <row r="1265" spans="7:8" ht="15.75" customHeight="1">
      <c r="G1265" s="9"/>
      <c r="H1265" s="9"/>
    </row>
    <row r="1266" spans="7:8" ht="15.75" customHeight="1">
      <c r="G1266" s="9"/>
      <c r="H1266" s="9"/>
    </row>
    <row r="1267" spans="7:8" ht="15.75" customHeight="1">
      <c r="G1267" s="9"/>
      <c r="H1267" s="9"/>
    </row>
    <row r="1268" spans="7:8" ht="15.75" customHeight="1">
      <c r="G1268" s="9"/>
      <c r="H1268" s="9"/>
    </row>
    <row r="1269" spans="7:8" ht="15.75" customHeight="1">
      <c r="G1269" s="9"/>
      <c r="H1269" s="9"/>
    </row>
    <row r="1270" spans="7:8" ht="15.75" customHeight="1">
      <c r="G1270" s="9"/>
      <c r="H1270" s="9"/>
    </row>
    <row r="1271" spans="7:8" ht="15.75" customHeight="1">
      <c r="G1271" s="9"/>
      <c r="H1271" s="9"/>
    </row>
    <row r="1272" spans="7:8" ht="15.75" customHeight="1">
      <c r="G1272" s="9"/>
      <c r="H1272" s="9"/>
    </row>
    <row r="1273" spans="7:8" ht="15.75" customHeight="1">
      <c r="G1273" s="9"/>
      <c r="H1273" s="9"/>
    </row>
    <row r="1274" spans="7:8" ht="15.75" customHeight="1">
      <c r="G1274" s="9"/>
      <c r="H1274" s="9"/>
    </row>
    <row r="1275" spans="7:8" ht="15.75" customHeight="1">
      <c r="G1275" s="9"/>
      <c r="H1275" s="9"/>
    </row>
    <row r="1276" spans="7:8" ht="15.75" customHeight="1">
      <c r="G1276" s="9"/>
      <c r="H1276" s="9"/>
    </row>
    <row r="1277" spans="7:8" ht="15.75" customHeight="1">
      <c r="G1277" s="9"/>
      <c r="H1277" s="9"/>
    </row>
    <row r="1278" spans="7:8" ht="15.75" customHeight="1">
      <c r="G1278" s="9"/>
      <c r="H1278" s="9"/>
    </row>
    <row r="1279" spans="7:8" ht="15.75" customHeight="1">
      <c r="G1279" s="9"/>
      <c r="H1279" s="9"/>
    </row>
    <row r="1280" spans="7:8" ht="15.75" customHeight="1">
      <c r="G1280" s="9"/>
      <c r="H1280" s="9"/>
    </row>
    <row r="1281" spans="7:8" ht="15.75" customHeight="1">
      <c r="G1281" s="9"/>
      <c r="H1281" s="9"/>
    </row>
    <row r="1282" spans="7:8" ht="15.75" customHeight="1">
      <c r="G1282" s="9"/>
      <c r="H1282" s="9"/>
    </row>
    <row r="1283" spans="7:8" ht="15.75" customHeight="1">
      <c r="G1283" s="9"/>
      <c r="H1283" s="9"/>
    </row>
    <row r="1284" spans="7:8" ht="15.75" customHeight="1">
      <c r="G1284" s="9"/>
      <c r="H1284" s="9"/>
    </row>
    <row r="1285" spans="7:8" ht="15.75" customHeight="1">
      <c r="G1285" s="9"/>
      <c r="H1285" s="9"/>
    </row>
    <row r="1286" spans="7:8" ht="15.75" customHeight="1">
      <c r="G1286" s="9"/>
      <c r="H1286" s="9"/>
    </row>
    <row r="1287" spans="7:8" ht="15.75" customHeight="1">
      <c r="G1287" s="9"/>
      <c r="H1287" s="9"/>
    </row>
    <row r="1288" spans="7:8" ht="15.75" customHeight="1">
      <c r="G1288" s="9"/>
      <c r="H1288" s="9"/>
    </row>
    <row r="1289" spans="7:8" ht="15.75" customHeight="1">
      <c r="G1289" s="9"/>
      <c r="H1289" s="9"/>
    </row>
    <row r="1290" spans="7:8" ht="15.75" customHeight="1">
      <c r="G1290" s="9"/>
      <c r="H1290" s="9"/>
    </row>
    <row r="1291" spans="7:8" ht="15.75" customHeight="1">
      <c r="G1291" s="9"/>
      <c r="H1291" s="9"/>
    </row>
    <row r="1292" spans="7:8" ht="15.75" customHeight="1">
      <c r="G1292" s="9"/>
      <c r="H1292" s="9"/>
    </row>
    <row r="1293" spans="7:8" ht="15.75" customHeight="1">
      <c r="G1293" s="9"/>
      <c r="H1293" s="9"/>
    </row>
    <row r="1294" spans="7:8" ht="15.75" customHeight="1">
      <c r="G1294" s="9"/>
      <c r="H1294" s="9"/>
    </row>
    <row r="1295" spans="7:8" ht="15.75" customHeight="1">
      <c r="G1295" s="9"/>
      <c r="H1295" s="9"/>
    </row>
    <row r="1296" spans="7:8" ht="15.75" customHeight="1">
      <c r="G1296" s="9"/>
      <c r="H1296" s="9"/>
    </row>
    <row r="1297" spans="7:8" ht="15.75" customHeight="1">
      <c r="G1297" s="9"/>
      <c r="H1297" s="9"/>
    </row>
    <row r="1298" spans="7:8" ht="15.75" customHeight="1">
      <c r="G1298" s="9"/>
      <c r="H1298" s="9"/>
    </row>
    <row r="1299" spans="7:8" ht="15.75" customHeight="1">
      <c r="G1299" s="9"/>
      <c r="H1299" s="9"/>
    </row>
    <row r="1300" spans="7:8" ht="15.75" customHeight="1">
      <c r="G1300" s="9"/>
      <c r="H1300" s="9"/>
    </row>
    <row r="1301" spans="7:8" ht="15.75" customHeight="1">
      <c r="G1301" s="9"/>
      <c r="H1301" s="9"/>
    </row>
    <row r="1302" spans="7:8" ht="15.75" customHeight="1">
      <c r="G1302" s="9"/>
      <c r="H1302" s="9"/>
    </row>
    <row r="1303" spans="7:8" ht="15.75" customHeight="1">
      <c r="G1303" s="9"/>
      <c r="H1303" s="9"/>
    </row>
    <row r="1304" spans="7:8" ht="15.75" customHeight="1">
      <c r="G1304" s="9"/>
      <c r="H1304" s="9"/>
    </row>
    <row r="1305" spans="7:8" ht="15.75" customHeight="1">
      <c r="G1305" s="9"/>
      <c r="H1305" s="9"/>
    </row>
    <row r="1306" spans="7:8" ht="15.75" customHeight="1">
      <c r="G1306" s="9"/>
      <c r="H1306" s="9"/>
    </row>
    <row r="1307" spans="7:8" ht="15.75" customHeight="1">
      <c r="G1307" s="9"/>
      <c r="H1307" s="9"/>
    </row>
    <row r="1308" spans="7:8" ht="15.75" customHeight="1">
      <c r="G1308" s="9"/>
      <c r="H1308" s="9"/>
    </row>
    <row r="1309" spans="7:8" ht="15.75" customHeight="1">
      <c r="G1309" s="9"/>
      <c r="H1309" s="9"/>
    </row>
    <row r="1310" spans="7:8" ht="15.75" customHeight="1">
      <c r="G1310" s="9"/>
      <c r="H1310" s="9"/>
    </row>
    <row r="1311" spans="7:8" ht="15.75" customHeight="1">
      <c r="G1311" s="9"/>
      <c r="H1311" s="9"/>
    </row>
    <row r="1312" spans="7:8" ht="15.75" customHeight="1">
      <c r="G1312" s="9"/>
      <c r="H1312" s="9"/>
    </row>
    <row r="1313" spans="7:8" ht="15.75" customHeight="1">
      <c r="G1313" s="9"/>
      <c r="H1313" s="9"/>
    </row>
    <row r="1314" spans="7:8" ht="15.75" customHeight="1">
      <c r="G1314" s="9"/>
      <c r="H1314" s="9"/>
    </row>
    <row r="1315" spans="7:8" ht="15.75" customHeight="1">
      <c r="G1315" s="9"/>
      <c r="H1315" s="9"/>
    </row>
    <row r="1316" spans="7:8" ht="15.75" customHeight="1">
      <c r="G1316" s="9"/>
      <c r="H1316" s="9"/>
    </row>
    <row r="1317" spans="7:8" ht="15.75" customHeight="1">
      <c r="G1317" s="9"/>
      <c r="H1317" s="9"/>
    </row>
    <row r="1318" spans="7:8" ht="15.75" customHeight="1">
      <c r="G1318" s="9"/>
      <c r="H1318" s="9"/>
    </row>
    <row r="1319" spans="7:8" ht="15.75" customHeight="1">
      <c r="G1319" s="9"/>
      <c r="H1319" s="9"/>
    </row>
    <row r="1320" spans="7:8" ht="15.75" customHeight="1">
      <c r="G1320" s="9"/>
      <c r="H1320" s="9"/>
    </row>
    <row r="1321" spans="7:8" ht="15.75" customHeight="1">
      <c r="G1321" s="9"/>
      <c r="H1321" s="9"/>
    </row>
    <row r="1322" spans="7:8" ht="15.75" customHeight="1">
      <c r="G1322" s="9"/>
      <c r="H1322" s="9"/>
    </row>
    <row r="1323" spans="7:8" ht="15.75" customHeight="1">
      <c r="G1323" s="9"/>
      <c r="H1323" s="9"/>
    </row>
    <row r="1324" spans="7:8" ht="15.75" customHeight="1">
      <c r="G1324" s="9"/>
      <c r="H1324" s="9"/>
    </row>
    <row r="1325" spans="7:8" ht="15.75" customHeight="1">
      <c r="G1325" s="9"/>
      <c r="H1325" s="9"/>
    </row>
    <row r="1326" spans="7:8" ht="15.75" customHeight="1">
      <c r="G1326" s="9"/>
      <c r="H1326" s="9"/>
    </row>
    <row r="1327" spans="7:8" ht="15.75" customHeight="1">
      <c r="G1327" s="9"/>
      <c r="H1327" s="9"/>
    </row>
    <row r="1328" spans="7:8" ht="15.75" customHeight="1">
      <c r="G1328" s="9"/>
      <c r="H1328" s="9"/>
    </row>
    <row r="1329" spans="7:8" ht="15.75" customHeight="1">
      <c r="G1329" s="9"/>
      <c r="H1329" s="9"/>
    </row>
    <row r="1330" spans="7:8" ht="15.75" customHeight="1">
      <c r="G1330" s="9"/>
      <c r="H1330" s="9"/>
    </row>
    <row r="1331" spans="7:8" ht="15.75" customHeight="1">
      <c r="G1331" s="9"/>
      <c r="H1331" s="9"/>
    </row>
    <row r="1332" spans="7:8" ht="15.75" customHeight="1">
      <c r="G1332" s="9"/>
      <c r="H1332" s="9"/>
    </row>
    <row r="1333" spans="7:8" ht="15.75" customHeight="1">
      <c r="G1333" s="9"/>
      <c r="H1333" s="9"/>
    </row>
    <row r="1334" spans="7:8" ht="15.75" customHeight="1">
      <c r="G1334" s="9"/>
      <c r="H1334" s="9"/>
    </row>
    <row r="1335" spans="7:8" ht="15.75" customHeight="1">
      <c r="G1335" s="9"/>
      <c r="H1335" s="9"/>
    </row>
    <row r="1336" spans="7:8" ht="15.75" customHeight="1">
      <c r="G1336" s="9"/>
      <c r="H1336" s="9"/>
    </row>
    <row r="1337" spans="7:8" ht="15.75" customHeight="1">
      <c r="G1337" s="9"/>
      <c r="H1337" s="9"/>
    </row>
    <row r="1338" spans="7:8" ht="15.75" customHeight="1">
      <c r="G1338" s="9"/>
      <c r="H1338" s="9"/>
    </row>
    <row r="1339" spans="7:8" ht="15.75" customHeight="1">
      <c r="G1339" s="9"/>
      <c r="H1339" s="9"/>
    </row>
    <row r="1340" spans="7:8" ht="15.75" customHeight="1">
      <c r="G1340" s="9"/>
      <c r="H1340" s="9"/>
    </row>
    <row r="1341" spans="7:8" ht="15.75" customHeight="1">
      <c r="G1341" s="9"/>
      <c r="H1341" s="9"/>
    </row>
    <row r="1342" spans="7:8" ht="15.75" customHeight="1">
      <c r="G1342" s="9"/>
      <c r="H1342" s="9"/>
    </row>
    <row r="1343" spans="7:8" ht="15.75" customHeight="1">
      <c r="G1343" s="9"/>
      <c r="H1343" s="9"/>
    </row>
    <row r="1344" spans="7:8" ht="15.75" customHeight="1">
      <c r="G1344" s="9"/>
      <c r="H1344" s="9"/>
    </row>
    <row r="1345" spans="7:8" ht="15.75" customHeight="1">
      <c r="G1345" s="9"/>
      <c r="H1345" s="9"/>
    </row>
    <row r="1346" spans="7:8" ht="15.75" customHeight="1">
      <c r="G1346" s="9"/>
      <c r="H1346" s="9"/>
    </row>
    <row r="1347" spans="7:8" ht="15.75" customHeight="1">
      <c r="G1347" s="9"/>
      <c r="H1347" s="9"/>
    </row>
    <row r="1348" spans="7:8" ht="15.75" customHeight="1">
      <c r="G1348" s="9"/>
      <c r="H1348" s="9"/>
    </row>
    <row r="1349" spans="7:8" ht="15.75" customHeight="1">
      <c r="G1349" s="9"/>
      <c r="H1349" s="9"/>
    </row>
    <row r="1350" spans="7:8" ht="15.75" customHeight="1">
      <c r="G1350" s="9"/>
      <c r="H1350" s="9"/>
    </row>
    <row r="1351" spans="7:8" ht="15.75" customHeight="1">
      <c r="G1351" s="9"/>
      <c r="H1351" s="9"/>
    </row>
    <row r="1352" spans="7:8" ht="15.75" customHeight="1">
      <c r="G1352" s="9"/>
      <c r="H1352" s="9"/>
    </row>
    <row r="1353" spans="7:8" ht="15.75" customHeight="1">
      <c r="G1353" s="9"/>
      <c r="H1353" s="9"/>
    </row>
    <row r="1354" spans="7:8" ht="15.75" customHeight="1">
      <c r="G1354" s="9"/>
      <c r="H1354" s="9"/>
    </row>
    <row r="1355" spans="7:8" ht="15.75" customHeight="1">
      <c r="G1355" s="9"/>
      <c r="H1355" s="9"/>
    </row>
    <row r="1356" spans="7:8" ht="15.75" customHeight="1">
      <c r="G1356" s="9"/>
      <c r="H1356" s="9"/>
    </row>
    <row r="1357" spans="7:8" ht="15.75" customHeight="1">
      <c r="G1357" s="9"/>
      <c r="H1357" s="9"/>
    </row>
    <row r="1358" spans="7:8" ht="15.75" customHeight="1">
      <c r="G1358" s="9"/>
      <c r="H1358" s="9"/>
    </row>
    <row r="1359" spans="7:8" ht="15.75" customHeight="1">
      <c r="G1359" s="9"/>
      <c r="H1359" s="9"/>
    </row>
    <row r="1360" spans="7:8" ht="15.75" customHeight="1">
      <c r="G1360" s="9"/>
      <c r="H1360" s="9"/>
    </row>
    <row r="1361" spans="7:8" ht="15.75" customHeight="1">
      <c r="G1361" s="9"/>
      <c r="H1361" s="9"/>
    </row>
    <row r="1362" spans="7:8" ht="15.75" customHeight="1">
      <c r="G1362" s="9"/>
      <c r="H1362" s="9"/>
    </row>
    <row r="1363" spans="7:8" ht="15.75" customHeight="1">
      <c r="G1363" s="9"/>
      <c r="H1363" s="9"/>
    </row>
    <row r="1364" spans="7:8" ht="15.75" customHeight="1">
      <c r="G1364" s="9"/>
      <c r="H1364" s="9"/>
    </row>
    <row r="1365" spans="7:8" ht="15.75" customHeight="1">
      <c r="G1365" s="9"/>
      <c r="H1365" s="9"/>
    </row>
    <row r="1366" spans="7:8" ht="15.75" customHeight="1">
      <c r="G1366" s="9"/>
      <c r="H1366" s="9"/>
    </row>
    <row r="1367" spans="7:8" ht="15.75" customHeight="1">
      <c r="G1367" s="9"/>
      <c r="H1367" s="9"/>
    </row>
    <row r="1368" spans="7:8" ht="15.75" customHeight="1">
      <c r="G1368" s="9"/>
      <c r="H1368" s="9"/>
    </row>
    <row r="1369" spans="7:8" ht="15.75" customHeight="1">
      <c r="G1369" s="9"/>
      <c r="H1369" s="9"/>
    </row>
    <row r="1370" spans="7:8" ht="15.75" customHeight="1">
      <c r="G1370" s="9"/>
      <c r="H1370" s="9"/>
    </row>
    <row r="1371" spans="7:8" ht="15.75" customHeight="1">
      <c r="G1371" s="9"/>
      <c r="H1371" s="9"/>
    </row>
    <row r="1372" spans="7:8" ht="15.75" customHeight="1">
      <c r="G1372" s="9"/>
      <c r="H1372" s="9"/>
    </row>
    <row r="1373" spans="7:8" ht="15.75" customHeight="1">
      <c r="G1373" s="9"/>
      <c r="H1373" s="9"/>
    </row>
    <row r="1374" spans="7:8" ht="15.75" customHeight="1">
      <c r="G1374" s="9"/>
      <c r="H1374" s="9"/>
    </row>
    <row r="1375" spans="7:8" ht="15.75" customHeight="1">
      <c r="G1375" s="9"/>
      <c r="H1375" s="9"/>
    </row>
    <row r="1376" spans="7:8" ht="15.75" customHeight="1">
      <c r="G1376" s="9"/>
      <c r="H1376" s="9"/>
    </row>
    <row r="1377" spans="7:8" ht="15.75" customHeight="1">
      <c r="G1377" s="9"/>
      <c r="H1377" s="9"/>
    </row>
    <row r="1378" spans="7:8" ht="15.75" customHeight="1">
      <c r="G1378" s="9"/>
      <c r="H1378" s="9"/>
    </row>
    <row r="1379" spans="7:8" ht="15.75" customHeight="1">
      <c r="G1379" s="9"/>
      <c r="H1379" s="9"/>
    </row>
    <row r="1380" spans="7:8" ht="15.75" customHeight="1">
      <c r="G1380" s="9"/>
      <c r="H1380" s="9"/>
    </row>
    <row r="1381" spans="7:8" ht="15.75" customHeight="1">
      <c r="G1381" s="9"/>
      <c r="H1381" s="9"/>
    </row>
    <row r="1382" spans="7:8" ht="15.75" customHeight="1">
      <c r="G1382" s="9"/>
      <c r="H1382" s="9"/>
    </row>
    <row r="1383" spans="7:8" ht="15.75" customHeight="1">
      <c r="G1383" s="9"/>
      <c r="H1383" s="9"/>
    </row>
    <row r="1384" spans="7:8" ht="15.75" customHeight="1">
      <c r="G1384" s="9"/>
      <c r="H1384" s="9"/>
    </row>
    <row r="1385" spans="7:8" ht="15.75" customHeight="1">
      <c r="G1385" s="9"/>
      <c r="H1385" s="9"/>
    </row>
    <row r="1386" spans="7:8" ht="15.75" customHeight="1">
      <c r="G1386" s="9"/>
      <c r="H1386" s="9"/>
    </row>
    <row r="1387" spans="7:8" ht="15.75" customHeight="1">
      <c r="G1387" s="9"/>
      <c r="H1387" s="9"/>
    </row>
    <row r="1388" spans="7:8" ht="15.75" customHeight="1">
      <c r="G1388" s="9"/>
      <c r="H1388" s="9"/>
    </row>
    <row r="1389" spans="7:8" ht="15.75" customHeight="1">
      <c r="G1389" s="9"/>
      <c r="H1389" s="9"/>
    </row>
    <row r="1390" spans="7:8" ht="15.75" customHeight="1">
      <c r="G1390" s="9"/>
      <c r="H1390" s="9"/>
    </row>
    <row r="1391" spans="7:8" ht="15.75" customHeight="1">
      <c r="G1391" s="9"/>
      <c r="H1391" s="9"/>
    </row>
    <row r="1392" spans="7:8" ht="15.75" customHeight="1">
      <c r="G1392" s="9"/>
      <c r="H1392" s="9"/>
    </row>
    <row r="1393" spans="7:8" ht="15.75" customHeight="1">
      <c r="G1393" s="9"/>
      <c r="H1393" s="9"/>
    </row>
    <row r="1394" spans="7:8" ht="15.75" customHeight="1">
      <c r="G1394" s="9"/>
      <c r="H1394" s="9"/>
    </row>
    <row r="1395" spans="7:8" ht="15.75" customHeight="1">
      <c r="G1395" s="9"/>
      <c r="H1395" s="9"/>
    </row>
    <row r="1396" spans="7:8" ht="15.75" customHeight="1">
      <c r="G1396" s="9"/>
      <c r="H1396" s="9"/>
    </row>
    <row r="1397" spans="7:8" ht="15.75" customHeight="1">
      <c r="G1397" s="9"/>
      <c r="H1397" s="9"/>
    </row>
    <row r="1398" spans="7:8" ht="15.75" customHeight="1">
      <c r="G1398" s="9"/>
      <c r="H1398" s="9"/>
    </row>
    <row r="1399" spans="7:8" ht="15.75" customHeight="1">
      <c r="G1399" s="9"/>
      <c r="H1399" s="9"/>
    </row>
    <row r="1400" spans="7:8" ht="15.75" customHeight="1">
      <c r="G1400" s="9"/>
      <c r="H1400" s="9"/>
    </row>
    <row r="1401" spans="7:8" ht="15.75" customHeight="1">
      <c r="G1401" s="9"/>
      <c r="H1401" s="9"/>
    </row>
    <row r="1402" spans="7:8" ht="15.75" customHeight="1">
      <c r="G1402" s="9"/>
      <c r="H1402" s="9"/>
    </row>
    <row r="1403" spans="7:8" ht="15.75" customHeight="1">
      <c r="G1403" s="9"/>
      <c r="H1403" s="9"/>
    </row>
    <row r="1404" spans="7:8" ht="15.75" customHeight="1">
      <c r="G1404" s="9"/>
      <c r="H1404" s="9"/>
    </row>
    <row r="1405" spans="7:8" ht="15.75" customHeight="1">
      <c r="G1405" s="9"/>
      <c r="H1405" s="9"/>
    </row>
    <row r="1406" spans="7:8" ht="15.75" customHeight="1">
      <c r="G1406" s="9"/>
      <c r="H1406" s="9"/>
    </row>
    <row r="1407" spans="7:8" ht="15.75" customHeight="1">
      <c r="G1407" s="9"/>
      <c r="H1407" s="9"/>
    </row>
    <row r="1408" spans="7:8" ht="15.75" customHeight="1">
      <c r="G1408" s="9"/>
      <c r="H1408" s="9"/>
    </row>
    <row r="1409" spans="7:8" ht="15.75" customHeight="1">
      <c r="G1409" s="9"/>
      <c r="H1409" s="9"/>
    </row>
    <row r="1410" spans="7:8" ht="15.75" customHeight="1">
      <c r="G1410" s="9"/>
      <c r="H1410" s="9"/>
    </row>
    <row r="1411" spans="7:8" ht="15.75" customHeight="1">
      <c r="G1411" s="9"/>
      <c r="H1411" s="9"/>
    </row>
    <row r="1412" spans="7:8" ht="15.75" customHeight="1">
      <c r="G1412" s="9"/>
      <c r="H1412" s="9"/>
    </row>
    <row r="1413" spans="7:8" ht="15.75" customHeight="1">
      <c r="G1413" s="9"/>
      <c r="H1413" s="9"/>
    </row>
    <row r="1414" spans="7:8" ht="15.75" customHeight="1">
      <c r="G1414" s="9"/>
      <c r="H1414" s="9"/>
    </row>
    <row r="1415" spans="7:8" ht="15.75" customHeight="1">
      <c r="G1415" s="9"/>
      <c r="H1415" s="9"/>
    </row>
    <row r="1416" spans="7:8" ht="15.75" customHeight="1">
      <c r="G1416" s="9"/>
      <c r="H1416" s="9"/>
    </row>
    <row r="1417" spans="7:8" ht="15.75" customHeight="1">
      <c r="G1417" s="9"/>
      <c r="H1417" s="9"/>
    </row>
    <row r="1418" spans="7:8" ht="15.75" customHeight="1">
      <c r="G1418" s="9"/>
      <c r="H1418" s="9"/>
    </row>
    <row r="1419" spans="7:8" ht="15.75" customHeight="1">
      <c r="G1419" s="9"/>
      <c r="H1419" s="9"/>
    </row>
    <row r="1420" spans="7:8" ht="15.75" customHeight="1">
      <c r="G1420" s="9"/>
      <c r="H1420" s="9"/>
    </row>
    <row r="1421" spans="7:8" ht="15.75" customHeight="1">
      <c r="G1421" s="9"/>
      <c r="H1421" s="9"/>
    </row>
    <row r="1422" spans="7:8" ht="15.75" customHeight="1">
      <c r="G1422" s="9"/>
      <c r="H1422" s="9"/>
    </row>
    <row r="1423" spans="7:8" ht="15.75" customHeight="1">
      <c r="G1423" s="9"/>
      <c r="H1423" s="9"/>
    </row>
    <row r="1424" spans="7:8" ht="15.75" customHeight="1">
      <c r="G1424" s="9"/>
      <c r="H1424" s="9"/>
    </row>
    <row r="1425" spans="7:8" ht="15.75" customHeight="1">
      <c r="G1425" s="9"/>
      <c r="H1425" s="9"/>
    </row>
    <row r="1426" spans="7:8" ht="15.75" customHeight="1">
      <c r="G1426" s="9"/>
      <c r="H1426" s="9"/>
    </row>
    <row r="1427" spans="7:8" ht="15.75" customHeight="1">
      <c r="G1427" s="9"/>
      <c r="H1427" s="9"/>
    </row>
    <row r="1428" spans="7:8" ht="15.75" customHeight="1">
      <c r="G1428" s="9"/>
      <c r="H1428" s="9"/>
    </row>
    <row r="1429" spans="7:8" ht="15.75" customHeight="1">
      <c r="G1429" s="9"/>
      <c r="H1429" s="9"/>
    </row>
    <row r="1430" spans="7:8" ht="15.75" customHeight="1">
      <c r="G1430" s="9"/>
      <c r="H1430" s="9"/>
    </row>
    <row r="1431" spans="7:8" ht="15.75" customHeight="1">
      <c r="G1431" s="9"/>
      <c r="H1431" s="9"/>
    </row>
    <row r="1432" spans="7:8" ht="15.75" customHeight="1">
      <c r="G1432" s="9"/>
      <c r="H1432" s="9"/>
    </row>
    <row r="1433" spans="7:8" ht="15.75" customHeight="1">
      <c r="G1433" s="9"/>
      <c r="H1433" s="9"/>
    </row>
    <row r="1434" spans="7:8" ht="15.75" customHeight="1">
      <c r="G1434" s="9"/>
      <c r="H1434" s="9"/>
    </row>
    <row r="1435" spans="7:8" ht="15.75" customHeight="1">
      <c r="G1435" s="9"/>
      <c r="H1435" s="9"/>
    </row>
    <row r="1436" spans="7:8" ht="15.75" customHeight="1">
      <c r="G1436" s="9"/>
      <c r="H1436" s="9"/>
    </row>
    <row r="1437" spans="7:8" ht="15.75" customHeight="1">
      <c r="G1437" s="9"/>
      <c r="H1437" s="9"/>
    </row>
    <row r="1438" spans="7:8" ht="15.75" customHeight="1">
      <c r="G1438" s="9"/>
      <c r="H1438" s="9"/>
    </row>
    <row r="1439" spans="7:8" ht="15.75" customHeight="1">
      <c r="G1439" s="9"/>
      <c r="H1439" s="9"/>
    </row>
    <row r="1440" spans="7:8" ht="15.75" customHeight="1">
      <c r="G1440" s="9"/>
      <c r="H1440" s="9"/>
    </row>
    <row r="1441" spans="7:8" ht="15.75" customHeight="1">
      <c r="G1441" s="9"/>
      <c r="H1441" s="9"/>
    </row>
    <row r="1442" spans="7:8" ht="15.75" customHeight="1">
      <c r="G1442" s="9"/>
      <c r="H1442" s="9"/>
    </row>
    <row r="1443" spans="7:8" ht="15.75" customHeight="1">
      <c r="G1443" s="9"/>
      <c r="H1443" s="9"/>
    </row>
    <row r="1444" spans="7:8" ht="15.75" customHeight="1">
      <c r="G1444" s="9"/>
      <c r="H1444" s="9"/>
    </row>
    <row r="1445" spans="7:8" ht="15.75" customHeight="1">
      <c r="G1445" s="9"/>
      <c r="H1445" s="9"/>
    </row>
    <row r="1446" spans="7:8" ht="15.75" customHeight="1">
      <c r="G1446" s="9"/>
      <c r="H1446" s="9"/>
    </row>
    <row r="1447" spans="7:8" ht="15.75" customHeight="1">
      <c r="G1447" s="9"/>
      <c r="H1447" s="9"/>
    </row>
    <row r="1448" spans="7:8" ht="15.75" customHeight="1">
      <c r="G1448" s="9"/>
      <c r="H1448" s="9"/>
    </row>
    <row r="1449" spans="7:8" ht="15.75" customHeight="1">
      <c r="G1449" s="9"/>
      <c r="H1449" s="9"/>
    </row>
    <row r="1450" spans="7:8" ht="15.75" customHeight="1">
      <c r="G1450" s="9"/>
      <c r="H1450" s="9"/>
    </row>
    <row r="1451" spans="7:8" ht="15.75" customHeight="1">
      <c r="G1451" s="9"/>
      <c r="H1451" s="9"/>
    </row>
    <row r="1452" spans="7:8" ht="15.75" customHeight="1">
      <c r="G1452" s="9"/>
      <c r="H1452" s="9"/>
    </row>
    <row r="1453" spans="7:8" ht="15.75" customHeight="1">
      <c r="G1453" s="9"/>
      <c r="H1453" s="9"/>
    </row>
    <row r="1454" spans="7:8" ht="15.75" customHeight="1">
      <c r="G1454" s="9"/>
      <c r="H1454" s="9"/>
    </row>
    <row r="1455" spans="7:8" ht="15.75" customHeight="1">
      <c r="G1455" s="9"/>
      <c r="H1455" s="9"/>
    </row>
    <row r="1456" spans="7:8" ht="15.75" customHeight="1">
      <c r="G1456" s="9"/>
      <c r="H1456" s="9"/>
    </row>
    <row r="1457" spans="7:8" ht="15.75" customHeight="1">
      <c r="G1457" s="9"/>
      <c r="H1457" s="9"/>
    </row>
    <row r="1458" spans="7:8" ht="15.75" customHeight="1">
      <c r="G1458" s="9"/>
      <c r="H1458" s="9"/>
    </row>
    <row r="1459" spans="7:8" ht="15.75" customHeight="1">
      <c r="G1459" s="9"/>
      <c r="H1459" s="9"/>
    </row>
    <row r="1460" spans="7:8" ht="15.75" customHeight="1">
      <c r="G1460" s="9"/>
      <c r="H1460" s="9"/>
    </row>
    <row r="1461" spans="7:8" ht="15.75" customHeight="1">
      <c r="G1461" s="9"/>
      <c r="H1461" s="9"/>
    </row>
    <row r="1462" spans="7:8" ht="15.75" customHeight="1">
      <c r="G1462" s="9"/>
      <c r="H1462" s="9"/>
    </row>
    <row r="1463" spans="7:8" ht="15.75" customHeight="1">
      <c r="G1463" s="9"/>
      <c r="H1463" s="9"/>
    </row>
    <row r="1464" spans="7:8" ht="15.75" customHeight="1">
      <c r="G1464" s="9"/>
      <c r="H1464" s="9"/>
    </row>
    <row r="1465" spans="7:8" ht="15.75" customHeight="1">
      <c r="G1465" s="9"/>
      <c r="H1465" s="9"/>
    </row>
    <row r="1466" spans="7:8" ht="15.75" customHeight="1">
      <c r="G1466" s="9"/>
      <c r="H1466" s="9"/>
    </row>
    <row r="1467" spans="7:8" ht="15.75" customHeight="1">
      <c r="G1467" s="9"/>
      <c r="H1467" s="9"/>
    </row>
    <row r="1468" spans="7:8" ht="15.75" customHeight="1">
      <c r="G1468" s="9"/>
      <c r="H1468" s="9"/>
    </row>
    <row r="1469" spans="7:8" ht="15.75" customHeight="1">
      <c r="G1469" s="9"/>
      <c r="H1469" s="9"/>
    </row>
    <row r="1470" spans="7:8" ht="15.75" customHeight="1">
      <c r="G1470" s="9"/>
      <c r="H1470" s="9"/>
    </row>
    <row r="1471" spans="7:8" ht="15.75" customHeight="1">
      <c r="G1471" s="9"/>
      <c r="H1471" s="9"/>
    </row>
    <row r="1472" spans="7:8" ht="15.75" customHeight="1">
      <c r="G1472" s="9"/>
      <c r="H1472" s="9"/>
    </row>
    <row r="1473" spans="7:8" ht="15.75" customHeight="1">
      <c r="G1473" s="9"/>
      <c r="H1473" s="9"/>
    </row>
    <row r="1474" spans="7:8" ht="15.75" customHeight="1">
      <c r="G1474" s="9"/>
      <c r="H1474" s="9"/>
    </row>
    <row r="1475" spans="7:8" ht="15.75" customHeight="1">
      <c r="G1475" s="9"/>
      <c r="H1475" s="9"/>
    </row>
    <row r="1476" spans="7:8" ht="15.75" customHeight="1">
      <c r="G1476" s="9"/>
      <c r="H1476" s="9"/>
    </row>
    <row r="1477" spans="7:8" ht="15.75" customHeight="1">
      <c r="G1477" s="9"/>
      <c r="H1477" s="9"/>
    </row>
    <row r="1478" spans="7:8" ht="15.75" customHeight="1">
      <c r="G1478" s="9"/>
      <c r="H1478" s="9"/>
    </row>
    <row r="1479" spans="7:8" ht="15.75" customHeight="1">
      <c r="G1479" s="9"/>
      <c r="H1479" s="9"/>
    </row>
    <row r="1480" spans="7:8" ht="15.75" customHeight="1">
      <c r="G1480" s="9"/>
      <c r="H1480" s="9"/>
    </row>
    <row r="1481" spans="7:8" ht="15.75" customHeight="1">
      <c r="G1481" s="9"/>
      <c r="H1481" s="9"/>
    </row>
    <row r="1482" spans="7:8" ht="15.75" customHeight="1">
      <c r="G1482" s="9"/>
      <c r="H1482" s="9"/>
    </row>
    <row r="1483" spans="7:8" ht="15.75" customHeight="1">
      <c r="G1483" s="9"/>
      <c r="H1483" s="9"/>
    </row>
    <row r="1484" spans="7:8" ht="15.75" customHeight="1">
      <c r="G1484" s="9"/>
      <c r="H1484" s="9"/>
    </row>
    <row r="1485" spans="7:8" ht="15.75" customHeight="1">
      <c r="G1485" s="9"/>
      <c r="H1485" s="9"/>
    </row>
    <row r="1486" spans="7:8" ht="15.75" customHeight="1">
      <c r="G1486" s="9"/>
      <c r="H1486" s="9"/>
    </row>
    <row r="1487" spans="7:8" ht="15.75" customHeight="1">
      <c r="G1487" s="9"/>
      <c r="H1487" s="9"/>
    </row>
    <row r="1488" spans="7:8" ht="15.75" customHeight="1">
      <c r="G1488" s="9"/>
      <c r="H1488" s="9"/>
    </row>
    <row r="1489" spans="7:8" ht="15.75" customHeight="1">
      <c r="G1489" s="9"/>
      <c r="H1489" s="9"/>
    </row>
    <row r="1490" spans="7:8" ht="15.75" customHeight="1">
      <c r="G1490" s="9"/>
      <c r="H1490" s="9"/>
    </row>
    <row r="1491" spans="7:8" ht="15.75" customHeight="1">
      <c r="G1491" s="9"/>
      <c r="H1491" s="9"/>
    </row>
    <row r="1492" spans="7:8" ht="15.75" customHeight="1">
      <c r="G1492" s="9"/>
      <c r="H1492" s="9"/>
    </row>
    <row r="1493" spans="7:8" ht="15.75" customHeight="1">
      <c r="G1493" s="9"/>
      <c r="H1493" s="9"/>
    </row>
    <row r="1494" spans="7:8" ht="15.75" customHeight="1">
      <c r="G1494" s="9"/>
      <c r="H1494" s="9"/>
    </row>
    <row r="1495" spans="7:8" ht="15.75" customHeight="1">
      <c r="G1495" s="9"/>
      <c r="H1495" s="9"/>
    </row>
    <row r="1496" spans="7:8" ht="15.75" customHeight="1">
      <c r="G1496" s="9"/>
      <c r="H1496" s="9"/>
    </row>
    <row r="1497" spans="7:8" ht="15.75" customHeight="1">
      <c r="G1497" s="9"/>
      <c r="H1497" s="9"/>
    </row>
    <row r="1498" spans="7:8" ht="15.75" customHeight="1">
      <c r="G1498" s="9"/>
      <c r="H1498" s="9"/>
    </row>
    <row r="1499" spans="7:8" ht="15.75" customHeight="1">
      <c r="G1499" s="9"/>
      <c r="H1499" s="9"/>
    </row>
    <row r="1500" spans="7:8" ht="15.75" customHeight="1">
      <c r="G1500" s="9"/>
      <c r="H1500" s="9"/>
    </row>
    <row r="1501" spans="7:8" ht="15.75" customHeight="1">
      <c r="G1501" s="9"/>
      <c r="H1501" s="9"/>
    </row>
  </sheetData>
  <autoFilter ref="A1:W1002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activeCell="A6" sqref="A6"/>
    </sheetView>
  </sheetViews>
  <sheetFormatPr defaultColWidth="12.5703125" defaultRowHeight="15" customHeight="1"/>
  <cols>
    <col min="1" max="1" width="79.85546875" bestFit="1" customWidth="1"/>
    <col min="2" max="26" width="8.5703125" customWidth="1"/>
  </cols>
  <sheetData>
    <row r="1" spans="1:1" ht="16.5">
      <c r="A1" s="10" t="s">
        <v>1945</v>
      </c>
    </row>
    <row r="2" spans="1:1">
      <c r="A2" s="11" t="s">
        <v>1946</v>
      </c>
    </row>
    <row r="3" spans="1:1">
      <c r="A3" s="11" t="s">
        <v>1947</v>
      </c>
    </row>
    <row r="4" spans="1:1">
      <c r="A4" s="12" t="s">
        <v>1948</v>
      </c>
    </row>
    <row r="5" spans="1:1">
      <c r="A5" s="11" t="s">
        <v>1949</v>
      </c>
    </row>
    <row r="6" spans="1:1">
      <c r="A6" s="11" t="s">
        <v>1950</v>
      </c>
    </row>
    <row r="7" spans="1:1">
      <c r="A7" s="11" t="s">
        <v>1951</v>
      </c>
    </row>
    <row r="8" spans="1:1">
      <c r="A8" s="11" t="s">
        <v>1952</v>
      </c>
    </row>
    <row r="9" spans="1:1">
      <c r="A9" s="11" t="s">
        <v>1953</v>
      </c>
    </row>
    <row r="10" spans="1:1" ht="16.5">
      <c r="A10" s="10" t="s">
        <v>1954</v>
      </c>
    </row>
    <row r="11" spans="1:1">
      <c r="A11" s="11" t="s">
        <v>1955</v>
      </c>
    </row>
    <row r="12" spans="1:1">
      <c r="A12" s="11" t="s">
        <v>1956</v>
      </c>
    </row>
    <row r="13" spans="1:1">
      <c r="A13" s="11" t="s">
        <v>1957</v>
      </c>
    </row>
    <row r="14" spans="1:1">
      <c r="A14" s="11" t="s">
        <v>1958</v>
      </c>
    </row>
    <row r="15" spans="1:1">
      <c r="A15" s="13"/>
    </row>
    <row r="16" spans="1:1">
      <c r="A16" s="13"/>
    </row>
    <row r="17" spans="1:1">
      <c r="A17" s="13"/>
    </row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FB26-36FF-45DF-9267-B368955EE28B}">
  <dimension ref="A1:C25"/>
  <sheetViews>
    <sheetView tabSelected="1" workbookViewId="0">
      <selection activeCell="A2" sqref="A2"/>
    </sheetView>
  </sheetViews>
  <sheetFormatPr defaultRowHeight="15"/>
  <cols>
    <col min="1" max="1" width="69.5703125" bestFit="1" customWidth="1"/>
    <col min="2" max="2" width="13.28515625" bestFit="1" customWidth="1"/>
    <col min="3" max="3" width="21.85546875" bestFit="1" customWidth="1"/>
  </cols>
  <sheetData>
    <row r="1" spans="1:3">
      <c r="A1" t="s">
        <v>1959</v>
      </c>
      <c r="B1" s="14" t="s">
        <v>1960</v>
      </c>
      <c r="C1">
        <f>AVERAGE(Healthcare_LifeSciences_Data!G13:G993)</f>
        <v>7.9255861365953111</v>
      </c>
    </row>
    <row r="2" spans="1:3">
      <c r="A2" s="21" t="s">
        <v>1985</v>
      </c>
      <c r="B2" t="s">
        <v>1961</v>
      </c>
      <c r="C2">
        <f>AVERAGE(Healthcare_LifeSciences_Data!G3:G1001)</f>
        <v>7.8638638638638643</v>
      </c>
    </row>
    <row r="3" spans="1:3">
      <c r="B3" t="s">
        <v>1963</v>
      </c>
      <c r="C3">
        <f>AVERAGE(Healthcare_LifeSciences_Data!G12:G991)</f>
        <v>7.9163265306122446</v>
      </c>
    </row>
    <row r="4" spans="1:3">
      <c r="B4" t="s">
        <v>1962</v>
      </c>
      <c r="C4">
        <f>AVERAGE(Healthcare_LifeSciences_Data!G19:G1000)</f>
        <v>7.9093686354378816</v>
      </c>
    </row>
    <row r="5" spans="1:3">
      <c r="B5" t="s">
        <v>1964</v>
      </c>
      <c r="C5">
        <f>AVERAGE(Healthcare_LifeSciences_Data!G2:G967)</f>
        <v>7.8612836438923397</v>
      </c>
    </row>
    <row r="6" spans="1:3">
      <c r="B6" t="s">
        <v>1965</v>
      </c>
      <c r="C6">
        <f>AVERAGE(Healthcare_LifeSciences_Data!G5:G992)</f>
        <v>7.8876518218623479</v>
      </c>
    </row>
    <row r="7" spans="1:3">
      <c r="B7" t="s">
        <v>1966</v>
      </c>
      <c r="C7">
        <f>AVERAGE(Healthcare_LifeSciences_Data!G4:G999)</f>
        <v>7.868473895582329</v>
      </c>
    </row>
    <row r="8" spans="1:3">
      <c r="B8" t="s">
        <v>1967</v>
      </c>
      <c r="C8">
        <f>AVERAGE(Healthcare_LifeSciences_Data!G7:G996)</f>
        <v>7.8818181818181818</v>
      </c>
    </row>
    <row r="10" spans="1:3">
      <c r="A10" t="s">
        <v>1969</v>
      </c>
      <c r="B10" t="s">
        <v>1970</v>
      </c>
      <c r="C10" t="s">
        <v>1971</v>
      </c>
    </row>
    <row r="11" spans="1:3">
      <c r="B11" s="8" t="s">
        <v>58</v>
      </c>
      <c r="C11">
        <f>AVERAGE(Healthcare_LifeSciences_Data!K6:K997)</f>
        <v>26699.589717741936</v>
      </c>
    </row>
    <row r="12" spans="1:3">
      <c r="B12" s="8" t="s">
        <v>73</v>
      </c>
      <c r="C12">
        <f>AVERAGE(Healthcare_LifeSciences_Data!K8:K994)</f>
        <v>26720.216818642351</v>
      </c>
    </row>
    <row r="13" spans="1:3">
      <c r="B13" s="8" t="s">
        <v>38</v>
      </c>
      <c r="C13">
        <f>AVERAGE(Healthcare_LifeSciences_Data!K3:K991)</f>
        <v>26724.133468149645</v>
      </c>
    </row>
    <row r="14" spans="1:3">
      <c r="B14" s="8" t="s">
        <v>24</v>
      </c>
      <c r="C14">
        <f>AVERAGE(Healthcare_LifeSciences_Data!K2:K1001)</f>
        <v>26785.048999999999</v>
      </c>
    </row>
    <row r="15" spans="1:3">
      <c r="B15" s="8" t="s">
        <v>46</v>
      </c>
      <c r="C15">
        <f>AVERAGE(Healthcare_LifeSciences_Data!K4:K995)</f>
        <v>26682.659274193549</v>
      </c>
    </row>
    <row r="16" spans="1:3">
      <c r="B16" s="8" t="s">
        <v>83</v>
      </c>
      <c r="C16">
        <f>AVERAGE(Healthcare_LifeSciences_Data!K11:K999)</f>
        <v>26718.77856420627</v>
      </c>
    </row>
    <row r="18" spans="1:3">
      <c r="A18" t="s">
        <v>1976</v>
      </c>
      <c r="B18">
        <f>COUNTIF(Healthcare_LifeSciences_Data!M2:M1001,"YES")</f>
        <v>617</v>
      </c>
      <c r="C18">
        <f>B18/B19*100</f>
        <v>61.7</v>
      </c>
    </row>
    <row r="19" spans="1:3">
      <c r="B19">
        <f>COUNTA(Healthcare_LifeSciences_Data!M2:M1001)</f>
        <v>1000</v>
      </c>
    </row>
    <row r="21" spans="1:3">
      <c r="A21" t="s">
        <v>1979</v>
      </c>
      <c r="B21">
        <f>COUNTIFS(Healthcare_LifeSciences_Data!Q2:Q1001,Healthcare_LifeSciences_Data!Q2,Healthcare_LifeSciences_Data!R2:R1001,Healthcare_LifeSciences_Data!R3)</f>
        <v>18</v>
      </c>
      <c r="C21" s="8" t="s">
        <v>31</v>
      </c>
    </row>
    <row r="22" spans="1:3">
      <c r="B22">
        <f>COUNTIFS(Healthcare_LifeSciences_Data!Q2:Q1001,Healthcare_LifeSciences_Data!Q3,Healthcare_LifeSciences_Data!R2:R1001,Healthcare_LifeSciences_Data!R4)</f>
        <v>13</v>
      </c>
      <c r="C22" s="8" t="s">
        <v>43</v>
      </c>
    </row>
    <row r="23" spans="1:3">
      <c r="B23">
        <f>COUNTIFS(Healthcare_LifeSciences_Data!Q2:Q1001,Healthcare_LifeSciences_Data!Q4,Healthcare_LifeSciences_Data!R2:R1001,Healthcare_LifeSciences_Data!R3)</f>
        <v>17</v>
      </c>
      <c r="C23" s="8" t="s">
        <v>48</v>
      </c>
    </row>
    <row r="24" spans="1:3">
      <c r="B24">
        <f>COUNTIFS(Healthcare_LifeSciences_Data!Q2:Q1001,Healthcare_LifeSciences_Data!Q7,Healthcare_LifeSciences_Data!R2:R1001,Healthcare_LifeSciences_Data!R4)</f>
        <v>19</v>
      </c>
      <c r="C24" s="8" t="s">
        <v>69</v>
      </c>
    </row>
    <row r="25" spans="1:3">
      <c r="B25">
        <f>COUNTIFS(Healthcare_LifeSciences_Data!Q2:Q1001,Healthcare_LifeSciences_Data!Q11,Healthcare_LifeSciences_Data!R2:R1001,Healthcare_LifeSciences_Data!R3)</f>
        <v>22</v>
      </c>
      <c r="C25" s="8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6CD6-2186-4285-B19D-2FF1EBD0A4FC}">
  <dimension ref="A1:QZ9"/>
  <sheetViews>
    <sheetView workbookViewId="0">
      <selection activeCell="B6" sqref="B6"/>
    </sheetView>
  </sheetViews>
  <sheetFormatPr defaultRowHeight="15"/>
  <cols>
    <col min="1" max="1" width="23.85546875" bestFit="1" customWidth="1"/>
    <col min="2" max="2" width="16.85546875" bestFit="1" customWidth="1"/>
    <col min="3" max="283" width="12.42578125" bestFit="1" customWidth="1"/>
    <col min="284" max="289" width="8.42578125" bestFit="1" customWidth="1"/>
    <col min="290" max="291" width="9.42578125" bestFit="1" customWidth="1"/>
    <col min="292" max="298" width="8.42578125" bestFit="1" customWidth="1"/>
    <col min="299" max="300" width="9.42578125" bestFit="1" customWidth="1"/>
    <col min="301" max="307" width="8.42578125" bestFit="1" customWidth="1"/>
    <col min="308" max="310" width="9.42578125" bestFit="1" customWidth="1"/>
    <col min="311" max="316" width="8.42578125" bestFit="1" customWidth="1"/>
    <col min="317" max="319" width="9.42578125" bestFit="1" customWidth="1"/>
    <col min="320" max="327" width="8.42578125" bestFit="1" customWidth="1"/>
    <col min="328" max="330" width="9.42578125" bestFit="1" customWidth="1"/>
    <col min="331" max="336" width="8.42578125" bestFit="1" customWidth="1"/>
    <col min="337" max="339" width="9.42578125" bestFit="1" customWidth="1"/>
    <col min="340" max="346" width="8.42578125" bestFit="1" customWidth="1"/>
    <col min="347" max="349" width="9.42578125" bestFit="1" customWidth="1"/>
    <col min="350" max="356" width="8.42578125" bestFit="1" customWidth="1"/>
    <col min="357" max="359" width="9.42578125" bestFit="1" customWidth="1"/>
    <col min="360" max="366" width="8.42578125" bestFit="1" customWidth="1"/>
    <col min="367" max="376" width="9.42578125" bestFit="1" customWidth="1"/>
    <col min="377" max="379" width="10.42578125" bestFit="1" customWidth="1"/>
    <col min="380" max="387" width="9.42578125" bestFit="1" customWidth="1"/>
    <col min="388" max="390" width="10.42578125" bestFit="1" customWidth="1"/>
    <col min="391" max="398" width="9.42578125" bestFit="1" customWidth="1"/>
    <col min="399" max="401" width="10.42578125" bestFit="1" customWidth="1"/>
    <col min="402" max="451" width="8.42578125" bestFit="1" customWidth="1"/>
    <col min="452" max="467" width="9.42578125" bestFit="1" customWidth="1"/>
    <col min="468" max="468" width="11.28515625" bestFit="1" customWidth="1"/>
    <col min="469" max="469" width="17.5703125" bestFit="1" customWidth="1"/>
    <col min="470" max="470" width="14.28515625" bestFit="1" customWidth="1"/>
    <col min="471" max="471" width="12.42578125" bestFit="1" customWidth="1"/>
    <col min="472" max="472" width="9.42578125" bestFit="1" customWidth="1"/>
    <col min="473" max="473" width="17.5703125" bestFit="1" customWidth="1"/>
    <col min="474" max="474" width="14.28515625" bestFit="1" customWidth="1"/>
    <col min="475" max="475" width="17.5703125" bestFit="1" customWidth="1"/>
    <col min="476" max="476" width="14.28515625" bestFit="1" customWidth="1"/>
    <col min="477" max="477" width="17.5703125" bestFit="1" customWidth="1"/>
    <col min="478" max="478" width="14.28515625" bestFit="1" customWidth="1"/>
    <col min="479" max="479" width="17.5703125" bestFit="1" customWidth="1"/>
    <col min="480" max="480" width="14.28515625" bestFit="1" customWidth="1"/>
    <col min="481" max="481" width="17.5703125" bestFit="1" customWidth="1"/>
    <col min="482" max="482" width="14.28515625" bestFit="1" customWidth="1"/>
    <col min="483" max="483" width="17.5703125" bestFit="1" customWidth="1"/>
    <col min="484" max="484" width="14.28515625" bestFit="1" customWidth="1"/>
    <col min="485" max="485" width="12.42578125" bestFit="1" customWidth="1"/>
    <col min="486" max="486" width="8.42578125" bestFit="1" customWidth="1"/>
    <col min="487" max="487" width="17.5703125" bestFit="1" customWidth="1"/>
    <col min="488" max="488" width="14.28515625" bestFit="1" customWidth="1"/>
    <col min="489" max="489" width="17.5703125" bestFit="1" customWidth="1"/>
    <col min="490" max="490" width="14.28515625" bestFit="1" customWidth="1"/>
    <col min="491" max="491" width="17.5703125" bestFit="1" customWidth="1"/>
    <col min="492" max="492" width="14.28515625" bestFit="1" customWidth="1"/>
    <col min="493" max="493" width="8.42578125" bestFit="1" customWidth="1"/>
    <col min="494" max="494" width="17.5703125" bestFit="1" customWidth="1"/>
    <col min="495" max="495" width="14.28515625" bestFit="1" customWidth="1"/>
    <col min="496" max="496" width="12.42578125" bestFit="1" customWidth="1"/>
    <col min="497" max="497" width="17.5703125" bestFit="1" customWidth="1"/>
    <col min="498" max="498" width="14.28515625" bestFit="1" customWidth="1"/>
    <col min="499" max="499" width="17.5703125" bestFit="1" customWidth="1"/>
    <col min="500" max="500" width="14.28515625" bestFit="1" customWidth="1"/>
    <col min="501" max="501" width="17.5703125" bestFit="1" customWidth="1"/>
    <col min="502" max="502" width="14.28515625" bestFit="1" customWidth="1"/>
    <col min="503" max="504" width="12.42578125" bestFit="1" customWidth="1"/>
    <col min="505" max="505" width="8.42578125" bestFit="1" customWidth="1"/>
    <col min="506" max="506" width="17.5703125" bestFit="1" customWidth="1"/>
    <col min="507" max="507" width="14.28515625" bestFit="1" customWidth="1"/>
    <col min="508" max="508" width="12.42578125" bestFit="1" customWidth="1"/>
    <col min="509" max="509" width="8.42578125" bestFit="1" customWidth="1"/>
    <col min="510" max="510" width="17.5703125" bestFit="1" customWidth="1"/>
    <col min="511" max="511" width="14.28515625" bestFit="1" customWidth="1"/>
    <col min="512" max="512" width="17.5703125" bestFit="1" customWidth="1"/>
    <col min="513" max="513" width="14.28515625" bestFit="1" customWidth="1"/>
    <col min="514" max="515" width="9.42578125" bestFit="1" customWidth="1"/>
    <col min="516" max="516" width="17.5703125" bestFit="1" customWidth="1"/>
    <col min="517" max="517" width="14.28515625" bestFit="1" customWidth="1"/>
    <col min="518" max="518" width="17.5703125" bestFit="1" customWidth="1"/>
    <col min="519" max="519" width="14.28515625" bestFit="1" customWidth="1"/>
    <col min="520" max="520" width="12.42578125" bestFit="1" customWidth="1"/>
    <col min="521" max="522" width="8.42578125" bestFit="1" customWidth="1"/>
    <col min="523" max="523" width="17.5703125" bestFit="1" customWidth="1"/>
    <col min="524" max="524" width="14.28515625" bestFit="1" customWidth="1"/>
    <col min="525" max="525" width="17.5703125" bestFit="1" customWidth="1"/>
    <col min="526" max="526" width="14.28515625" bestFit="1" customWidth="1"/>
    <col min="527" max="527" width="17.5703125" bestFit="1" customWidth="1"/>
    <col min="528" max="528" width="14.28515625" bestFit="1" customWidth="1"/>
    <col min="529" max="529" width="12.42578125" bestFit="1" customWidth="1"/>
    <col min="530" max="531" width="8.42578125" bestFit="1" customWidth="1"/>
    <col min="532" max="532" width="17.5703125" bestFit="1" customWidth="1"/>
    <col min="533" max="533" width="14.28515625" bestFit="1" customWidth="1"/>
    <col min="534" max="534" width="12.42578125" bestFit="1" customWidth="1"/>
    <col min="535" max="536" width="8.42578125" bestFit="1" customWidth="1"/>
    <col min="537" max="537" width="17.5703125" bestFit="1" customWidth="1"/>
    <col min="538" max="538" width="14.28515625" bestFit="1" customWidth="1"/>
    <col min="539" max="540" width="12.42578125" bestFit="1" customWidth="1"/>
    <col min="541" max="541" width="17.5703125" bestFit="1" customWidth="1"/>
    <col min="542" max="542" width="14.28515625" bestFit="1" customWidth="1"/>
    <col min="543" max="543" width="17.5703125" bestFit="1" customWidth="1"/>
    <col min="544" max="544" width="14.28515625" bestFit="1" customWidth="1"/>
    <col min="545" max="545" width="17.5703125" bestFit="1" customWidth="1"/>
    <col min="546" max="546" width="14.28515625" bestFit="1" customWidth="1"/>
    <col min="547" max="547" width="17.5703125" bestFit="1" customWidth="1"/>
    <col min="548" max="548" width="14.28515625" bestFit="1" customWidth="1"/>
    <col min="549" max="549" width="17.5703125" bestFit="1" customWidth="1"/>
    <col min="550" max="550" width="14.28515625" bestFit="1" customWidth="1"/>
    <col min="551" max="551" width="12.42578125" bestFit="1" customWidth="1"/>
    <col min="552" max="552" width="17.5703125" bestFit="1" customWidth="1"/>
    <col min="553" max="553" width="14.28515625" bestFit="1" customWidth="1"/>
    <col min="554" max="554" width="8.42578125" bestFit="1" customWidth="1"/>
    <col min="555" max="555" width="17.5703125" bestFit="1" customWidth="1"/>
    <col min="556" max="556" width="14.28515625" bestFit="1" customWidth="1"/>
    <col min="557" max="557" width="17.5703125" bestFit="1" customWidth="1"/>
    <col min="558" max="558" width="14.28515625" bestFit="1" customWidth="1"/>
    <col min="559" max="559" width="17.5703125" bestFit="1" customWidth="1"/>
    <col min="560" max="560" width="14.28515625" bestFit="1" customWidth="1"/>
    <col min="561" max="561" width="17.5703125" bestFit="1" customWidth="1"/>
    <col min="562" max="562" width="14.28515625" bestFit="1" customWidth="1"/>
    <col min="563" max="563" width="17.5703125" bestFit="1" customWidth="1"/>
    <col min="564" max="564" width="14.28515625" bestFit="1" customWidth="1"/>
    <col min="565" max="565" width="17.5703125" bestFit="1" customWidth="1"/>
    <col min="566" max="566" width="14.28515625" bestFit="1" customWidth="1"/>
    <col min="567" max="570" width="8.42578125" bestFit="1" customWidth="1"/>
    <col min="571" max="571" width="17.5703125" bestFit="1" customWidth="1"/>
    <col min="572" max="572" width="14.28515625" bestFit="1" customWidth="1"/>
    <col min="573" max="574" width="9.42578125" bestFit="1" customWidth="1"/>
    <col min="575" max="575" width="17.5703125" bestFit="1" customWidth="1"/>
    <col min="576" max="576" width="14.28515625" bestFit="1" customWidth="1"/>
    <col min="577" max="577" width="8.42578125" bestFit="1" customWidth="1"/>
    <col min="578" max="578" width="17.5703125" bestFit="1" customWidth="1"/>
    <col min="579" max="579" width="14.28515625" bestFit="1" customWidth="1"/>
    <col min="580" max="581" width="8.42578125" bestFit="1" customWidth="1"/>
    <col min="582" max="582" width="17.5703125" bestFit="1" customWidth="1"/>
    <col min="583" max="583" width="14.28515625" bestFit="1" customWidth="1"/>
    <col min="584" max="584" width="17.5703125" bestFit="1" customWidth="1"/>
    <col min="585" max="585" width="14.28515625" bestFit="1" customWidth="1"/>
    <col min="586" max="587" width="8.42578125" bestFit="1" customWidth="1"/>
    <col min="588" max="588" width="17.5703125" bestFit="1" customWidth="1"/>
    <col min="589" max="589" width="14.28515625" bestFit="1" customWidth="1"/>
    <col min="590" max="590" width="8.42578125" bestFit="1" customWidth="1"/>
    <col min="591" max="591" width="17.5703125" bestFit="1" customWidth="1"/>
    <col min="592" max="592" width="14.28515625" bestFit="1" customWidth="1"/>
    <col min="593" max="593" width="17.5703125" bestFit="1" customWidth="1"/>
    <col min="594" max="594" width="14.28515625" bestFit="1" customWidth="1"/>
    <col min="595" max="595" width="8.42578125" bestFit="1" customWidth="1"/>
    <col min="596" max="596" width="17.5703125" bestFit="1" customWidth="1"/>
    <col min="597" max="597" width="14.28515625" bestFit="1" customWidth="1"/>
    <col min="598" max="598" width="17.5703125" bestFit="1" customWidth="1"/>
    <col min="599" max="599" width="14.28515625" bestFit="1" customWidth="1"/>
    <col min="600" max="600" width="8.42578125" bestFit="1" customWidth="1"/>
    <col min="601" max="601" width="17.5703125" bestFit="1" customWidth="1"/>
    <col min="602" max="602" width="14.28515625" bestFit="1" customWidth="1"/>
    <col min="603" max="603" width="8.42578125" bestFit="1" customWidth="1"/>
    <col min="604" max="604" width="17.5703125" bestFit="1" customWidth="1"/>
    <col min="605" max="605" width="14.28515625" bestFit="1" customWidth="1"/>
    <col min="606" max="606" width="9.42578125" bestFit="1" customWidth="1"/>
    <col min="607" max="607" width="17.5703125" bestFit="1" customWidth="1"/>
    <col min="608" max="608" width="14.28515625" bestFit="1" customWidth="1"/>
    <col min="609" max="609" width="17.5703125" bestFit="1" customWidth="1"/>
    <col min="610" max="610" width="14.28515625" bestFit="1" customWidth="1"/>
    <col min="611" max="611" width="8.42578125" bestFit="1" customWidth="1"/>
    <col min="612" max="612" width="17.5703125" bestFit="1" customWidth="1"/>
    <col min="613" max="613" width="14.28515625" bestFit="1" customWidth="1"/>
    <col min="614" max="615" width="8.42578125" bestFit="1" customWidth="1"/>
    <col min="616" max="616" width="17.5703125" bestFit="1" customWidth="1"/>
    <col min="617" max="617" width="14.28515625" bestFit="1" customWidth="1"/>
    <col min="618" max="618" width="12.42578125" bestFit="1" customWidth="1"/>
    <col min="619" max="620" width="8.42578125" bestFit="1" customWidth="1"/>
    <col min="621" max="621" width="17.5703125" bestFit="1" customWidth="1"/>
    <col min="622" max="622" width="14.28515625" bestFit="1" customWidth="1"/>
    <col min="623" max="623" width="12.42578125" bestFit="1" customWidth="1"/>
    <col min="624" max="624" width="8.42578125" bestFit="1" customWidth="1"/>
    <col min="625" max="625" width="17.5703125" bestFit="1" customWidth="1"/>
    <col min="626" max="626" width="14.28515625" bestFit="1" customWidth="1"/>
    <col min="627" max="627" width="8.42578125" bestFit="1" customWidth="1"/>
    <col min="628" max="628" width="17.5703125" bestFit="1" customWidth="1"/>
    <col min="629" max="629" width="14.28515625" bestFit="1" customWidth="1"/>
    <col min="630" max="631" width="8.42578125" bestFit="1" customWidth="1"/>
    <col min="632" max="632" width="9.42578125" bestFit="1" customWidth="1"/>
    <col min="633" max="633" width="17.5703125" bestFit="1" customWidth="1"/>
    <col min="634" max="634" width="14.28515625" bestFit="1" customWidth="1"/>
    <col min="635" max="635" width="17.5703125" bestFit="1" customWidth="1"/>
    <col min="636" max="636" width="14.28515625" bestFit="1" customWidth="1"/>
    <col min="637" max="637" width="17.5703125" bestFit="1" customWidth="1"/>
    <col min="638" max="638" width="14.28515625" bestFit="1" customWidth="1"/>
    <col min="639" max="639" width="8.42578125" bestFit="1" customWidth="1"/>
    <col min="640" max="640" width="17.5703125" bestFit="1" customWidth="1"/>
    <col min="641" max="641" width="14.28515625" bestFit="1" customWidth="1"/>
    <col min="642" max="642" width="9.42578125" bestFit="1" customWidth="1"/>
    <col min="643" max="643" width="17.5703125" bestFit="1" customWidth="1"/>
    <col min="644" max="644" width="14.28515625" bestFit="1" customWidth="1"/>
    <col min="645" max="645" width="9.42578125" bestFit="1" customWidth="1"/>
    <col min="646" max="646" width="17.5703125" bestFit="1" customWidth="1"/>
    <col min="647" max="647" width="14.28515625" bestFit="1" customWidth="1"/>
    <col min="648" max="648" width="9.42578125" bestFit="1" customWidth="1"/>
    <col min="649" max="649" width="17.5703125" bestFit="1" customWidth="1"/>
    <col min="650" max="650" width="14.28515625" bestFit="1" customWidth="1"/>
    <col min="651" max="651" width="17.5703125" bestFit="1" customWidth="1"/>
    <col min="652" max="652" width="14.28515625" bestFit="1" customWidth="1"/>
    <col min="653" max="653" width="8.42578125" bestFit="1" customWidth="1"/>
    <col min="654" max="654" width="17.5703125" bestFit="1" customWidth="1"/>
    <col min="655" max="655" width="14.28515625" bestFit="1" customWidth="1"/>
    <col min="656" max="656" width="8.42578125" bestFit="1" customWidth="1"/>
    <col min="657" max="657" width="17.5703125" bestFit="1" customWidth="1"/>
    <col min="658" max="658" width="14.28515625" bestFit="1" customWidth="1"/>
    <col min="659" max="659" width="8.42578125" bestFit="1" customWidth="1"/>
    <col min="660" max="660" width="17.5703125" bestFit="1" customWidth="1"/>
    <col min="661" max="661" width="14.28515625" bestFit="1" customWidth="1"/>
    <col min="662" max="662" width="17.5703125" bestFit="1" customWidth="1"/>
    <col min="663" max="663" width="14.28515625" bestFit="1" customWidth="1"/>
    <col min="664" max="664" width="17.5703125" bestFit="1" customWidth="1"/>
    <col min="665" max="665" width="14.28515625" bestFit="1" customWidth="1"/>
    <col min="666" max="666" width="8.42578125" bestFit="1" customWidth="1"/>
    <col min="667" max="667" width="17.5703125" bestFit="1" customWidth="1"/>
    <col min="668" max="668" width="14.28515625" bestFit="1" customWidth="1"/>
    <col min="669" max="669" width="8.42578125" bestFit="1" customWidth="1"/>
    <col min="670" max="670" width="17.5703125" bestFit="1" customWidth="1"/>
    <col min="671" max="671" width="14.28515625" bestFit="1" customWidth="1"/>
    <col min="672" max="672" width="17.5703125" bestFit="1" customWidth="1"/>
    <col min="673" max="673" width="14.28515625" bestFit="1" customWidth="1"/>
    <col min="674" max="674" width="9.42578125" bestFit="1" customWidth="1"/>
    <col min="675" max="675" width="17.5703125" bestFit="1" customWidth="1"/>
    <col min="676" max="676" width="14.28515625" bestFit="1" customWidth="1"/>
    <col min="677" max="677" width="8.42578125" bestFit="1" customWidth="1"/>
    <col min="678" max="678" width="17.5703125" bestFit="1" customWidth="1"/>
    <col min="679" max="679" width="14.28515625" bestFit="1" customWidth="1"/>
    <col min="680" max="680" width="17.5703125" bestFit="1" customWidth="1"/>
    <col min="681" max="681" width="14.28515625" bestFit="1" customWidth="1"/>
    <col min="682" max="682" width="8.42578125" bestFit="1" customWidth="1"/>
    <col min="683" max="683" width="17.5703125" bestFit="1" customWidth="1"/>
    <col min="684" max="684" width="14.28515625" bestFit="1" customWidth="1"/>
    <col min="685" max="685" width="17.5703125" bestFit="1" customWidth="1"/>
    <col min="686" max="686" width="14.28515625" bestFit="1" customWidth="1"/>
    <col min="687" max="687" width="17.5703125" bestFit="1" customWidth="1"/>
    <col min="688" max="688" width="14.28515625" bestFit="1" customWidth="1"/>
    <col min="689" max="689" width="9.42578125" bestFit="1" customWidth="1"/>
    <col min="690" max="690" width="17.5703125" bestFit="1" customWidth="1"/>
    <col min="691" max="691" width="14.28515625" bestFit="1" customWidth="1"/>
    <col min="692" max="692" width="12.42578125" bestFit="1" customWidth="1"/>
    <col min="693" max="693" width="8.42578125" bestFit="1" customWidth="1"/>
    <col min="694" max="694" width="17.5703125" bestFit="1" customWidth="1"/>
    <col min="695" max="695" width="14.28515625" bestFit="1" customWidth="1"/>
    <col min="696" max="697" width="8.42578125" bestFit="1" customWidth="1"/>
    <col min="698" max="698" width="17.5703125" bestFit="1" customWidth="1"/>
    <col min="699" max="699" width="14.28515625" bestFit="1" customWidth="1"/>
    <col min="700" max="701" width="8.42578125" bestFit="1" customWidth="1"/>
    <col min="702" max="702" width="17.5703125" bestFit="1" customWidth="1"/>
    <col min="703" max="703" width="14.28515625" bestFit="1" customWidth="1"/>
    <col min="704" max="704" width="12.42578125" bestFit="1" customWidth="1"/>
    <col min="705" max="705" width="17.5703125" bestFit="1" customWidth="1"/>
    <col min="706" max="706" width="14.28515625" bestFit="1" customWidth="1"/>
    <col min="707" max="707" width="17.5703125" bestFit="1" customWidth="1"/>
    <col min="708" max="708" width="14.28515625" bestFit="1" customWidth="1"/>
    <col min="709" max="709" width="17.5703125" bestFit="1" customWidth="1"/>
    <col min="710" max="710" width="14.28515625" bestFit="1" customWidth="1"/>
    <col min="711" max="713" width="8.42578125" bestFit="1" customWidth="1"/>
    <col min="714" max="715" width="9.42578125" bestFit="1" customWidth="1"/>
    <col min="716" max="716" width="17.5703125" bestFit="1" customWidth="1"/>
    <col min="717" max="717" width="14.28515625" bestFit="1" customWidth="1"/>
    <col min="718" max="718" width="12.42578125" bestFit="1" customWidth="1"/>
    <col min="719" max="719" width="8.42578125" bestFit="1" customWidth="1"/>
    <col min="720" max="721" width="9.42578125" bestFit="1" customWidth="1"/>
    <col min="722" max="722" width="17.5703125" bestFit="1" customWidth="1"/>
    <col min="723" max="723" width="14.28515625" bestFit="1" customWidth="1"/>
    <col min="724" max="724" width="17.5703125" bestFit="1" customWidth="1"/>
    <col min="725" max="725" width="14.28515625" bestFit="1" customWidth="1"/>
    <col min="726" max="726" width="17.5703125" bestFit="1" customWidth="1"/>
    <col min="727" max="727" width="14.28515625" bestFit="1" customWidth="1"/>
    <col min="728" max="728" width="17.5703125" bestFit="1" customWidth="1"/>
    <col min="729" max="729" width="14.28515625" bestFit="1" customWidth="1"/>
    <col min="730" max="730" width="17.5703125" bestFit="1" customWidth="1"/>
    <col min="731" max="731" width="14.28515625" bestFit="1" customWidth="1"/>
    <col min="732" max="732" width="8.42578125" bestFit="1" customWidth="1"/>
    <col min="733" max="733" width="17.5703125" bestFit="1" customWidth="1"/>
    <col min="734" max="734" width="14.28515625" bestFit="1" customWidth="1"/>
    <col min="735" max="735" width="8.42578125" bestFit="1" customWidth="1"/>
    <col min="736" max="736" width="17.5703125" bestFit="1" customWidth="1"/>
    <col min="737" max="737" width="14.28515625" bestFit="1" customWidth="1"/>
    <col min="738" max="739" width="9.42578125" bestFit="1" customWidth="1"/>
    <col min="740" max="740" width="10.42578125" bestFit="1" customWidth="1"/>
    <col min="741" max="741" width="17.5703125" bestFit="1" customWidth="1"/>
    <col min="742" max="742" width="14.28515625" bestFit="1" customWidth="1"/>
    <col min="743" max="744" width="9.42578125" bestFit="1" customWidth="1"/>
    <col min="745" max="745" width="17.5703125" bestFit="1" customWidth="1"/>
    <col min="746" max="746" width="14.28515625" bestFit="1" customWidth="1"/>
    <col min="747" max="747" width="9.42578125" bestFit="1" customWidth="1"/>
    <col min="748" max="748" width="17.5703125" bestFit="1" customWidth="1"/>
    <col min="749" max="749" width="14.28515625" bestFit="1" customWidth="1"/>
    <col min="750" max="750" width="17.5703125" bestFit="1" customWidth="1"/>
    <col min="751" max="751" width="14.28515625" bestFit="1" customWidth="1"/>
    <col min="752" max="752" width="9.42578125" bestFit="1" customWidth="1"/>
    <col min="753" max="753" width="17.5703125" bestFit="1" customWidth="1"/>
    <col min="754" max="754" width="14.28515625" bestFit="1" customWidth="1"/>
    <col min="755" max="756" width="8.42578125" bestFit="1" customWidth="1"/>
    <col min="757" max="757" width="17.5703125" bestFit="1" customWidth="1"/>
    <col min="758" max="758" width="14.28515625" bestFit="1" customWidth="1"/>
    <col min="759" max="759" width="8.42578125" bestFit="1" customWidth="1"/>
    <col min="760" max="760" width="9.42578125" bestFit="1" customWidth="1"/>
    <col min="761" max="761" width="17.5703125" bestFit="1" customWidth="1"/>
    <col min="762" max="762" width="14.28515625" bestFit="1" customWidth="1"/>
    <col min="763" max="764" width="8.42578125" bestFit="1" customWidth="1"/>
    <col min="765" max="765" width="17.5703125" bestFit="1" customWidth="1"/>
    <col min="766" max="766" width="14.28515625" bestFit="1" customWidth="1"/>
    <col min="767" max="767" width="8.42578125" bestFit="1" customWidth="1"/>
    <col min="768" max="768" width="9.42578125" bestFit="1" customWidth="1"/>
    <col min="769" max="769" width="17.5703125" bestFit="1" customWidth="1"/>
    <col min="770" max="770" width="14.28515625" bestFit="1" customWidth="1"/>
    <col min="771" max="772" width="8.42578125" bestFit="1" customWidth="1"/>
    <col min="773" max="774" width="9.42578125" bestFit="1" customWidth="1"/>
    <col min="775" max="775" width="17.5703125" bestFit="1" customWidth="1"/>
    <col min="776" max="776" width="14.28515625" bestFit="1" customWidth="1"/>
    <col min="777" max="777" width="17.5703125" bestFit="1" customWidth="1"/>
    <col min="778" max="778" width="14.28515625" bestFit="1" customWidth="1"/>
    <col min="779" max="779" width="8.42578125" bestFit="1" customWidth="1"/>
    <col min="780" max="780" width="17.5703125" bestFit="1" customWidth="1"/>
    <col min="781" max="781" width="14.28515625" bestFit="1" customWidth="1"/>
    <col min="782" max="783" width="8.42578125" bestFit="1" customWidth="1"/>
    <col min="784" max="784" width="17.5703125" bestFit="1" customWidth="1"/>
    <col min="785" max="785" width="14.28515625" bestFit="1" customWidth="1"/>
    <col min="786" max="786" width="17.5703125" bestFit="1" customWidth="1"/>
    <col min="787" max="787" width="14.28515625" bestFit="1" customWidth="1"/>
    <col min="788" max="789" width="8.42578125" bestFit="1" customWidth="1"/>
    <col min="790" max="790" width="9.42578125" bestFit="1" customWidth="1"/>
    <col min="791" max="791" width="17.5703125" bestFit="1" customWidth="1"/>
    <col min="792" max="792" width="14.28515625" bestFit="1" customWidth="1"/>
    <col min="793" max="796" width="9.42578125" bestFit="1" customWidth="1"/>
    <col min="797" max="797" width="10.42578125" bestFit="1" customWidth="1"/>
    <col min="798" max="798" width="17.5703125" bestFit="1" customWidth="1"/>
    <col min="799" max="799" width="14.28515625" bestFit="1" customWidth="1"/>
    <col min="800" max="800" width="17.5703125" bestFit="1" customWidth="1"/>
    <col min="801" max="801" width="14.28515625" bestFit="1" customWidth="1"/>
    <col min="802" max="803" width="9.42578125" bestFit="1" customWidth="1"/>
    <col min="804" max="804" width="17.5703125" bestFit="1" customWidth="1"/>
    <col min="805" max="805" width="14.28515625" bestFit="1" customWidth="1"/>
    <col min="806" max="806" width="12.42578125" bestFit="1" customWidth="1"/>
    <col min="807" max="807" width="17.5703125" bestFit="1" customWidth="1"/>
    <col min="808" max="808" width="14.28515625" bestFit="1" customWidth="1"/>
    <col min="809" max="809" width="12.42578125" bestFit="1" customWidth="1"/>
    <col min="810" max="811" width="8.42578125" bestFit="1" customWidth="1"/>
    <col min="812" max="812" width="17.5703125" bestFit="1" customWidth="1"/>
    <col min="813" max="813" width="14.28515625" bestFit="1" customWidth="1"/>
    <col min="814" max="814" width="8.42578125" bestFit="1" customWidth="1"/>
    <col min="815" max="815" width="17.5703125" bestFit="1" customWidth="1"/>
    <col min="816" max="816" width="14.28515625" bestFit="1" customWidth="1"/>
    <col min="817" max="817" width="17.5703125" bestFit="1" customWidth="1"/>
    <col min="818" max="818" width="14.28515625" bestFit="1" customWidth="1"/>
    <col min="819" max="819" width="17.5703125" bestFit="1" customWidth="1"/>
    <col min="820" max="820" width="14.28515625" bestFit="1" customWidth="1"/>
    <col min="821" max="821" width="17.5703125" bestFit="1" customWidth="1"/>
    <col min="822" max="822" width="14.28515625" bestFit="1" customWidth="1"/>
    <col min="823" max="823" width="8.42578125" bestFit="1" customWidth="1"/>
    <col min="824" max="824" width="17.5703125" bestFit="1" customWidth="1"/>
    <col min="825" max="825" width="14.28515625" bestFit="1" customWidth="1"/>
    <col min="826" max="826" width="17.5703125" bestFit="1" customWidth="1"/>
    <col min="827" max="827" width="14.28515625" bestFit="1" customWidth="1"/>
    <col min="828" max="828" width="9.42578125" bestFit="1" customWidth="1"/>
    <col min="829" max="831" width="10.42578125" bestFit="1" customWidth="1"/>
    <col min="832" max="832" width="17.5703125" bestFit="1" customWidth="1"/>
    <col min="833" max="833" width="14.28515625" bestFit="1" customWidth="1"/>
    <col min="834" max="834" width="8.42578125" bestFit="1" customWidth="1"/>
    <col min="835" max="835" width="17.5703125" bestFit="1" customWidth="1"/>
    <col min="836" max="836" width="14.28515625" bestFit="1" customWidth="1"/>
    <col min="837" max="837" width="17.5703125" bestFit="1" customWidth="1"/>
    <col min="838" max="838" width="14.28515625" bestFit="1" customWidth="1"/>
    <col min="839" max="839" width="17.5703125" bestFit="1" customWidth="1"/>
    <col min="840" max="840" width="14.28515625" bestFit="1" customWidth="1"/>
    <col min="841" max="841" width="17.5703125" bestFit="1" customWidth="1"/>
    <col min="842" max="842" width="14.28515625" bestFit="1" customWidth="1"/>
    <col min="843" max="843" width="17.5703125" bestFit="1" customWidth="1"/>
    <col min="844" max="844" width="14.28515625" bestFit="1" customWidth="1"/>
    <col min="845" max="845" width="17.5703125" bestFit="1" customWidth="1"/>
    <col min="846" max="846" width="14.28515625" bestFit="1" customWidth="1"/>
    <col min="847" max="847" width="17.5703125" bestFit="1" customWidth="1"/>
    <col min="848" max="848" width="14.28515625" bestFit="1" customWidth="1"/>
    <col min="849" max="849" width="12.42578125" bestFit="1" customWidth="1"/>
    <col min="850" max="850" width="8.42578125" bestFit="1" customWidth="1"/>
    <col min="851" max="851" width="17.5703125" bestFit="1" customWidth="1"/>
    <col min="852" max="852" width="14.28515625" bestFit="1" customWidth="1"/>
    <col min="853" max="853" width="10.42578125" bestFit="1" customWidth="1"/>
    <col min="854" max="854" width="17.5703125" bestFit="1" customWidth="1"/>
    <col min="855" max="855" width="10.28515625" bestFit="1" customWidth="1"/>
    <col min="856" max="856" width="9.42578125" bestFit="1" customWidth="1"/>
    <col min="857" max="857" width="13.42578125" bestFit="1" customWidth="1"/>
    <col min="858" max="858" width="10.28515625" bestFit="1" customWidth="1"/>
    <col min="859" max="859" width="13.42578125" bestFit="1" customWidth="1"/>
    <col min="860" max="860" width="12.42578125" bestFit="1" customWidth="1"/>
    <col min="861" max="861" width="8.42578125" bestFit="1" customWidth="1"/>
    <col min="862" max="862" width="13.42578125" bestFit="1" customWidth="1"/>
    <col min="863" max="863" width="10.28515625" bestFit="1" customWidth="1"/>
    <col min="864" max="864" width="13.42578125" bestFit="1" customWidth="1"/>
    <col min="865" max="865" width="10.28515625" bestFit="1" customWidth="1"/>
    <col min="866" max="866" width="13.42578125" bestFit="1" customWidth="1"/>
    <col min="867" max="867" width="10.28515625" bestFit="1" customWidth="1"/>
    <col min="868" max="868" width="9.42578125" bestFit="1" customWidth="1"/>
    <col min="869" max="869" width="13.42578125" bestFit="1" customWidth="1"/>
    <col min="870" max="870" width="10.28515625" bestFit="1" customWidth="1"/>
    <col min="871" max="871" width="13.42578125" bestFit="1" customWidth="1"/>
    <col min="872" max="872" width="10.28515625" bestFit="1" customWidth="1"/>
    <col min="873" max="873" width="13.42578125" bestFit="1" customWidth="1"/>
    <col min="874" max="874" width="10.28515625" bestFit="1" customWidth="1"/>
    <col min="875" max="875" width="13.42578125" bestFit="1" customWidth="1"/>
    <col min="876" max="876" width="12.42578125" bestFit="1" customWidth="1"/>
    <col min="877" max="878" width="9.42578125" bestFit="1" customWidth="1"/>
    <col min="879" max="879" width="10.42578125" bestFit="1" customWidth="1"/>
    <col min="880" max="880" width="14.42578125" bestFit="1" customWidth="1"/>
    <col min="881" max="881" width="12.42578125" bestFit="1" customWidth="1"/>
    <col min="882" max="882" width="14.42578125" bestFit="1" customWidth="1"/>
    <col min="883" max="883" width="12.42578125" bestFit="1" customWidth="1"/>
    <col min="884" max="884" width="9.42578125" bestFit="1" customWidth="1"/>
    <col min="885" max="885" width="10.42578125" bestFit="1" customWidth="1"/>
    <col min="886" max="886" width="14.42578125" bestFit="1" customWidth="1"/>
    <col min="887" max="887" width="10.28515625" bestFit="1" customWidth="1"/>
    <col min="888" max="888" width="9.42578125" bestFit="1" customWidth="1"/>
    <col min="889" max="889" width="13.42578125" bestFit="1" customWidth="1"/>
    <col min="890" max="891" width="12.42578125" bestFit="1" customWidth="1"/>
    <col min="892" max="892" width="8.42578125" bestFit="1" customWidth="1"/>
    <col min="893" max="893" width="13.42578125" bestFit="1" customWidth="1"/>
    <col min="894" max="894" width="12.42578125" bestFit="1" customWidth="1"/>
    <col min="895" max="895" width="8.42578125" bestFit="1" customWidth="1"/>
    <col min="896" max="896" width="13.42578125" bestFit="1" customWidth="1"/>
    <col min="897" max="897" width="12.42578125" bestFit="1" customWidth="1"/>
    <col min="898" max="898" width="13.42578125" bestFit="1" customWidth="1"/>
    <col min="899" max="899" width="12.42578125" bestFit="1" customWidth="1"/>
    <col min="900" max="901" width="8.42578125" bestFit="1" customWidth="1"/>
    <col min="902" max="902" width="9.42578125" bestFit="1" customWidth="1"/>
    <col min="903" max="903" width="13.42578125" bestFit="1" customWidth="1"/>
    <col min="904" max="904" width="10.28515625" bestFit="1" customWidth="1"/>
    <col min="905" max="905" width="8.42578125" bestFit="1" customWidth="1"/>
    <col min="906" max="906" width="13.42578125" bestFit="1" customWidth="1"/>
    <col min="907" max="908" width="12.42578125" bestFit="1" customWidth="1"/>
    <col min="909" max="910" width="8.42578125" bestFit="1" customWidth="1"/>
    <col min="911" max="911" width="13.42578125" bestFit="1" customWidth="1"/>
    <col min="912" max="912" width="12.42578125" bestFit="1" customWidth="1"/>
    <col min="913" max="913" width="9.42578125" bestFit="1" customWidth="1"/>
    <col min="914" max="914" width="14.42578125" bestFit="1" customWidth="1"/>
    <col min="915" max="916" width="12.42578125" bestFit="1" customWidth="1"/>
    <col min="917" max="917" width="9.42578125" bestFit="1" customWidth="1"/>
    <col min="918" max="918" width="14.42578125" bestFit="1" customWidth="1"/>
    <col min="919" max="919" width="11.28515625" bestFit="1" customWidth="1"/>
    <col min="920" max="920" width="10.42578125" bestFit="1" customWidth="1"/>
    <col min="921" max="921" width="14.42578125" bestFit="1" customWidth="1"/>
    <col min="922" max="922" width="12.42578125" bestFit="1" customWidth="1"/>
    <col min="923" max="923" width="8.42578125" bestFit="1" customWidth="1"/>
    <col min="924" max="924" width="9.42578125" bestFit="1" customWidth="1"/>
    <col min="925" max="925" width="13.42578125" bestFit="1" customWidth="1"/>
    <col min="926" max="926" width="10.28515625" bestFit="1" customWidth="1"/>
    <col min="927" max="927" width="13.42578125" bestFit="1" customWidth="1"/>
    <col min="928" max="928" width="10.28515625" bestFit="1" customWidth="1"/>
    <col min="929" max="929" width="9.42578125" bestFit="1" customWidth="1"/>
    <col min="930" max="930" width="13.42578125" bestFit="1" customWidth="1"/>
    <col min="931" max="931" width="12.42578125" bestFit="1" customWidth="1"/>
    <col min="932" max="933" width="8.42578125" bestFit="1" customWidth="1"/>
    <col min="934" max="934" width="13.42578125" bestFit="1" customWidth="1"/>
    <col min="935" max="936" width="12.42578125" bestFit="1" customWidth="1"/>
    <col min="937" max="937" width="13.42578125" bestFit="1" customWidth="1"/>
    <col min="938" max="938" width="12.42578125" bestFit="1" customWidth="1"/>
    <col min="939" max="939" width="8.42578125" bestFit="1" customWidth="1"/>
    <col min="940" max="940" width="13.42578125" bestFit="1" customWidth="1"/>
    <col min="941" max="941" width="10.28515625" bestFit="1" customWidth="1"/>
    <col min="942" max="942" width="13.42578125" bestFit="1" customWidth="1"/>
    <col min="943" max="943" width="12.42578125" bestFit="1" customWidth="1"/>
    <col min="944" max="944" width="8.42578125" bestFit="1" customWidth="1"/>
    <col min="945" max="945" width="9.42578125" bestFit="1" customWidth="1"/>
    <col min="946" max="946" width="13.42578125" bestFit="1" customWidth="1"/>
    <col min="947" max="947" width="11.28515625" bestFit="1" customWidth="1"/>
    <col min="948" max="948" width="14.42578125" bestFit="1" customWidth="1"/>
    <col min="949" max="949" width="12.42578125" bestFit="1" customWidth="1"/>
    <col min="950" max="950" width="9.42578125" bestFit="1" customWidth="1"/>
    <col min="951" max="951" width="14.42578125" bestFit="1" customWidth="1"/>
    <col min="952" max="952" width="11.28515625" bestFit="1" customWidth="1"/>
    <col min="953" max="953" width="10.42578125" bestFit="1" customWidth="1"/>
    <col min="954" max="954" width="14.42578125" bestFit="1" customWidth="1"/>
    <col min="955" max="955" width="10.28515625" bestFit="1" customWidth="1"/>
    <col min="956" max="956" width="13.42578125" bestFit="1" customWidth="1"/>
    <col min="957" max="957" width="12.42578125" bestFit="1" customWidth="1"/>
    <col min="958" max="958" width="13.42578125" bestFit="1" customWidth="1"/>
    <col min="959" max="959" width="10.28515625" bestFit="1" customWidth="1"/>
    <col min="960" max="960" width="13.42578125" bestFit="1" customWidth="1"/>
    <col min="961" max="961" width="10.28515625" bestFit="1" customWidth="1"/>
    <col min="962" max="962" width="9.42578125" bestFit="1" customWidth="1"/>
    <col min="963" max="963" width="13.42578125" bestFit="1" customWidth="1"/>
    <col min="964" max="965" width="12.42578125" bestFit="1" customWidth="1"/>
    <col min="966" max="966" width="8.42578125" bestFit="1" customWidth="1"/>
    <col min="967" max="967" width="13.42578125" bestFit="1" customWidth="1"/>
    <col min="968" max="968" width="12.42578125" bestFit="1" customWidth="1"/>
    <col min="969" max="969" width="13.42578125" bestFit="1" customWidth="1"/>
    <col min="970" max="970" width="12.42578125" bestFit="1" customWidth="1"/>
    <col min="971" max="971" width="13.42578125" bestFit="1" customWidth="1"/>
    <col min="972" max="972" width="10.28515625" bestFit="1" customWidth="1"/>
    <col min="973" max="974" width="9.42578125" bestFit="1" customWidth="1"/>
    <col min="975" max="975" width="13.42578125" bestFit="1" customWidth="1"/>
    <col min="976" max="978" width="12.42578125" bestFit="1" customWidth="1"/>
    <col min="979" max="979" width="13.42578125" bestFit="1" customWidth="1"/>
    <col min="980" max="980" width="11.28515625" bestFit="1" customWidth="1"/>
    <col min="981" max="981" width="9.42578125" bestFit="1" customWidth="1"/>
    <col min="982" max="982" width="14.42578125" bestFit="1" customWidth="1"/>
    <col min="983" max="983" width="12.42578125" bestFit="1" customWidth="1"/>
    <col min="984" max="984" width="9.42578125" bestFit="1" customWidth="1"/>
    <col min="985" max="985" width="14.42578125" bestFit="1" customWidth="1"/>
    <col min="986" max="986" width="12.42578125" bestFit="1" customWidth="1"/>
    <col min="987" max="987" width="14.42578125" bestFit="1" customWidth="1"/>
    <col min="988" max="988" width="11.28515625" bestFit="1" customWidth="1"/>
    <col min="989" max="989" width="14.42578125" bestFit="1" customWidth="1"/>
    <col min="990" max="990" width="10.28515625" bestFit="1" customWidth="1"/>
    <col min="991" max="991" width="13.42578125" bestFit="1" customWidth="1"/>
    <col min="992" max="992" width="12.42578125" bestFit="1" customWidth="1"/>
    <col min="993" max="993" width="8.42578125" bestFit="1" customWidth="1"/>
    <col min="994" max="994" width="13.42578125" bestFit="1" customWidth="1"/>
    <col min="995" max="996" width="12.42578125" bestFit="1" customWidth="1"/>
    <col min="997" max="997" width="13.42578125" bestFit="1" customWidth="1"/>
    <col min="998" max="998" width="12.42578125" bestFit="1" customWidth="1"/>
    <col min="999" max="999" width="9.42578125" bestFit="1" customWidth="1"/>
    <col min="1000" max="1000" width="13.42578125" bestFit="1" customWidth="1"/>
    <col min="1001" max="1001" width="12.42578125" bestFit="1" customWidth="1"/>
    <col min="1002" max="1002" width="13.42578125" bestFit="1" customWidth="1"/>
    <col min="1003" max="1004" width="12.42578125" bestFit="1" customWidth="1"/>
    <col min="1005" max="1005" width="9.42578125" bestFit="1" customWidth="1"/>
    <col min="1006" max="1006" width="13.42578125" bestFit="1" customWidth="1"/>
    <col min="1007" max="1007" width="12.42578125" bestFit="1" customWidth="1"/>
    <col min="1008" max="1008" width="13.42578125" bestFit="1" customWidth="1"/>
    <col min="1009" max="1009" width="12.42578125" bestFit="1" customWidth="1"/>
    <col min="1010" max="1010" width="14.42578125" bestFit="1" customWidth="1"/>
    <col min="1011" max="1012" width="12.42578125" bestFit="1" customWidth="1"/>
    <col min="1013" max="1013" width="14.42578125" bestFit="1" customWidth="1"/>
    <col min="1014" max="1014" width="11.28515625" bestFit="1" customWidth="1"/>
    <col min="1015" max="1016" width="10.42578125" bestFit="1" customWidth="1"/>
    <col min="1017" max="1017" width="14.42578125" bestFit="1" customWidth="1"/>
    <col min="1018" max="1018" width="10.28515625" bestFit="1" customWidth="1"/>
    <col min="1019" max="1019" width="13.42578125" bestFit="1" customWidth="1"/>
    <col min="1020" max="1020" width="10.28515625" bestFit="1" customWidth="1"/>
    <col min="1021" max="1021" width="9.42578125" bestFit="1" customWidth="1"/>
    <col min="1022" max="1022" width="13.42578125" bestFit="1" customWidth="1"/>
    <col min="1023" max="1023" width="12.42578125" bestFit="1" customWidth="1"/>
    <col min="1024" max="1024" width="13.42578125" bestFit="1" customWidth="1"/>
    <col min="1025" max="1027" width="12.42578125" bestFit="1" customWidth="1"/>
    <col min="1028" max="1028" width="8.42578125" bestFit="1" customWidth="1"/>
    <col min="1029" max="1029" width="9.42578125" bestFit="1" customWidth="1"/>
    <col min="1030" max="1030" width="13.42578125" bestFit="1" customWidth="1"/>
    <col min="1031" max="1034" width="12.42578125" bestFit="1" customWidth="1"/>
    <col min="1035" max="1035" width="13.42578125" bestFit="1" customWidth="1"/>
    <col min="1036" max="1037" width="12.42578125" bestFit="1" customWidth="1"/>
    <col min="1038" max="1038" width="13.42578125" bestFit="1" customWidth="1"/>
    <col min="1039" max="1039" width="12.42578125" bestFit="1" customWidth="1"/>
    <col min="1040" max="1040" width="9.42578125" bestFit="1" customWidth="1"/>
    <col min="1041" max="1041" width="13.42578125" bestFit="1" customWidth="1"/>
    <col min="1042" max="1042" width="12.42578125" bestFit="1" customWidth="1"/>
    <col min="1043" max="1043" width="8.42578125" bestFit="1" customWidth="1"/>
    <col min="1044" max="1044" width="13.42578125" bestFit="1" customWidth="1"/>
    <col min="1045" max="1046" width="12.42578125" bestFit="1" customWidth="1"/>
    <col min="1047" max="1047" width="14.42578125" bestFit="1" customWidth="1"/>
    <col min="1048" max="1049" width="12.42578125" bestFit="1" customWidth="1"/>
    <col min="1050" max="1050" width="9.42578125" bestFit="1" customWidth="1"/>
    <col min="1051" max="1051" width="10.42578125" bestFit="1" customWidth="1"/>
    <col min="1052" max="1052" width="14.42578125" bestFit="1" customWidth="1"/>
    <col min="1053" max="1053" width="12.42578125" bestFit="1" customWidth="1"/>
    <col min="1054" max="1054" width="10.42578125" bestFit="1" customWidth="1"/>
    <col min="1055" max="1055" width="14.42578125" bestFit="1" customWidth="1"/>
    <col min="1056" max="1057" width="12.42578125" bestFit="1" customWidth="1"/>
    <col min="1058" max="1058" width="13.42578125" bestFit="1" customWidth="1"/>
    <col min="1059" max="1059" width="12.42578125" bestFit="1" customWidth="1"/>
    <col min="1060" max="1060" width="8.42578125" bestFit="1" customWidth="1"/>
    <col min="1061" max="1061" width="13.42578125" bestFit="1" customWidth="1"/>
    <col min="1062" max="1063" width="12.42578125" bestFit="1" customWidth="1"/>
    <col min="1064" max="1064" width="13.42578125" bestFit="1" customWidth="1"/>
    <col min="1065" max="1065" width="12.42578125" bestFit="1" customWidth="1"/>
    <col min="1066" max="1066" width="13.42578125" bestFit="1" customWidth="1"/>
    <col min="1067" max="1067" width="10.28515625" bestFit="1" customWidth="1"/>
    <col min="1068" max="1068" width="13.42578125" bestFit="1" customWidth="1"/>
    <col min="1069" max="1069" width="12.42578125" bestFit="1" customWidth="1"/>
    <col min="1070" max="1070" width="13.42578125" bestFit="1" customWidth="1"/>
    <col min="1071" max="1071" width="12.42578125" bestFit="1" customWidth="1"/>
    <col min="1072" max="1072" width="13.42578125" bestFit="1" customWidth="1"/>
    <col min="1073" max="1074" width="12.42578125" bestFit="1" customWidth="1"/>
    <col min="1075" max="1075" width="8.42578125" bestFit="1" customWidth="1"/>
    <col min="1076" max="1076" width="13.42578125" bestFit="1" customWidth="1"/>
    <col min="1077" max="1080" width="12.42578125" bestFit="1" customWidth="1"/>
    <col min="1081" max="1081" width="13.42578125" bestFit="1" customWidth="1"/>
    <col min="1082" max="1082" width="12.42578125" bestFit="1" customWidth="1"/>
    <col min="1083" max="1083" width="9.42578125" bestFit="1" customWidth="1"/>
    <col min="1084" max="1084" width="10.42578125" bestFit="1" customWidth="1"/>
    <col min="1085" max="1085" width="14.42578125" bestFit="1" customWidth="1"/>
    <col min="1086" max="1086" width="12.42578125" bestFit="1" customWidth="1"/>
    <col min="1087" max="1087" width="14.42578125" bestFit="1" customWidth="1"/>
    <col min="1088" max="1088" width="12.42578125" bestFit="1" customWidth="1"/>
    <col min="1089" max="1089" width="13.42578125" bestFit="1" customWidth="1"/>
    <col min="1090" max="1090" width="12.42578125" bestFit="1" customWidth="1"/>
    <col min="1091" max="1091" width="13.42578125" bestFit="1" customWidth="1"/>
    <col min="1092" max="1093" width="12.42578125" bestFit="1" customWidth="1"/>
    <col min="1094" max="1094" width="9.42578125" bestFit="1" customWidth="1"/>
    <col min="1095" max="1095" width="13.42578125" bestFit="1" customWidth="1"/>
    <col min="1096" max="1097" width="12.42578125" bestFit="1" customWidth="1"/>
    <col min="1098" max="1098" width="9.42578125" bestFit="1" customWidth="1"/>
    <col min="1099" max="1099" width="13.42578125" bestFit="1" customWidth="1"/>
    <col min="1100" max="1100" width="12.42578125" bestFit="1" customWidth="1"/>
    <col min="1101" max="1101" width="13.42578125" bestFit="1" customWidth="1"/>
    <col min="1102" max="1103" width="12.42578125" bestFit="1" customWidth="1"/>
    <col min="1104" max="1104" width="13.42578125" bestFit="1" customWidth="1"/>
    <col min="1105" max="1108" width="12.42578125" bestFit="1" customWidth="1"/>
    <col min="1109" max="1109" width="9.42578125" bestFit="1" customWidth="1"/>
    <col min="1110" max="1110" width="13.42578125" bestFit="1" customWidth="1"/>
    <col min="1111" max="1111" width="12.42578125" bestFit="1" customWidth="1"/>
    <col min="1112" max="1112" width="14.42578125" bestFit="1" customWidth="1"/>
    <col min="1113" max="1115" width="12.42578125" bestFit="1" customWidth="1"/>
    <col min="1116" max="1116" width="14.42578125" bestFit="1" customWidth="1"/>
    <col min="1117" max="1117" width="12.42578125" bestFit="1" customWidth="1"/>
    <col min="1118" max="1118" width="10.42578125" bestFit="1" customWidth="1"/>
    <col min="1119" max="1119" width="14.42578125" bestFit="1" customWidth="1"/>
    <col min="1120" max="1121" width="12.42578125" bestFit="1" customWidth="1"/>
    <col min="1122" max="1122" width="13.42578125" bestFit="1" customWidth="1"/>
    <col min="1123" max="1123" width="12.42578125" bestFit="1" customWidth="1"/>
    <col min="1124" max="1124" width="13.42578125" bestFit="1" customWidth="1"/>
    <col min="1125" max="1125" width="12.42578125" bestFit="1" customWidth="1"/>
    <col min="1126" max="1126" width="13.42578125" bestFit="1" customWidth="1"/>
    <col min="1127" max="1127" width="12.42578125" bestFit="1" customWidth="1"/>
    <col min="1128" max="1128" width="13.42578125" bestFit="1" customWidth="1"/>
    <col min="1129" max="1130" width="12.42578125" bestFit="1" customWidth="1"/>
    <col min="1131" max="1131" width="13.42578125" bestFit="1" customWidth="1"/>
    <col min="1132" max="1132" width="12.42578125" bestFit="1" customWidth="1"/>
    <col min="1133" max="1133" width="13.42578125" bestFit="1" customWidth="1"/>
    <col min="1134" max="1134" width="12.42578125" bestFit="1" customWidth="1"/>
    <col min="1135" max="1135" width="13.42578125" bestFit="1" customWidth="1"/>
    <col min="1136" max="1136" width="12.42578125" bestFit="1" customWidth="1"/>
    <col min="1137" max="1137" width="13.42578125" bestFit="1" customWidth="1"/>
    <col min="1138" max="1138" width="12.42578125" bestFit="1" customWidth="1"/>
    <col min="1139" max="1139" width="10.42578125" bestFit="1" customWidth="1"/>
    <col min="1140" max="1140" width="14.42578125" bestFit="1" customWidth="1"/>
    <col min="1141" max="1142" width="12.42578125" bestFit="1" customWidth="1"/>
    <col min="1143" max="1143" width="14.42578125" bestFit="1" customWidth="1"/>
    <col min="1144" max="1145" width="12.42578125" bestFit="1" customWidth="1"/>
    <col min="1146" max="1146" width="14.42578125" bestFit="1" customWidth="1"/>
    <col min="1147" max="1148" width="12.42578125" bestFit="1" customWidth="1"/>
    <col min="1149" max="1149" width="9.42578125" bestFit="1" customWidth="1"/>
    <col min="1150" max="1150" width="14.42578125" bestFit="1" customWidth="1"/>
    <col min="1151" max="1152" width="12.42578125" bestFit="1" customWidth="1"/>
    <col min="1153" max="1153" width="14.42578125" bestFit="1" customWidth="1"/>
    <col min="1154" max="1156" width="12.42578125" bestFit="1" customWidth="1"/>
    <col min="1157" max="1157" width="9.42578125" bestFit="1" customWidth="1"/>
    <col min="1158" max="1158" width="14.42578125" bestFit="1" customWidth="1"/>
    <col min="1159" max="1160" width="12.42578125" bestFit="1" customWidth="1"/>
    <col min="1161" max="1161" width="14.42578125" bestFit="1" customWidth="1"/>
    <col min="1162" max="1162" width="12.42578125" bestFit="1" customWidth="1"/>
    <col min="1163" max="1163" width="14.42578125" bestFit="1" customWidth="1"/>
    <col min="1164" max="1164" width="11.28515625" bestFit="1" customWidth="1"/>
    <col min="1165" max="1165" width="14.42578125" bestFit="1" customWidth="1"/>
    <col min="1166" max="1167" width="12.42578125" bestFit="1" customWidth="1"/>
    <col min="1168" max="1168" width="14.42578125" bestFit="1" customWidth="1"/>
    <col min="1169" max="1169" width="12.42578125" bestFit="1" customWidth="1"/>
    <col min="1170" max="1170" width="10.42578125" bestFit="1" customWidth="1"/>
    <col min="1171" max="1171" width="15.42578125" bestFit="1" customWidth="1"/>
    <col min="1172" max="1172" width="12.42578125" bestFit="1" customWidth="1"/>
    <col min="1173" max="1173" width="15.42578125" bestFit="1" customWidth="1"/>
    <col min="1174" max="1175" width="12.42578125" bestFit="1" customWidth="1"/>
    <col min="1176" max="1176" width="15.42578125" bestFit="1" customWidth="1"/>
    <col min="1177" max="1177" width="12.42578125" bestFit="1" customWidth="1"/>
    <col min="1178" max="1178" width="14.42578125" bestFit="1" customWidth="1"/>
    <col min="1179" max="1179" width="12.42578125" bestFit="1" customWidth="1"/>
    <col min="1180" max="1180" width="9.42578125" bestFit="1" customWidth="1"/>
    <col min="1181" max="1181" width="14.42578125" bestFit="1" customWidth="1"/>
    <col min="1182" max="1183" width="12.42578125" bestFit="1" customWidth="1"/>
    <col min="1184" max="1184" width="14.42578125" bestFit="1" customWidth="1"/>
    <col min="1185" max="1186" width="12.42578125" bestFit="1" customWidth="1"/>
    <col min="1187" max="1187" width="14.42578125" bestFit="1" customWidth="1"/>
    <col min="1188" max="1190" width="12.42578125" bestFit="1" customWidth="1"/>
    <col min="1191" max="1191" width="14.42578125" bestFit="1" customWidth="1"/>
    <col min="1192" max="1194" width="12.42578125" bestFit="1" customWidth="1"/>
    <col min="1195" max="1195" width="14.42578125" bestFit="1" customWidth="1"/>
    <col min="1196" max="1196" width="12.42578125" bestFit="1" customWidth="1"/>
    <col min="1197" max="1197" width="14.42578125" bestFit="1" customWidth="1"/>
    <col min="1198" max="1200" width="12.42578125" bestFit="1" customWidth="1"/>
    <col min="1201" max="1201" width="14.42578125" bestFit="1" customWidth="1"/>
    <col min="1202" max="1204" width="12.42578125" bestFit="1" customWidth="1"/>
    <col min="1205" max="1205" width="15.42578125" bestFit="1" customWidth="1"/>
    <col min="1206" max="1207" width="12.42578125" bestFit="1" customWidth="1"/>
    <col min="1208" max="1208" width="15.42578125" bestFit="1" customWidth="1"/>
    <col min="1209" max="1211" width="12.42578125" bestFit="1" customWidth="1"/>
    <col min="1212" max="1212" width="15.42578125" bestFit="1" customWidth="1"/>
    <col min="1213" max="1213" width="12.42578125" bestFit="1" customWidth="1"/>
    <col min="1214" max="1214" width="14.42578125" bestFit="1" customWidth="1"/>
    <col min="1215" max="1216" width="12.42578125" bestFit="1" customWidth="1"/>
    <col min="1217" max="1217" width="14.42578125" bestFit="1" customWidth="1"/>
    <col min="1218" max="1222" width="12.42578125" bestFit="1" customWidth="1"/>
    <col min="1223" max="1223" width="14.42578125" bestFit="1" customWidth="1"/>
    <col min="1224" max="1224" width="12.42578125" bestFit="1" customWidth="1"/>
    <col min="1225" max="1225" width="14.42578125" bestFit="1" customWidth="1"/>
    <col min="1226" max="1226" width="12.42578125" bestFit="1" customWidth="1"/>
    <col min="1227" max="1227" width="14.42578125" bestFit="1" customWidth="1"/>
    <col min="1228" max="1229" width="12.42578125" bestFit="1" customWidth="1"/>
    <col min="1230" max="1230" width="14.42578125" bestFit="1" customWidth="1"/>
    <col min="1231" max="1231" width="12.42578125" bestFit="1" customWidth="1"/>
    <col min="1232" max="1232" width="14.42578125" bestFit="1" customWidth="1"/>
    <col min="1233" max="1234" width="12.42578125" bestFit="1" customWidth="1"/>
    <col min="1235" max="1235" width="14.42578125" bestFit="1" customWidth="1"/>
    <col min="1236" max="1238" width="12.42578125" bestFit="1" customWidth="1"/>
    <col min="1239" max="1239" width="14.42578125" bestFit="1" customWidth="1"/>
    <col min="1240" max="1244" width="12.42578125" bestFit="1" customWidth="1"/>
    <col min="1245" max="1245" width="15.42578125" bestFit="1" customWidth="1"/>
    <col min="1246" max="1246" width="12.42578125" bestFit="1" customWidth="1"/>
    <col min="1247" max="1247" width="15.42578125" bestFit="1" customWidth="1"/>
    <col min="1248" max="1248" width="12.42578125" bestFit="1" customWidth="1"/>
    <col min="1249" max="1249" width="15.42578125" bestFit="1" customWidth="1"/>
    <col min="1250" max="1250" width="10.28515625" bestFit="1" customWidth="1"/>
    <col min="1251" max="1252" width="8.42578125" bestFit="1" customWidth="1"/>
    <col min="1253" max="1253" width="13.42578125" bestFit="1" customWidth="1"/>
    <col min="1254" max="1254" width="10.28515625" bestFit="1" customWidth="1"/>
    <col min="1255" max="1255" width="13.42578125" bestFit="1" customWidth="1"/>
    <col min="1256" max="1256" width="10.28515625" bestFit="1" customWidth="1"/>
    <col min="1257" max="1258" width="9.42578125" bestFit="1" customWidth="1"/>
    <col min="1259" max="1259" width="13.42578125" bestFit="1" customWidth="1"/>
    <col min="1260" max="1260" width="10.28515625" bestFit="1" customWidth="1"/>
    <col min="1261" max="1261" width="8.42578125" bestFit="1" customWidth="1"/>
    <col min="1262" max="1262" width="13.42578125" bestFit="1" customWidth="1"/>
    <col min="1263" max="1263" width="10.28515625" bestFit="1" customWidth="1"/>
    <col min="1264" max="1264" width="13.42578125" bestFit="1" customWidth="1"/>
    <col min="1265" max="1265" width="10.28515625" bestFit="1" customWidth="1"/>
    <col min="1266" max="1266" width="13.42578125" bestFit="1" customWidth="1"/>
    <col min="1267" max="1267" width="10.28515625" bestFit="1" customWidth="1"/>
    <col min="1268" max="1268" width="13.42578125" bestFit="1" customWidth="1"/>
    <col min="1269" max="1269" width="10.28515625" bestFit="1" customWidth="1"/>
    <col min="1270" max="1270" width="13.42578125" bestFit="1" customWidth="1"/>
    <col min="1271" max="1271" width="12.42578125" bestFit="1" customWidth="1"/>
    <col min="1272" max="1272" width="9.42578125" bestFit="1" customWidth="1"/>
    <col min="1273" max="1273" width="13.42578125" bestFit="1" customWidth="1"/>
    <col min="1274" max="1274" width="10.28515625" bestFit="1" customWidth="1"/>
    <col min="1275" max="1275" width="9.42578125" bestFit="1" customWidth="1"/>
    <col min="1276" max="1276" width="13.42578125" bestFit="1" customWidth="1"/>
    <col min="1277" max="1277" width="12.42578125" bestFit="1" customWidth="1"/>
    <col min="1278" max="1278" width="8.42578125" bestFit="1" customWidth="1"/>
    <col min="1279" max="1279" width="13.42578125" bestFit="1" customWidth="1"/>
    <col min="1280" max="1280" width="10.28515625" bestFit="1" customWidth="1"/>
    <col min="1281" max="1281" width="13.42578125" bestFit="1" customWidth="1"/>
    <col min="1282" max="1282" width="12.42578125" bestFit="1" customWidth="1"/>
    <col min="1283" max="1283" width="8.42578125" bestFit="1" customWidth="1"/>
    <col min="1284" max="1284" width="13.42578125" bestFit="1" customWidth="1"/>
    <col min="1285" max="1285" width="10.28515625" bestFit="1" customWidth="1"/>
    <col min="1286" max="1287" width="9.42578125" bestFit="1" customWidth="1"/>
    <col min="1288" max="1288" width="13.42578125" bestFit="1" customWidth="1"/>
    <col min="1289" max="1289" width="12.42578125" bestFit="1" customWidth="1"/>
    <col min="1290" max="1290" width="9.42578125" bestFit="1" customWidth="1"/>
    <col min="1291" max="1291" width="13.42578125" bestFit="1" customWidth="1"/>
    <col min="1292" max="1292" width="12.42578125" bestFit="1" customWidth="1"/>
    <col min="1293" max="1293" width="9.42578125" bestFit="1" customWidth="1"/>
    <col min="1294" max="1294" width="13.42578125" bestFit="1" customWidth="1"/>
    <col min="1295" max="1295" width="12.42578125" bestFit="1" customWidth="1"/>
    <col min="1296" max="1296" width="13.42578125" bestFit="1" customWidth="1"/>
    <col min="1297" max="1297" width="12.42578125" bestFit="1" customWidth="1"/>
    <col min="1298" max="1298" width="8.42578125" bestFit="1" customWidth="1"/>
    <col min="1299" max="1299" width="13.42578125" bestFit="1" customWidth="1"/>
    <col min="1300" max="1300" width="10.28515625" bestFit="1" customWidth="1"/>
    <col min="1301" max="1301" width="13.42578125" bestFit="1" customWidth="1"/>
    <col min="1302" max="1302" width="12.42578125" bestFit="1" customWidth="1"/>
    <col min="1303" max="1303" width="8.42578125" bestFit="1" customWidth="1"/>
    <col min="1304" max="1304" width="13.42578125" bestFit="1" customWidth="1"/>
    <col min="1305" max="1305" width="10.28515625" bestFit="1" customWidth="1"/>
    <col min="1306" max="1306" width="13.42578125" bestFit="1" customWidth="1"/>
    <col min="1307" max="1307" width="12.42578125" bestFit="1" customWidth="1"/>
    <col min="1308" max="1308" width="13.42578125" bestFit="1" customWidth="1"/>
    <col min="1309" max="1310" width="12.42578125" bestFit="1" customWidth="1"/>
    <col min="1311" max="1311" width="8.42578125" bestFit="1" customWidth="1"/>
    <col min="1312" max="1312" width="13.42578125" bestFit="1" customWidth="1"/>
    <col min="1313" max="1315" width="12.42578125" bestFit="1" customWidth="1"/>
    <col min="1316" max="1316" width="8.42578125" bestFit="1" customWidth="1"/>
    <col min="1317" max="1317" width="13.42578125" bestFit="1" customWidth="1"/>
    <col min="1318" max="1319" width="12.42578125" bestFit="1" customWidth="1"/>
    <col min="1320" max="1320" width="9.42578125" bestFit="1" customWidth="1"/>
    <col min="1321" max="1321" width="13.42578125" bestFit="1" customWidth="1"/>
    <col min="1322" max="1323" width="12.42578125" bestFit="1" customWidth="1"/>
    <col min="1324" max="1324" width="13.42578125" bestFit="1" customWidth="1"/>
    <col min="1325" max="1325" width="10.28515625" bestFit="1" customWidth="1"/>
    <col min="1326" max="1326" width="13.42578125" bestFit="1" customWidth="1"/>
    <col min="1327" max="1327" width="12.42578125" bestFit="1" customWidth="1"/>
    <col min="1328" max="1328" width="13.42578125" bestFit="1" customWidth="1"/>
    <col min="1329" max="1329" width="12.42578125" bestFit="1" customWidth="1"/>
    <col min="1330" max="1330" width="13.42578125" bestFit="1" customWidth="1"/>
    <col min="1331" max="1331" width="12.42578125" bestFit="1" customWidth="1"/>
    <col min="1332" max="1332" width="13.42578125" bestFit="1" customWidth="1"/>
    <col min="1333" max="1333" width="12.42578125" bestFit="1" customWidth="1"/>
    <col min="1334" max="1334" width="9.42578125" bestFit="1" customWidth="1"/>
    <col min="1335" max="1335" width="13.42578125" bestFit="1" customWidth="1"/>
    <col min="1336" max="1336" width="12.42578125" bestFit="1" customWidth="1"/>
    <col min="1337" max="1337" width="13.42578125" bestFit="1" customWidth="1"/>
    <col min="1338" max="1338" width="12.42578125" bestFit="1" customWidth="1"/>
    <col min="1339" max="1339" width="13.42578125" bestFit="1" customWidth="1"/>
    <col min="1340" max="1341" width="12.42578125" bestFit="1" customWidth="1"/>
    <col min="1342" max="1342" width="9.42578125" bestFit="1" customWidth="1"/>
    <col min="1343" max="1343" width="13.42578125" bestFit="1" customWidth="1"/>
    <col min="1344" max="1344" width="12.42578125" bestFit="1" customWidth="1"/>
    <col min="1345" max="1345" width="13.42578125" bestFit="1" customWidth="1"/>
    <col min="1346" max="1348" width="12.42578125" bestFit="1" customWidth="1"/>
    <col min="1349" max="1349" width="13.42578125" bestFit="1" customWidth="1"/>
    <col min="1350" max="1350" width="12.42578125" bestFit="1" customWidth="1"/>
    <col min="1351" max="1351" width="13.42578125" bestFit="1" customWidth="1"/>
    <col min="1352" max="1353" width="12.42578125" bestFit="1" customWidth="1"/>
    <col min="1354" max="1355" width="9.42578125" bestFit="1" customWidth="1"/>
    <col min="1356" max="1356" width="13.42578125" bestFit="1" customWidth="1"/>
    <col min="1357" max="1358" width="12.42578125" bestFit="1" customWidth="1"/>
    <col min="1359" max="1359" width="13.42578125" bestFit="1" customWidth="1"/>
    <col min="1360" max="1361" width="12.42578125" bestFit="1" customWidth="1"/>
    <col min="1362" max="1362" width="13.42578125" bestFit="1" customWidth="1"/>
    <col min="1363" max="1364" width="12.42578125" bestFit="1" customWidth="1"/>
    <col min="1365" max="1365" width="14.42578125" bestFit="1" customWidth="1"/>
    <col min="1366" max="1368" width="12.42578125" bestFit="1" customWidth="1"/>
    <col min="1369" max="1369" width="14.42578125" bestFit="1" customWidth="1"/>
    <col min="1370" max="1370" width="12.42578125" bestFit="1" customWidth="1"/>
    <col min="1371" max="1371" width="14.42578125" bestFit="1" customWidth="1"/>
    <col min="1372" max="1374" width="12.42578125" bestFit="1" customWidth="1"/>
    <col min="1375" max="1375" width="14.42578125" bestFit="1" customWidth="1"/>
    <col min="1376" max="1378" width="12.42578125" bestFit="1" customWidth="1"/>
    <col min="1379" max="1379" width="14.42578125" bestFit="1" customWidth="1"/>
    <col min="1380" max="1381" width="12.42578125" bestFit="1" customWidth="1"/>
    <col min="1382" max="1382" width="14.42578125" bestFit="1" customWidth="1"/>
    <col min="1383" max="1384" width="12.42578125" bestFit="1" customWidth="1"/>
    <col min="1385" max="1385" width="14.42578125" bestFit="1" customWidth="1"/>
    <col min="1386" max="1388" width="12.42578125" bestFit="1" customWidth="1"/>
    <col min="1389" max="1389" width="14.42578125" bestFit="1" customWidth="1"/>
    <col min="1390" max="1391" width="12.42578125" bestFit="1" customWidth="1"/>
    <col min="1392" max="1392" width="14.42578125" bestFit="1" customWidth="1"/>
    <col min="1393" max="1394" width="12.42578125" bestFit="1" customWidth="1"/>
    <col min="1395" max="1395" width="14.42578125" bestFit="1" customWidth="1"/>
    <col min="1396" max="1396" width="12.42578125" bestFit="1" customWidth="1"/>
    <col min="1397" max="1397" width="14.42578125" bestFit="1" customWidth="1"/>
    <col min="1398" max="1398" width="12.42578125" bestFit="1" customWidth="1"/>
    <col min="1399" max="1399" width="14.42578125" bestFit="1" customWidth="1"/>
    <col min="1400" max="1400" width="12.42578125" bestFit="1" customWidth="1"/>
    <col min="1401" max="1401" width="14.42578125" bestFit="1" customWidth="1"/>
    <col min="1402" max="1404" width="12.42578125" bestFit="1" customWidth="1"/>
    <col min="1405" max="1405" width="14.42578125" bestFit="1" customWidth="1"/>
    <col min="1406" max="1409" width="12.42578125" bestFit="1" customWidth="1"/>
    <col min="1410" max="1410" width="14.42578125" bestFit="1" customWidth="1"/>
    <col min="1411" max="1411" width="11.28515625" bestFit="1" customWidth="1"/>
  </cols>
  <sheetData>
    <row r="1" spans="1:468">
      <c r="A1" s="17" t="s">
        <v>1981</v>
      </c>
      <c r="B1" s="17" t="s">
        <v>1975</v>
      </c>
    </row>
    <row r="2" spans="1:468">
      <c r="A2" s="17" t="s">
        <v>1974</v>
      </c>
      <c r="B2" t="s">
        <v>498</v>
      </c>
      <c r="C2" t="s">
        <v>223</v>
      </c>
      <c r="D2" t="s">
        <v>197</v>
      </c>
      <c r="E2" t="s">
        <v>320</v>
      </c>
      <c r="F2" t="s">
        <v>192</v>
      </c>
      <c r="G2" t="s">
        <v>805</v>
      </c>
      <c r="H2" t="s">
        <v>147</v>
      </c>
      <c r="I2" t="s">
        <v>638</v>
      </c>
      <c r="J2" t="s">
        <v>689</v>
      </c>
      <c r="K2" t="s">
        <v>644</v>
      </c>
      <c r="L2" t="s">
        <v>542</v>
      </c>
      <c r="M2" t="s">
        <v>591</v>
      </c>
      <c r="N2" t="s">
        <v>519</v>
      </c>
      <c r="O2" t="s">
        <v>917</v>
      </c>
      <c r="P2" t="s">
        <v>490</v>
      </c>
      <c r="Q2" t="s">
        <v>128</v>
      </c>
      <c r="R2" t="s">
        <v>167</v>
      </c>
      <c r="S2" t="s">
        <v>297</v>
      </c>
      <c r="T2" t="s">
        <v>500</v>
      </c>
      <c r="U2" t="s">
        <v>317</v>
      </c>
      <c r="V2" t="s">
        <v>213</v>
      </c>
      <c r="W2" t="s">
        <v>221</v>
      </c>
      <c r="X2" t="s">
        <v>448</v>
      </c>
      <c r="Y2" t="s">
        <v>422</v>
      </c>
      <c r="Z2" t="s">
        <v>227</v>
      </c>
      <c r="AA2" t="s">
        <v>120</v>
      </c>
      <c r="AB2" t="s">
        <v>1302</v>
      </c>
      <c r="AC2" t="s">
        <v>371</v>
      </c>
      <c r="AD2" t="s">
        <v>399</v>
      </c>
      <c r="AE2" t="s">
        <v>568</v>
      </c>
      <c r="AF2" t="s">
        <v>426</v>
      </c>
      <c r="AG2" t="s">
        <v>230</v>
      </c>
      <c r="AH2" t="s">
        <v>274</v>
      </c>
      <c r="AI2" t="s">
        <v>281</v>
      </c>
      <c r="AJ2" t="s">
        <v>193</v>
      </c>
      <c r="AK2" t="s">
        <v>584</v>
      </c>
      <c r="AL2" t="s">
        <v>71</v>
      </c>
      <c r="AM2" t="s">
        <v>170</v>
      </c>
      <c r="AN2" t="s">
        <v>527</v>
      </c>
      <c r="AO2" t="s">
        <v>420</v>
      </c>
      <c r="AP2" t="s">
        <v>253</v>
      </c>
      <c r="AQ2" t="s">
        <v>189</v>
      </c>
      <c r="AR2" t="s">
        <v>869</v>
      </c>
      <c r="AS2" t="s">
        <v>363</v>
      </c>
      <c r="AT2" t="s">
        <v>139</v>
      </c>
      <c r="AU2" t="s">
        <v>289</v>
      </c>
      <c r="AV2" t="s">
        <v>135</v>
      </c>
      <c r="AW2" t="s">
        <v>607</v>
      </c>
      <c r="AX2" t="s">
        <v>323</v>
      </c>
      <c r="AY2" t="s">
        <v>686</v>
      </c>
      <c r="AZ2" t="s">
        <v>681</v>
      </c>
      <c r="BA2" t="s">
        <v>116</v>
      </c>
      <c r="BB2" t="s">
        <v>601</v>
      </c>
      <c r="BC2" t="s">
        <v>124</v>
      </c>
      <c r="BD2" t="s">
        <v>525</v>
      </c>
      <c r="BE2" t="s">
        <v>665</v>
      </c>
      <c r="BF2" t="s">
        <v>225</v>
      </c>
      <c r="BG2" t="s">
        <v>675</v>
      </c>
      <c r="BH2" t="s">
        <v>187</v>
      </c>
      <c r="BI2" t="s">
        <v>59</v>
      </c>
      <c r="BJ2" t="s">
        <v>364</v>
      </c>
      <c r="BK2" t="s">
        <v>962</v>
      </c>
      <c r="BL2" t="s">
        <v>1141</v>
      </c>
      <c r="BM2" t="s">
        <v>409</v>
      </c>
      <c r="BN2" t="s">
        <v>565</v>
      </c>
      <c r="BO2" t="s">
        <v>728</v>
      </c>
      <c r="BP2" t="s">
        <v>381</v>
      </c>
      <c r="BQ2" t="s">
        <v>146</v>
      </c>
      <c r="BR2" t="s">
        <v>589</v>
      </c>
      <c r="BS2" t="s">
        <v>716</v>
      </c>
      <c r="BT2" t="s">
        <v>421</v>
      </c>
      <c r="BU2" t="s">
        <v>251</v>
      </c>
      <c r="BV2" t="s">
        <v>1085</v>
      </c>
      <c r="BW2" t="s">
        <v>886</v>
      </c>
      <c r="BX2" t="s">
        <v>56</v>
      </c>
      <c r="BY2" t="s">
        <v>438</v>
      </c>
      <c r="BZ2" t="s">
        <v>1005</v>
      </c>
      <c r="CA2" t="s">
        <v>708</v>
      </c>
      <c r="CB2" t="s">
        <v>366</v>
      </c>
      <c r="CC2" t="s">
        <v>538</v>
      </c>
      <c r="CD2" t="s">
        <v>349</v>
      </c>
      <c r="CE2" t="s">
        <v>571</v>
      </c>
      <c r="CF2" t="s">
        <v>256</v>
      </c>
      <c r="CG2" t="s">
        <v>67</v>
      </c>
      <c r="CH2" t="s">
        <v>333</v>
      </c>
      <c r="CI2" t="s">
        <v>226</v>
      </c>
      <c r="CJ2" t="s">
        <v>1008</v>
      </c>
      <c r="CK2" t="s">
        <v>57</v>
      </c>
      <c r="CL2" t="s">
        <v>931</v>
      </c>
      <c r="CM2" t="s">
        <v>520</v>
      </c>
      <c r="CN2" t="s">
        <v>278</v>
      </c>
      <c r="CO2" t="s">
        <v>772</v>
      </c>
      <c r="CP2" t="s">
        <v>608</v>
      </c>
      <c r="CQ2" t="s">
        <v>1788</v>
      </c>
      <c r="CR2" t="s">
        <v>934</v>
      </c>
      <c r="CS2" t="s">
        <v>282</v>
      </c>
      <c r="CT2" t="s">
        <v>150</v>
      </c>
      <c r="CU2" t="s">
        <v>1061</v>
      </c>
      <c r="CV2" t="s">
        <v>345</v>
      </c>
      <c r="CW2" t="s">
        <v>329</v>
      </c>
      <c r="CX2" t="s">
        <v>586</v>
      </c>
      <c r="CY2" t="s">
        <v>486</v>
      </c>
      <c r="CZ2" t="s">
        <v>249</v>
      </c>
      <c r="DA2" t="s">
        <v>205</v>
      </c>
      <c r="DB2" t="s">
        <v>288</v>
      </c>
      <c r="DC2" t="s">
        <v>158</v>
      </c>
      <c r="DD2" t="s">
        <v>425</v>
      </c>
      <c r="DE2" t="s">
        <v>153</v>
      </c>
      <c r="DF2" t="s">
        <v>685</v>
      </c>
      <c r="DG2" t="s">
        <v>508</v>
      </c>
      <c r="DH2" t="s">
        <v>133</v>
      </c>
      <c r="DI2" t="s">
        <v>72</v>
      </c>
      <c r="DJ2" t="s">
        <v>1055</v>
      </c>
      <c r="DK2" t="s">
        <v>450</v>
      </c>
      <c r="DL2" t="s">
        <v>331</v>
      </c>
      <c r="DM2" t="s">
        <v>246</v>
      </c>
      <c r="DN2" t="s">
        <v>514</v>
      </c>
      <c r="DO2" t="s">
        <v>271</v>
      </c>
      <c r="DP2" t="s">
        <v>592</v>
      </c>
      <c r="DQ2" t="s">
        <v>640</v>
      </c>
      <c r="DR2" t="s">
        <v>276</v>
      </c>
      <c r="DS2" t="s">
        <v>876</v>
      </c>
      <c r="DT2" t="s">
        <v>750</v>
      </c>
      <c r="DU2" t="s">
        <v>629</v>
      </c>
      <c r="DV2" t="s">
        <v>537</v>
      </c>
      <c r="DW2" t="s">
        <v>180</v>
      </c>
      <c r="DX2" t="s">
        <v>379</v>
      </c>
      <c r="DY2" t="s">
        <v>94</v>
      </c>
      <c r="DZ2" t="s">
        <v>171</v>
      </c>
      <c r="EA2" t="s">
        <v>756</v>
      </c>
      <c r="EB2" t="s">
        <v>620</v>
      </c>
      <c r="EC2" t="s">
        <v>412</v>
      </c>
      <c r="ED2" t="s">
        <v>997</v>
      </c>
      <c r="EE2" t="s">
        <v>113</v>
      </c>
      <c r="EF2" t="s">
        <v>96</v>
      </c>
      <c r="EG2" t="s">
        <v>703</v>
      </c>
      <c r="EH2" t="s">
        <v>126</v>
      </c>
      <c r="EI2" t="s">
        <v>432</v>
      </c>
      <c r="EJ2" t="s">
        <v>1677</v>
      </c>
      <c r="EK2" t="s">
        <v>355</v>
      </c>
      <c r="EL2" t="s">
        <v>786</v>
      </c>
      <c r="EM2" t="s">
        <v>846</v>
      </c>
      <c r="EN2" t="s">
        <v>178</v>
      </c>
      <c r="EO2" t="s">
        <v>380</v>
      </c>
      <c r="EP2" t="s">
        <v>1124</v>
      </c>
      <c r="EQ2" t="s">
        <v>326</v>
      </c>
      <c r="ER2" t="s">
        <v>294</v>
      </c>
      <c r="ES2" t="s">
        <v>1526</v>
      </c>
      <c r="ET2" t="s">
        <v>188</v>
      </c>
      <c r="EU2" t="s">
        <v>200</v>
      </c>
      <c r="EV2" t="s">
        <v>799</v>
      </c>
      <c r="EW2" t="s">
        <v>769</v>
      </c>
      <c r="EX2" t="s">
        <v>1470</v>
      </c>
      <c r="EY2" t="s">
        <v>144</v>
      </c>
      <c r="EZ2" t="s">
        <v>724</v>
      </c>
      <c r="FA2" t="s">
        <v>174</v>
      </c>
      <c r="FB2" t="s">
        <v>560</v>
      </c>
      <c r="FC2" t="s">
        <v>554</v>
      </c>
      <c r="FD2" t="s">
        <v>208</v>
      </c>
      <c r="FE2" t="s">
        <v>463</v>
      </c>
      <c r="FF2" t="s">
        <v>341</v>
      </c>
      <c r="FG2" t="s">
        <v>557</v>
      </c>
      <c r="FH2" t="s">
        <v>63</v>
      </c>
      <c r="FI2" t="s">
        <v>332</v>
      </c>
      <c r="FJ2" t="s">
        <v>131</v>
      </c>
      <c r="FK2" t="s">
        <v>1731</v>
      </c>
      <c r="FL2" t="s">
        <v>111</v>
      </c>
      <c r="FM2" t="s">
        <v>310</v>
      </c>
      <c r="FN2" t="s">
        <v>792</v>
      </c>
      <c r="FO2" t="s">
        <v>1246</v>
      </c>
      <c r="FP2" t="s">
        <v>491</v>
      </c>
      <c r="FQ2" t="s">
        <v>260</v>
      </c>
      <c r="FR2" t="s">
        <v>1025</v>
      </c>
      <c r="FS2" t="s">
        <v>1251</v>
      </c>
      <c r="FT2" t="s">
        <v>501</v>
      </c>
      <c r="FU2" t="s">
        <v>903</v>
      </c>
      <c r="FV2" t="s">
        <v>358</v>
      </c>
      <c r="FW2" t="s">
        <v>64</v>
      </c>
      <c r="FX2" t="s">
        <v>669</v>
      </c>
      <c r="FY2" t="s">
        <v>141</v>
      </c>
      <c r="FZ2" t="s">
        <v>459</v>
      </c>
      <c r="GA2" t="s">
        <v>776</v>
      </c>
      <c r="GB2" t="s">
        <v>314</v>
      </c>
      <c r="GC2" t="s">
        <v>204</v>
      </c>
      <c r="GD2" t="s">
        <v>657</v>
      </c>
      <c r="GE2" t="s">
        <v>159</v>
      </c>
      <c r="GF2" t="s">
        <v>108</v>
      </c>
      <c r="GG2" t="s">
        <v>152</v>
      </c>
      <c r="GH2" t="s">
        <v>435</v>
      </c>
      <c r="GI2" t="s">
        <v>553</v>
      </c>
      <c r="GJ2" t="s">
        <v>443</v>
      </c>
      <c r="GK2" t="s">
        <v>1295</v>
      </c>
      <c r="GL2" t="s">
        <v>1125</v>
      </c>
      <c r="GM2" t="s">
        <v>390</v>
      </c>
      <c r="GN2" t="s">
        <v>244</v>
      </c>
      <c r="GO2" t="s">
        <v>1334</v>
      </c>
      <c r="GP2" t="s">
        <v>466</v>
      </c>
      <c r="GQ2" t="s">
        <v>1111</v>
      </c>
      <c r="GR2" t="s">
        <v>456</v>
      </c>
      <c r="GS2" t="s">
        <v>1306</v>
      </c>
      <c r="GT2" t="s">
        <v>1068</v>
      </c>
      <c r="GU2" t="s">
        <v>37</v>
      </c>
      <c r="GV2" t="s">
        <v>216</v>
      </c>
      <c r="GW2" t="s">
        <v>168</v>
      </c>
      <c r="GX2" t="s">
        <v>242</v>
      </c>
      <c r="GY2" t="s">
        <v>1092</v>
      </c>
      <c r="GZ2" t="s">
        <v>570</v>
      </c>
      <c r="HA2" t="s">
        <v>531</v>
      </c>
      <c r="HB2" t="s">
        <v>526</v>
      </c>
      <c r="HC2" t="s">
        <v>293</v>
      </c>
      <c r="HD2" t="s">
        <v>745</v>
      </c>
      <c r="HE2" t="s">
        <v>777</v>
      </c>
      <c r="HF2" t="s">
        <v>121</v>
      </c>
      <c r="HG2" t="s">
        <v>164</v>
      </c>
      <c r="HH2" t="s">
        <v>1421</v>
      </c>
      <c r="HI2" t="s">
        <v>833</v>
      </c>
      <c r="HJ2" t="s">
        <v>354</v>
      </c>
      <c r="HK2" t="s">
        <v>196</v>
      </c>
      <c r="HL2" t="s">
        <v>845</v>
      </c>
      <c r="HM2" t="s">
        <v>1172</v>
      </c>
      <c r="HN2" t="s">
        <v>318</v>
      </c>
      <c r="HO2" t="s">
        <v>368</v>
      </c>
      <c r="HP2" t="s">
        <v>359</v>
      </c>
      <c r="HQ2" t="s">
        <v>301</v>
      </c>
      <c r="HR2" t="s">
        <v>389</v>
      </c>
      <c r="HS2" t="s">
        <v>698</v>
      </c>
      <c r="HT2" t="s">
        <v>99</v>
      </c>
      <c r="HU2" t="s">
        <v>312</v>
      </c>
      <c r="HV2" t="s">
        <v>470</v>
      </c>
      <c r="HW2" t="s">
        <v>136</v>
      </c>
      <c r="HX2" t="s">
        <v>107</v>
      </c>
      <c r="HY2" t="s">
        <v>926</v>
      </c>
      <c r="HZ2" t="s">
        <v>660</v>
      </c>
      <c r="IA2" t="s">
        <v>321</v>
      </c>
      <c r="IB2" t="s">
        <v>694</v>
      </c>
      <c r="IC2" t="s">
        <v>547</v>
      </c>
      <c r="ID2" t="s">
        <v>342</v>
      </c>
      <c r="IE2" t="s">
        <v>257</v>
      </c>
      <c r="IF2" t="s">
        <v>1021</v>
      </c>
      <c r="IG2" t="s">
        <v>252</v>
      </c>
      <c r="IH2" t="s">
        <v>481</v>
      </c>
      <c r="II2" t="s">
        <v>577</v>
      </c>
      <c r="IJ2" t="s">
        <v>201</v>
      </c>
      <c r="IK2" t="s">
        <v>162</v>
      </c>
      <c r="IL2" t="s">
        <v>267</v>
      </c>
      <c r="IM2" t="s">
        <v>824</v>
      </c>
      <c r="IN2" t="s">
        <v>899</v>
      </c>
      <c r="IO2" t="s">
        <v>231</v>
      </c>
      <c r="IP2" t="s">
        <v>117</v>
      </c>
      <c r="IQ2" t="s">
        <v>77</v>
      </c>
      <c r="IR2" t="s">
        <v>598</v>
      </c>
      <c r="IS2" t="s">
        <v>761</v>
      </c>
      <c r="IT2" t="s">
        <v>530</v>
      </c>
      <c r="IU2" t="s">
        <v>307</v>
      </c>
      <c r="IV2" t="s">
        <v>668</v>
      </c>
      <c r="IW2" t="s">
        <v>245</v>
      </c>
      <c r="IX2" t="s">
        <v>112</v>
      </c>
      <c r="IY2" t="s">
        <v>516</v>
      </c>
      <c r="IZ2" t="s">
        <v>163</v>
      </c>
      <c r="JA2" t="s">
        <v>400</v>
      </c>
      <c r="JB2" t="s">
        <v>266</v>
      </c>
      <c r="JC2" t="s">
        <v>235</v>
      </c>
      <c r="JD2" t="s">
        <v>84</v>
      </c>
      <c r="JE2" t="s">
        <v>351</v>
      </c>
      <c r="JF2" t="s">
        <v>179</v>
      </c>
      <c r="JG2" t="s">
        <v>861</v>
      </c>
      <c r="JH2" t="s">
        <v>1029</v>
      </c>
      <c r="JI2" t="s">
        <v>942</v>
      </c>
      <c r="JJ2" t="s">
        <v>827</v>
      </c>
      <c r="JK2" t="s">
        <v>100</v>
      </c>
      <c r="JL2" t="s">
        <v>313</v>
      </c>
      <c r="JM2" t="s">
        <v>650</v>
      </c>
      <c r="JN2" t="s">
        <v>277</v>
      </c>
      <c r="JO2" t="s">
        <v>234</v>
      </c>
      <c r="JP2" t="s">
        <v>88</v>
      </c>
      <c r="JQ2" t="s">
        <v>175</v>
      </c>
      <c r="JR2" t="s">
        <v>76</v>
      </c>
      <c r="JS2" t="s">
        <v>936</v>
      </c>
      <c r="JT2" t="s">
        <v>581</v>
      </c>
      <c r="JU2" t="s">
        <v>781</v>
      </c>
      <c r="JV2" t="s">
        <v>404</v>
      </c>
      <c r="JW2" t="s">
        <v>612</v>
      </c>
      <c r="JX2" s="19">
        <v>44928</v>
      </c>
      <c r="JY2" s="19">
        <v>44929</v>
      </c>
      <c r="JZ2" s="19">
        <v>44931</v>
      </c>
      <c r="KA2" s="19">
        <v>44933</v>
      </c>
      <c r="KB2" s="19">
        <v>44934</v>
      </c>
      <c r="KC2" s="19">
        <v>44935</v>
      </c>
      <c r="KD2" s="19">
        <v>44936</v>
      </c>
      <c r="KE2" s="19">
        <v>44937</v>
      </c>
      <c r="KF2" s="19">
        <v>44959</v>
      </c>
      <c r="KG2" s="19">
        <v>44960</v>
      </c>
      <c r="KH2" s="19">
        <v>44961</v>
      </c>
      <c r="KI2" s="19">
        <v>44962</v>
      </c>
      <c r="KJ2" s="19">
        <v>44963</v>
      </c>
      <c r="KK2" s="19">
        <v>44965</v>
      </c>
      <c r="KL2" s="19">
        <v>44966</v>
      </c>
      <c r="KM2" s="19">
        <v>44968</v>
      </c>
      <c r="KN2" s="19">
        <v>44969</v>
      </c>
      <c r="KO2" s="19">
        <v>44987</v>
      </c>
      <c r="KP2" s="19">
        <v>44988</v>
      </c>
      <c r="KQ2" s="19">
        <v>44989</v>
      </c>
      <c r="KR2" s="19">
        <v>44990</v>
      </c>
      <c r="KS2" s="19">
        <v>44991</v>
      </c>
      <c r="KT2" s="19">
        <v>44992</v>
      </c>
      <c r="KU2" s="19">
        <v>44994</v>
      </c>
      <c r="KV2" s="19">
        <v>44995</v>
      </c>
      <c r="KW2" s="19">
        <v>44996</v>
      </c>
      <c r="KX2" s="19">
        <v>44997</v>
      </c>
      <c r="KY2" s="19">
        <v>45018</v>
      </c>
      <c r="KZ2" s="19">
        <v>45019</v>
      </c>
      <c r="LA2" s="19">
        <v>45020</v>
      </c>
      <c r="LB2" s="19">
        <v>45021</v>
      </c>
      <c r="LC2" s="19">
        <v>45024</v>
      </c>
      <c r="LD2" s="19">
        <v>45025</v>
      </c>
      <c r="LE2" s="19">
        <v>45026</v>
      </c>
      <c r="LF2" s="19">
        <v>45027</v>
      </c>
      <c r="LG2" s="19">
        <v>45028</v>
      </c>
      <c r="LH2" s="19">
        <v>45047</v>
      </c>
      <c r="LI2" s="19">
        <v>45048</v>
      </c>
      <c r="LJ2" s="19">
        <v>45049</v>
      </c>
      <c r="LK2" s="19">
        <v>45050</v>
      </c>
      <c r="LL2" s="19">
        <v>45051</v>
      </c>
      <c r="LM2" s="19">
        <v>45052</v>
      </c>
      <c r="LN2" s="19">
        <v>45053</v>
      </c>
      <c r="LO2" s="19">
        <v>45055</v>
      </c>
      <c r="LP2" s="19">
        <v>45056</v>
      </c>
      <c r="LQ2" s="19">
        <v>45057</v>
      </c>
      <c r="LR2" s="19">
        <v>45058</v>
      </c>
      <c r="LS2" s="19">
        <v>45079</v>
      </c>
      <c r="LT2" s="19">
        <v>45081</v>
      </c>
      <c r="LU2" s="19">
        <v>45082</v>
      </c>
      <c r="LV2" s="19">
        <v>45083</v>
      </c>
      <c r="LW2" s="19">
        <v>45084</v>
      </c>
      <c r="LX2" s="19">
        <v>45086</v>
      </c>
      <c r="LY2" s="19">
        <v>45087</v>
      </c>
      <c r="LZ2" s="19">
        <v>45088</v>
      </c>
      <c r="MA2" s="19">
        <v>45089</v>
      </c>
      <c r="MB2" s="19">
        <v>45109</v>
      </c>
      <c r="MC2" s="19">
        <v>45110</v>
      </c>
      <c r="MD2" s="19">
        <v>45111</v>
      </c>
      <c r="ME2" s="19">
        <v>45113</v>
      </c>
      <c r="MF2" s="19">
        <v>45114</v>
      </c>
      <c r="MG2" s="19">
        <v>45115</v>
      </c>
      <c r="MH2" s="19">
        <v>45116</v>
      </c>
      <c r="MI2" s="19">
        <v>45117</v>
      </c>
      <c r="MJ2" s="19">
        <v>45118</v>
      </c>
      <c r="MK2" s="19">
        <v>45119</v>
      </c>
      <c r="ML2" s="19">
        <v>45139</v>
      </c>
      <c r="MM2" s="19">
        <v>45142</v>
      </c>
      <c r="MN2" s="19">
        <v>45143</v>
      </c>
      <c r="MO2" s="19">
        <v>45144</v>
      </c>
      <c r="MP2" s="19">
        <v>45145</v>
      </c>
      <c r="MQ2" s="19">
        <v>45146</v>
      </c>
      <c r="MR2" s="19">
        <v>45147</v>
      </c>
      <c r="MS2" s="19">
        <v>45148</v>
      </c>
      <c r="MT2" s="19">
        <v>45149</v>
      </c>
      <c r="MU2" s="19">
        <v>45150</v>
      </c>
      <c r="MV2" s="19">
        <v>45171</v>
      </c>
      <c r="MW2" s="19">
        <v>45172</v>
      </c>
      <c r="MX2" s="19">
        <v>45174</v>
      </c>
      <c r="MY2" s="19">
        <v>45175</v>
      </c>
      <c r="MZ2" s="19">
        <v>45176</v>
      </c>
      <c r="NA2" s="19">
        <v>45177</v>
      </c>
      <c r="NB2" s="19">
        <v>45178</v>
      </c>
      <c r="NC2" s="19">
        <v>45179</v>
      </c>
      <c r="ND2" s="19">
        <v>45180</v>
      </c>
      <c r="NE2" s="19">
        <v>45181</v>
      </c>
      <c r="NF2" s="19">
        <v>45200</v>
      </c>
      <c r="NG2" s="19">
        <v>45202</v>
      </c>
      <c r="NH2" s="19">
        <v>45203</v>
      </c>
      <c r="NI2" s="19">
        <v>45204</v>
      </c>
      <c r="NJ2" s="19">
        <v>45205</v>
      </c>
      <c r="NK2" s="19">
        <v>45207</v>
      </c>
      <c r="NL2" s="19">
        <v>45208</v>
      </c>
      <c r="NM2" s="19">
        <v>45209</v>
      </c>
      <c r="NN2" s="19">
        <v>45210</v>
      </c>
      <c r="NO2" s="19">
        <v>45211</v>
      </c>
      <c r="NP2" s="19">
        <v>45231</v>
      </c>
      <c r="NQ2" s="19">
        <v>45232</v>
      </c>
      <c r="NR2" s="19">
        <v>45233</v>
      </c>
      <c r="NS2" s="19">
        <v>45234</v>
      </c>
      <c r="NT2" s="19">
        <v>45235</v>
      </c>
      <c r="NU2" s="19">
        <v>45236</v>
      </c>
      <c r="NV2" s="19">
        <v>45238</v>
      </c>
      <c r="NW2" s="19">
        <v>45239</v>
      </c>
      <c r="NX2" s="19">
        <v>45240</v>
      </c>
      <c r="NY2" s="19">
        <v>45241</v>
      </c>
      <c r="NZ2" s="19">
        <v>45242</v>
      </c>
      <c r="OA2" s="19">
        <v>45261</v>
      </c>
      <c r="OB2" s="19">
        <v>45262</v>
      </c>
      <c r="OC2" s="19">
        <v>45263</v>
      </c>
      <c r="OD2" s="19">
        <v>45264</v>
      </c>
      <c r="OE2" s="19">
        <v>45265</v>
      </c>
      <c r="OF2" s="19">
        <v>45266</v>
      </c>
      <c r="OG2" s="19">
        <v>45267</v>
      </c>
      <c r="OH2" s="19">
        <v>45268</v>
      </c>
      <c r="OI2" s="19">
        <v>45270</v>
      </c>
      <c r="OJ2" s="19">
        <v>45271</v>
      </c>
      <c r="OK2" s="19">
        <v>45272</v>
      </c>
      <c r="OL2" s="19">
        <v>45292</v>
      </c>
      <c r="OM2" s="19">
        <v>45294</v>
      </c>
      <c r="ON2" s="19">
        <v>45295</v>
      </c>
      <c r="OO2" s="19">
        <v>45296</v>
      </c>
      <c r="OP2" s="19">
        <v>45324</v>
      </c>
      <c r="OQ2" s="19">
        <v>45325</v>
      </c>
      <c r="OR2" s="19">
        <v>45326</v>
      </c>
      <c r="OS2" s="19">
        <v>45327</v>
      </c>
      <c r="OT2" s="19">
        <v>45328</v>
      </c>
      <c r="OU2" s="19">
        <v>45329</v>
      </c>
      <c r="OV2" s="19">
        <v>45352</v>
      </c>
      <c r="OW2" s="19">
        <v>45353</v>
      </c>
      <c r="OX2" s="19">
        <v>45354</v>
      </c>
      <c r="OY2" s="19">
        <v>45355</v>
      </c>
      <c r="OZ2" s="19">
        <v>45356</v>
      </c>
      <c r="PA2" s="19">
        <v>45357</v>
      </c>
      <c r="PB2" s="19">
        <v>45383</v>
      </c>
      <c r="PC2" s="19">
        <v>45384</v>
      </c>
      <c r="PD2" s="19">
        <v>45385</v>
      </c>
      <c r="PE2" s="19">
        <v>45386</v>
      </c>
      <c r="PF2" s="19">
        <v>45387</v>
      </c>
      <c r="PG2" s="19">
        <v>45388</v>
      </c>
      <c r="PH2" s="19">
        <v>45413</v>
      </c>
      <c r="PI2" s="19">
        <v>45414</v>
      </c>
      <c r="PJ2" s="19">
        <v>45415</v>
      </c>
      <c r="PK2" s="19">
        <v>45416</v>
      </c>
      <c r="PL2" s="19">
        <v>45417</v>
      </c>
      <c r="PM2" s="19">
        <v>45418</v>
      </c>
      <c r="PN2" s="19">
        <v>45445</v>
      </c>
      <c r="PO2" s="19">
        <v>45446</v>
      </c>
      <c r="PP2" s="19">
        <v>45447</v>
      </c>
      <c r="PQ2" s="19">
        <v>45448</v>
      </c>
      <c r="PR2" s="19">
        <v>45449</v>
      </c>
      <c r="PS2" s="19">
        <v>45450</v>
      </c>
      <c r="PT2" s="19">
        <v>45475</v>
      </c>
      <c r="PU2" s="19">
        <v>45476</v>
      </c>
      <c r="PV2" s="19">
        <v>45477</v>
      </c>
      <c r="PW2" s="19">
        <v>45478</v>
      </c>
      <c r="PX2" s="19">
        <v>45479</v>
      </c>
      <c r="PY2" s="19">
        <v>45505</v>
      </c>
      <c r="PZ2" s="19">
        <v>45506</v>
      </c>
      <c r="QA2" s="19">
        <v>45507</v>
      </c>
      <c r="QB2" s="19">
        <v>45508</v>
      </c>
      <c r="QC2" s="19">
        <v>45509</v>
      </c>
      <c r="QD2" s="19">
        <v>45510</v>
      </c>
      <c r="QE2" s="19">
        <v>45537</v>
      </c>
      <c r="QF2" s="19">
        <v>45538</v>
      </c>
      <c r="QG2" s="19">
        <v>45539</v>
      </c>
      <c r="QH2" s="19">
        <v>45540</v>
      </c>
      <c r="QI2" s="19">
        <v>45541</v>
      </c>
      <c r="QJ2" s="19">
        <v>45566</v>
      </c>
      <c r="QK2" s="19">
        <v>45567</v>
      </c>
      <c r="QL2" s="19">
        <v>45568</v>
      </c>
      <c r="QM2" s="19">
        <v>45569</v>
      </c>
      <c r="QN2" s="19">
        <v>45571</v>
      </c>
      <c r="QO2" s="19">
        <v>45597</v>
      </c>
      <c r="QP2" s="19">
        <v>45598</v>
      </c>
      <c r="QQ2" s="19">
        <v>45599</v>
      </c>
      <c r="QR2" s="19">
        <v>45600</v>
      </c>
      <c r="QS2" s="19">
        <v>45601</v>
      </c>
      <c r="QT2" s="19">
        <v>45602</v>
      </c>
      <c r="QU2" s="19">
        <v>45628</v>
      </c>
      <c r="QV2" s="19">
        <v>45629</v>
      </c>
      <c r="QW2" s="19">
        <v>45630</v>
      </c>
      <c r="QX2" s="19">
        <v>45631</v>
      </c>
      <c r="QY2" s="19">
        <v>45632</v>
      </c>
      <c r="QZ2" t="s">
        <v>1973</v>
      </c>
    </row>
    <row r="3" spans="1:468">
      <c r="A3" s="18" t="s">
        <v>62</v>
      </c>
      <c r="B3" s="16">
        <v>1</v>
      </c>
      <c r="C3" s="16"/>
      <c r="D3" s="16"/>
      <c r="E3" s="16"/>
      <c r="F3" s="16"/>
      <c r="G3" s="16"/>
      <c r="H3" s="16"/>
      <c r="I3" s="16">
        <v>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>
        <v>1</v>
      </c>
      <c r="X3" s="16"/>
      <c r="Y3" s="16">
        <v>1</v>
      </c>
      <c r="Z3" s="16">
        <v>2</v>
      </c>
      <c r="AA3" s="16"/>
      <c r="AB3" s="16"/>
      <c r="AC3" s="16">
        <v>1</v>
      </c>
      <c r="AD3" s="16"/>
      <c r="AE3" s="16"/>
      <c r="AF3" s="16">
        <v>1</v>
      </c>
      <c r="AG3" s="16">
        <v>1</v>
      </c>
      <c r="AH3" s="16"/>
      <c r="AI3" s="16">
        <v>1</v>
      </c>
      <c r="AJ3" s="16"/>
      <c r="AK3" s="16"/>
      <c r="AL3" s="16"/>
      <c r="AM3" s="16"/>
      <c r="AN3" s="16"/>
      <c r="AO3" s="16"/>
      <c r="AP3" s="16"/>
      <c r="AQ3" s="16"/>
      <c r="AR3" s="16"/>
      <c r="AS3" s="16">
        <v>1</v>
      </c>
      <c r="AT3" s="16"/>
      <c r="AU3" s="16"/>
      <c r="AV3" s="16"/>
      <c r="AW3" s="16"/>
      <c r="AX3" s="16">
        <v>1</v>
      </c>
      <c r="AY3" s="16"/>
      <c r="AZ3" s="16"/>
      <c r="BA3" s="16">
        <v>1</v>
      </c>
      <c r="BB3" s="16"/>
      <c r="BC3" s="16"/>
      <c r="BD3" s="16"/>
      <c r="BE3" s="16"/>
      <c r="BF3" s="16">
        <v>1</v>
      </c>
      <c r="BG3" s="16"/>
      <c r="BH3" s="16">
        <v>1</v>
      </c>
      <c r="BI3" s="16"/>
      <c r="BJ3" s="16"/>
      <c r="BK3" s="16"/>
      <c r="BL3" s="16"/>
      <c r="BM3" s="16"/>
      <c r="BN3" s="16">
        <v>1</v>
      </c>
      <c r="BO3" s="16"/>
      <c r="BP3" s="16"/>
      <c r="BQ3" s="16"/>
      <c r="BR3" s="16">
        <v>1</v>
      </c>
      <c r="BS3" s="16">
        <v>1</v>
      </c>
      <c r="BT3" s="16">
        <v>2</v>
      </c>
      <c r="BU3" s="16"/>
      <c r="BV3" s="16"/>
      <c r="BW3" s="16"/>
      <c r="BX3" s="16"/>
      <c r="BY3" s="16"/>
      <c r="BZ3" s="16">
        <v>1</v>
      </c>
      <c r="CA3" s="16">
        <v>1</v>
      </c>
      <c r="CB3" s="16"/>
      <c r="CC3" s="16"/>
      <c r="CD3" s="16"/>
      <c r="CE3" s="16"/>
      <c r="CF3" s="16"/>
      <c r="CG3" s="16"/>
      <c r="CH3" s="16"/>
      <c r="CI3" s="16"/>
      <c r="CJ3" s="16"/>
      <c r="CK3" s="16">
        <v>1</v>
      </c>
      <c r="CL3" s="16">
        <v>1</v>
      </c>
      <c r="CM3" s="16">
        <v>1</v>
      </c>
      <c r="CN3" s="16"/>
      <c r="CO3" s="16"/>
      <c r="CP3" s="16">
        <v>1</v>
      </c>
      <c r="CQ3" s="16"/>
      <c r="CR3" s="16"/>
      <c r="CS3" s="16"/>
      <c r="CT3" s="16"/>
      <c r="CU3" s="16">
        <v>1</v>
      </c>
      <c r="CV3" s="16">
        <v>1</v>
      </c>
      <c r="CW3" s="16"/>
      <c r="CX3" s="16"/>
      <c r="CY3" s="16"/>
      <c r="CZ3" s="16">
        <v>2</v>
      </c>
      <c r="DA3" s="16">
        <v>1</v>
      </c>
      <c r="DB3" s="16"/>
      <c r="DC3" s="16"/>
      <c r="DD3" s="16"/>
      <c r="DE3" s="16"/>
      <c r="DF3" s="16">
        <v>1</v>
      </c>
      <c r="DG3" s="16">
        <v>1</v>
      </c>
      <c r="DH3" s="16">
        <v>1</v>
      </c>
      <c r="DI3" s="16">
        <v>1</v>
      </c>
      <c r="DJ3" s="16">
        <v>1</v>
      </c>
      <c r="DK3" s="16">
        <v>1</v>
      </c>
      <c r="DL3" s="16">
        <v>1</v>
      </c>
      <c r="DM3" s="16"/>
      <c r="DN3" s="16"/>
      <c r="DO3" s="16">
        <v>2</v>
      </c>
      <c r="DP3" s="16">
        <v>1</v>
      </c>
      <c r="DQ3" s="16"/>
      <c r="DR3" s="16"/>
      <c r="DS3" s="16"/>
      <c r="DT3" s="16"/>
      <c r="DU3" s="16">
        <v>1</v>
      </c>
      <c r="DV3" s="16"/>
      <c r="DW3" s="16">
        <v>1</v>
      </c>
      <c r="DX3" s="16"/>
      <c r="DY3" s="16">
        <v>2</v>
      </c>
      <c r="DZ3" s="16"/>
      <c r="EA3" s="16">
        <v>1</v>
      </c>
      <c r="EB3" s="16">
        <v>1</v>
      </c>
      <c r="EC3" s="16"/>
      <c r="ED3" s="16"/>
      <c r="EE3" s="16"/>
      <c r="EF3" s="16">
        <v>2</v>
      </c>
      <c r="EG3" s="16"/>
      <c r="EH3" s="16">
        <v>2</v>
      </c>
      <c r="EI3" s="16">
        <v>1</v>
      </c>
      <c r="EJ3" s="16"/>
      <c r="EK3" s="16"/>
      <c r="EL3" s="16"/>
      <c r="EM3" s="16"/>
      <c r="EN3" s="16"/>
      <c r="EO3" s="16">
        <v>1</v>
      </c>
      <c r="EP3" s="16"/>
      <c r="EQ3" s="16"/>
      <c r="ER3" s="16"/>
      <c r="ES3" s="16"/>
      <c r="ET3" s="16"/>
      <c r="EU3" s="16"/>
      <c r="EV3" s="16"/>
      <c r="EW3" s="16">
        <v>1</v>
      </c>
      <c r="EX3" s="16">
        <v>1</v>
      </c>
      <c r="EY3" s="16"/>
      <c r="EZ3" s="16">
        <v>1</v>
      </c>
      <c r="FA3" s="16">
        <v>1</v>
      </c>
      <c r="FB3" s="16">
        <v>1</v>
      </c>
      <c r="FC3" s="16">
        <v>2</v>
      </c>
      <c r="FD3" s="16"/>
      <c r="FE3" s="16">
        <v>1</v>
      </c>
      <c r="FF3" s="16"/>
      <c r="FG3" s="16">
        <v>1</v>
      </c>
      <c r="FH3" s="16"/>
      <c r="FI3" s="16">
        <v>1</v>
      </c>
      <c r="FJ3" s="16">
        <v>1</v>
      </c>
      <c r="FK3" s="16">
        <v>1</v>
      </c>
      <c r="FL3" s="16">
        <v>1</v>
      </c>
      <c r="FM3" s="16"/>
      <c r="FN3" s="16">
        <v>1</v>
      </c>
      <c r="FO3" s="16"/>
      <c r="FP3" s="16"/>
      <c r="FQ3" s="16">
        <v>1</v>
      </c>
      <c r="FR3" s="16"/>
      <c r="FS3" s="16">
        <v>1</v>
      </c>
      <c r="FT3" s="16"/>
      <c r="FU3" s="16"/>
      <c r="FV3" s="16"/>
      <c r="FW3" s="16">
        <v>1</v>
      </c>
      <c r="FX3" s="16"/>
      <c r="FY3" s="16"/>
      <c r="FZ3" s="16"/>
      <c r="GA3" s="16">
        <v>1</v>
      </c>
      <c r="GB3" s="16"/>
      <c r="GC3" s="16">
        <v>1</v>
      </c>
      <c r="GD3" s="16">
        <v>2</v>
      </c>
      <c r="GE3" s="16">
        <v>1</v>
      </c>
      <c r="GF3" s="16"/>
      <c r="GG3" s="16"/>
      <c r="GH3" s="16"/>
      <c r="GI3" s="16">
        <v>1</v>
      </c>
      <c r="GJ3" s="16"/>
      <c r="GK3" s="16">
        <v>1</v>
      </c>
      <c r="GL3" s="16"/>
      <c r="GM3" s="16"/>
      <c r="GN3" s="16"/>
      <c r="GO3" s="16"/>
      <c r="GP3" s="16">
        <v>1</v>
      </c>
      <c r="GQ3" s="16"/>
      <c r="GR3" s="16"/>
      <c r="GS3" s="16"/>
      <c r="GT3" s="16">
        <v>1</v>
      </c>
      <c r="GU3" s="16">
        <v>1</v>
      </c>
      <c r="GV3" s="16">
        <v>1</v>
      </c>
      <c r="GW3" s="16"/>
      <c r="GX3" s="16"/>
      <c r="GY3" s="16"/>
      <c r="GZ3" s="16">
        <v>1</v>
      </c>
      <c r="HA3" s="16">
        <v>1</v>
      </c>
      <c r="HB3" s="16">
        <v>1</v>
      </c>
      <c r="HC3" s="16"/>
      <c r="HD3" s="16">
        <v>1</v>
      </c>
      <c r="HE3" s="16">
        <v>1</v>
      </c>
      <c r="HF3" s="16"/>
      <c r="HG3" s="16"/>
      <c r="HH3" s="16"/>
      <c r="HI3" s="16"/>
      <c r="HJ3" s="16"/>
      <c r="HK3" s="16">
        <v>1</v>
      </c>
      <c r="HL3" s="16"/>
      <c r="HM3" s="16"/>
      <c r="HN3" s="16"/>
      <c r="HO3" s="16"/>
      <c r="HP3" s="16">
        <v>1</v>
      </c>
      <c r="HQ3" s="16">
        <v>1</v>
      </c>
      <c r="HR3" s="16"/>
      <c r="HS3" s="16"/>
      <c r="HT3" s="16">
        <v>1</v>
      </c>
      <c r="HU3" s="16"/>
      <c r="HV3" s="16">
        <v>1</v>
      </c>
      <c r="HW3" s="16"/>
      <c r="HX3" s="16"/>
      <c r="HY3" s="16"/>
      <c r="HZ3" s="16">
        <v>1</v>
      </c>
      <c r="IA3" s="16"/>
      <c r="IB3" s="16"/>
      <c r="IC3" s="16">
        <v>1</v>
      </c>
      <c r="ID3" s="16"/>
      <c r="IE3" s="16"/>
      <c r="IF3" s="16"/>
      <c r="IG3" s="16">
        <v>1</v>
      </c>
      <c r="IH3" s="16"/>
      <c r="II3" s="16"/>
      <c r="IJ3" s="16">
        <v>2</v>
      </c>
      <c r="IK3" s="16"/>
      <c r="IL3" s="16"/>
      <c r="IM3" s="16">
        <v>1</v>
      </c>
      <c r="IN3" s="16"/>
      <c r="IO3" s="16"/>
      <c r="IP3" s="16">
        <v>1</v>
      </c>
      <c r="IQ3" s="16"/>
      <c r="IR3" s="16">
        <v>1</v>
      </c>
      <c r="IS3" s="16"/>
      <c r="IT3" s="16"/>
      <c r="IU3" s="16"/>
      <c r="IV3" s="16"/>
      <c r="IW3" s="16"/>
      <c r="IX3" s="16">
        <v>2</v>
      </c>
      <c r="IY3" s="16"/>
      <c r="IZ3" s="16"/>
      <c r="JA3" s="16"/>
      <c r="JB3" s="16"/>
      <c r="JC3" s="16"/>
      <c r="JD3" s="16"/>
      <c r="JE3" s="16"/>
      <c r="JF3" s="16">
        <v>1</v>
      </c>
      <c r="JG3" s="16"/>
      <c r="JH3" s="16">
        <v>1</v>
      </c>
      <c r="JI3" s="16"/>
      <c r="JJ3" s="16"/>
      <c r="JK3" s="16"/>
      <c r="JL3" s="16">
        <v>1</v>
      </c>
      <c r="JM3" s="16">
        <v>1</v>
      </c>
      <c r="JN3" s="16"/>
      <c r="JO3" s="16"/>
      <c r="JP3" s="16"/>
      <c r="JQ3" s="16">
        <v>1</v>
      </c>
      <c r="JR3" s="16">
        <v>1</v>
      </c>
      <c r="JS3" s="16"/>
      <c r="JT3" s="16"/>
      <c r="JU3" s="16"/>
      <c r="JV3" s="16"/>
      <c r="JW3" s="16"/>
      <c r="JX3" s="16"/>
      <c r="JY3" s="16"/>
      <c r="JZ3" s="16"/>
      <c r="KA3" s="16"/>
      <c r="KB3" s="16">
        <v>1</v>
      </c>
      <c r="KC3" s="16"/>
      <c r="KD3" s="16"/>
      <c r="KE3" s="16"/>
      <c r="KF3" s="16"/>
      <c r="KG3" s="16"/>
      <c r="KH3" s="16">
        <v>1</v>
      </c>
      <c r="KI3" s="16">
        <v>1</v>
      </c>
      <c r="KJ3" s="16"/>
      <c r="KK3" s="16"/>
      <c r="KL3" s="16"/>
      <c r="KM3" s="16">
        <v>1</v>
      </c>
      <c r="KN3" s="16"/>
      <c r="KO3" s="16"/>
      <c r="KP3" s="16"/>
      <c r="KQ3" s="16">
        <v>1</v>
      </c>
      <c r="KR3" s="16"/>
      <c r="KS3" s="16"/>
      <c r="KT3" s="16">
        <v>1</v>
      </c>
      <c r="KU3" s="16"/>
      <c r="KV3" s="16">
        <v>2</v>
      </c>
      <c r="KW3" s="16">
        <v>1</v>
      </c>
      <c r="KX3" s="16">
        <v>1</v>
      </c>
      <c r="KY3" s="16"/>
      <c r="KZ3" s="16">
        <v>2</v>
      </c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>
        <v>1</v>
      </c>
      <c r="LM3" s="16">
        <v>1</v>
      </c>
      <c r="LN3" s="16">
        <v>2</v>
      </c>
      <c r="LO3" s="16"/>
      <c r="LP3" s="16"/>
      <c r="LQ3" s="16"/>
      <c r="LR3" s="16"/>
      <c r="LS3" s="16"/>
      <c r="LT3" s="16">
        <v>1</v>
      </c>
      <c r="LU3" s="16"/>
      <c r="LV3" s="16"/>
      <c r="LW3" s="16">
        <v>1</v>
      </c>
      <c r="LX3" s="16"/>
      <c r="LY3" s="16">
        <v>2</v>
      </c>
      <c r="LZ3" s="16"/>
      <c r="MA3" s="16">
        <v>1</v>
      </c>
      <c r="MB3" s="16">
        <v>1</v>
      </c>
      <c r="MC3" s="16"/>
      <c r="MD3" s="16">
        <v>2</v>
      </c>
      <c r="ME3" s="16"/>
      <c r="MF3" s="16"/>
      <c r="MG3" s="16">
        <v>1</v>
      </c>
      <c r="MH3" s="16"/>
      <c r="MI3" s="16"/>
      <c r="MJ3" s="16"/>
      <c r="MK3" s="16"/>
      <c r="ML3" s="16"/>
      <c r="MM3" s="16">
        <v>1</v>
      </c>
      <c r="MN3" s="16">
        <v>1</v>
      </c>
      <c r="MO3" s="16"/>
      <c r="MP3" s="16"/>
      <c r="MQ3" s="16"/>
      <c r="MR3" s="16"/>
      <c r="MS3" s="16"/>
      <c r="MT3" s="16"/>
      <c r="MU3" s="16"/>
      <c r="MV3" s="16"/>
      <c r="MW3" s="16"/>
      <c r="MX3" s="16">
        <v>1</v>
      </c>
      <c r="MY3" s="16"/>
      <c r="MZ3" s="16"/>
      <c r="NA3" s="16"/>
      <c r="NB3" s="16"/>
      <c r="NC3" s="16">
        <v>1</v>
      </c>
      <c r="ND3" s="16">
        <v>2</v>
      </c>
      <c r="NE3" s="16"/>
      <c r="NF3" s="16"/>
      <c r="NG3" s="16"/>
      <c r="NH3" s="16"/>
      <c r="NI3" s="16"/>
      <c r="NJ3" s="16">
        <v>1</v>
      </c>
      <c r="NK3" s="16">
        <v>1</v>
      </c>
      <c r="NL3" s="16"/>
      <c r="NM3" s="16"/>
      <c r="NN3" s="16">
        <v>1</v>
      </c>
      <c r="NO3" s="16">
        <v>1</v>
      </c>
      <c r="NP3" s="16"/>
      <c r="NQ3" s="16">
        <v>1</v>
      </c>
      <c r="NR3" s="16"/>
      <c r="NS3" s="16"/>
      <c r="NT3" s="16"/>
      <c r="NU3" s="16"/>
      <c r="NV3" s="16">
        <v>1</v>
      </c>
      <c r="NW3" s="16"/>
      <c r="NX3" s="16"/>
      <c r="NY3" s="16">
        <v>1</v>
      </c>
      <c r="NZ3" s="16"/>
      <c r="OA3" s="16"/>
      <c r="OB3" s="16">
        <v>1</v>
      </c>
      <c r="OC3" s="16"/>
      <c r="OD3" s="16"/>
      <c r="OE3" s="16"/>
      <c r="OF3" s="16"/>
      <c r="OG3" s="16"/>
      <c r="OH3" s="16"/>
      <c r="OI3" s="16">
        <v>1</v>
      </c>
      <c r="OJ3" s="16">
        <v>1</v>
      </c>
      <c r="OK3" s="16"/>
      <c r="OL3" s="16"/>
      <c r="OM3" s="16"/>
      <c r="ON3" s="16"/>
      <c r="OO3" s="16"/>
      <c r="OP3" s="16"/>
      <c r="OQ3" s="16">
        <v>2</v>
      </c>
      <c r="OR3" s="16"/>
      <c r="OS3" s="16">
        <v>1</v>
      </c>
      <c r="OT3" s="16"/>
      <c r="OU3" s="16"/>
      <c r="OV3" s="16"/>
      <c r="OW3" s="16"/>
      <c r="OX3" s="16"/>
      <c r="OY3" s="16">
        <v>1</v>
      </c>
      <c r="OZ3" s="16"/>
      <c r="PA3" s="16">
        <v>1</v>
      </c>
      <c r="PB3" s="16"/>
      <c r="PC3" s="16">
        <v>1</v>
      </c>
      <c r="PD3" s="16"/>
      <c r="PE3" s="16"/>
      <c r="PF3" s="16"/>
      <c r="PG3" s="16"/>
      <c r="PH3" s="16">
        <v>1</v>
      </c>
      <c r="PI3" s="16"/>
      <c r="PJ3" s="16"/>
      <c r="PK3" s="16"/>
      <c r="PL3" s="16">
        <v>1</v>
      </c>
      <c r="PM3" s="16"/>
      <c r="PN3" s="16">
        <v>1</v>
      </c>
      <c r="PO3" s="16"/>
      <c r="PP3" s="16"/>
      <c r="PQ3" s="16"/>
      <c r="PR3" s="16"/>
      <c r="PS3" s="16"/>
      <c r="PT3" s="16">
        <v>1</v>
      </c>
      <c r="PU3" s="16"/>
      <c r="PV3" s="16"/>
      <c r="PW3" s="16"/>
      <c r="PX3" s="16"/>
      <c r="PY3" s="16">
        <v>1</v>
      </c>
      <c r="PZ3" s="16">
        <v>1</v>
      </c>
      <c r="QA3" s="16">
        <v>1</v>
      </c>
      <c r="QB3" s="16"/>
      <c r="QC3" s="16"/>
      <c r="QD3" s="16"/>
      <c r="QE3" s="16">
        <v>1</v>
      </c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>
        <v>1</v>
      </c>
      <c r="QQ3" s="16"/>
      <c r="QR3" s="16"/>
      <c r="QS3" s="16"/>
      <c r="QT3" s="16"/>
      <c r="QU3" s="16"/>
      <c r="QV3" s="16">
        <v>1</v>
      </c>
      <c r="QW3" s="16"/>
      <c r="QX3" s="16"/>
      <c r="QY3" s="16">
        <v>1</v>
      </c>
      <c r="QZ3" s="16">
        <v>165</v>
      </c>
    </row>
    <row r="4" spans="1:468">
      <c r="A4" s="18" t="s">
        <v>47</v>
      </c>
      <c r="B4" s="16"/>
      <c r="C4" s="16">
        <v>1</v>
      </c>
      <c r="D4" s="16"/>
      <c r="E4" s="16">
        <v>1</v>
      </c>
      <c r="F4" s="16">
        <v>1</v>
      </c>
      <c r="G4" s="16"/>
      <c r="H4" s="16"/>
      <c r="I4" s="16"/>
      <c r="J4" s="16"/>
      <c r="K4" s="16"/>
      <c r="L4" s="16">
        <v>1</v>
      </c>
      <c r="M4" s="16">
        <v>2</v>
      </c>
      <c r="N4" s="16"/>
      <c r="O4" s="16"/>
      <c r="P4" s="16"/>
      <c r="Q4" s="16">
        <v>1</v>
      </c>
      <c r="R4" s="16">
        <v>1</v>
      </c>
      <c r="S4" s="16">
        <v>1</v>
      </c>
      <c r="T4" s="16">
        <v>1</v>
      </c>
      <c r="U4" s="16"/>
      <c r="V4" s="16"/>
      <c r="W4" s="16"/>
      <c r="X4" s="16"/>
      <c r="Y4" s="16">
        <v>1</v>
      </c>
      <c r="Z4" s="16">
        <v>1</v>
      </c>
      <c r="AA4" s="16"/>
      <c r="AB4" s="16"/>
      <c r="AC4" s="16"/>
      <c r="AD4" s="16">
        <v>2</v>
      </c>
      <c r="AE4" s="16"/>
      <c r="AF4" s="16"/>
      <c r="AG4" s="16"/>
      <c r="AH4" s="16">
        <v>1</v>
      </c>
      <c r="AI4" s="16"/>
      <c r="AJ4" s="16"/>
      <c r="AK4" s="16"/>
      <c r="AL4" s="16"/>
      <c r="AM4" s="16">
        <v>1</v>
      </c>
      <c r="AN4" s="16"/>
      <c r="AO4" s="16"/>
      <c r="AP4" s="16">
        <v>2</v>
      </c>
      <c r="AQ4" s="16">
        <v>1</v>
      </c>
      <c r="AR4" s="16">
        <v>1</v>
      </c>
      <c r="AS4" s="16"/>
      <c r="AT4" s="16">
        <v>1</v>
      </c>
      <c r="AU4" s="16"/>
      <c r="AV4" s="16"/>
      <c r="AW4" s="16"/>
      <c r="AX4" s="16"/>
      <c r="AY4" s="16"/>
      <c r="AZ4" s="16">
        <v>1</v>
      </c>
      <c r="BA4" s="16">
        <v>1</v>
      </c>
      <c r="BB4" s="16">
        <v>1</v>
      </c>
      <c r="BC4" s="16"/>
      <c r="BD4" s="16">
        <v>1</v>
      </c>
      <c r="BE4" s="16"/>
      <c r="BF4" s="16"/>
      <c r="BG4" s="16"/>
      <c r="BH4" s="16">
        <v>1</v>
      </c>
      <c r="BI4" s="16"/>
      <c r="BJ4" s="16">
        <v>1</v>
      </c>
      <c r="BK4" s="16"/>
      <c r="BL4" s="16"/>
      <c r="BM4" s="16"/>
      <c r="BN4" s="16"/>
      <c r="BO4" s="16"/>
      <c r="BP4" s="16">
        <v>1</v>
      </c>
      <c r="BQ4" s="16"/>
      <c r="BR4" s="16">
        <v>1</v>
      </c>
      <c r="BS4" s="16">
        <v>1</v>
      </c>
      <c r="BT4" s="16">
        <v>1</v>
      </c>
      <c r="BU4" s="16">
        <v>1</v>
      </c>
      <c r="BV4" s="16">
        <v>2</v>
      </c>
      <c r="BW4" s="16"/>
      <c r="BX4" s="16">
        <v>2</v>
      </c>
      <c r="BY4" s="16"/>
      <c r="BZ4" s="16"/>
      <c r="CA4" s="16"/>
      <c r="CB4" s="16">
        <v>1</v>
      </c>
      <c r="CC4" s="16"/>
      <c r="CD4" s="16">
        <v>1</v>
      </c>
      <c r="CE4" s="16"/>
      <c r="CF4" s="16"/>
      <c r="CG4" s="16">
        <v>1</v>
      </c>
      <c r="CH4" s="16"/>
      <c r="CI4" s="16"/>
      <c r="CJ4" s="16"/>
      <c r="CK4" s="16">
        <v>2</v>
      </c>
      <c r="CL4" s="16"/>
      <c r="CM4" s="16"/>
      <c r="CN4" s="16">
        <v>1</v>
      </c>
      <c r="CO4" s="16"/>
      <c r="CP4" s="16"/>
      <c r="CQ4" s="16"/>
      <c r="CR4" s="16"/>
      <c r="CS4" s="16">
        <v>1</v>
      </c>
      <c r="CT4" s="16"/>
      <c r="CU4" s="16"/>
      <c r="CV4" s="16"/>
      <c r="CW4" s="16">
        <v>1</v>
      </c>
      <c r="CX4" s="16"/>
      <c r="CY4" s="16">
        <v>1</v>
      </c>
      <c r="CZ4" s="16"/>
      <c r="DA4" s="16"/>
      <c r="DB4" s="16">
        <v>1</v>
      </c>
      <c r="DC4" s="16"/>
      <c r="DD4" s="16"/>
      <c r="DE4" s="16"/>
      <c r="DF4" s="16">
        <v>1</v>
      </c>
      <c r="DG4" s="16"/>
      <c r="DH4" s="16">
        <v>1</v>
      </c>
      <c r="DI4" s="16">
        <v>1</v>
      </c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>
        <v>1</v>
      </c>
      <c r="DX4" s="16"/>
      <c r="DY4" s="16">
        <v>1</v>
      </c>
      <c r="DZ4" s="16"/>
      <c r="EA4" s="16"/>
      <c r="EB4" s="16"/>
      <c r="EC4" s="16"/>
      <c r="ED4" s="16"/>
      <c r="EE4" s="16">
        <v>1</v>
      </c>
      <c r="EF4" s="16"/>
      <c r="EG4" s="16"/>
      <c r="EH4" s="16"/>
      <c r="EI4" s="16">
        <v>1</v>
      </c>
      <c r="EJ4" s="16"/>
      <c r="EK4" s="16"/>
      <c r="EL4" s="16"/>
      <c r="EM4" s="16"/>
      <c r="EN4" s="16"/>
      <c r="EO4" s="16"/>
      <c r="EP4" s="16"/>
      <c r="EQ4" s="16">
        <v>1</v>
      </c>
      <c r="ER4" s="16">
        <v>1</v>
      </c>
      <c r="ES4" s="16"/>
      <c r="ET4" s="16">
        <v>1</v>
      </c>
      <c r="EU4" s="16"/>
      <c r="EV4" s="16">
        <v>1</v>
      </c>
      <c r="EW4" s="16">
        <v>1</v>
      </c>
      <c r="EX4" s="16">
        <v>1</v>
      </c>
      <c r="EY4" s="16"/>
      <c r="EZ4" s="16"/>
      <c r="FA4" s="16"/>
      <c r="FB4" s="16"/>
      <c r="FC4" s="16">
        <v>1</v>
      </c>
      <c r="FD4" s="16"/>
      <c r="FE4" s="16"/>
      <c r="FF4" s="16"/>
      <c r="FG4" s="16"/>
      <c r="FH4" s="16">
        <v>1</v>
      </c>
      <c r="FI4" s="16">
        <v>1</v>
      </c>
      <c r="FJ4" s="16"/>
      <c r="FK4" s="16"/>
      <c r="FL4" s="16"/>
      <c r="FM4" s="16"/>
      <c r="FN4" s="16"/>
      <c r="FO4" s="16"/>
      <c r="FP4" s="16">
        <v>2</v>
      </c>
      <c r="FQ4" s="16"/>
      <c r="FR4" s="16"/>
      <c r="FS4" s="16">
        <v>1</v>
      </c>
      <c r="FT4" s="16"/>
      <c r="FU4" s="16"/>
      <c r="FV4" s="16"/>
      <c r="FW4" s="16"/>
      <c r="FX4" s="16"/>
      <c r="FY4" s="16">
        <v>1</v>
      </c>
      <c r="FZ4" s="16"/>
      <c r="GA4" s="16"/>
      <c r="GB4" s="16"/>
      <c r="GC4" s="16"/>
      <c r="GD4" s="16">
        <v>1</v>
      </c>
      <c r="GE4" s="16">
        <v>1</v>
      </c>
      <c r="GF4" s="16"/>
      <c r="GG4" s="16"/>
      <c r="GH4" s="16"/>
      <c r="GI4" s="16"/>
      <c r="GJ4" s="16">
        <v>1</v>
      </c>
      <c r="GK4" s="16">
        <v>1</v>
      </c>
      <c r="GL4" s="16"/>
      <c r="GM4" s="16"/>
      <c r="GN4" s="16"/>
      <c r="GO4" s="16"/>
      <c r="GP4" s="16">
        <v>1</v>
      </c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>
        <v>1</v>
      </c>
      <c r="HB4" s="16"/>
      <c r="HC4" s="16"/>
      <c r="HD4" s="16">
        <v>3</v>
      </c>
      <c r="HE4" s="16"/>
      <c r="HF4" s="16">
        <v>1</v>
      </c>
      <c r="HG4" s="16"/>
      <c r="HH4" s="16"/>
      <c r="HI4" s="16"/>
      <c r="HJ4" s="16"/>
      <c r="HK4" s="16">
        <v>1</v>
      </c>
      <c r="HL4" s="16"/>
      <c r="HM4" s="16">
        <v>1</v>
      </c>
      <c r="HN4" s="16">
        <v>1</v>
      </c>
      <c r="HO4" s="16"/>
      <c r="HP4" s="16"/>
      <c r="HQ4" s="16">
        <v>1</v>
      </c>
      <c r="HR4" s="16"/>
      <c r="HS4" s="16"/>
      <c r="HT4" s="16"/>
      <c r="HU4" s="16"/>
      <c r="HV4" s="16"/>
      <c r="HW4" s="16">
        <v>1</v>
      </c>
      <c r="HX4" s="16">
        <v>2</v>
      </c>
      <c r="HY4" s="16"/>
      <c r="HZ4" s="16"/>
      <c r="IA4" s="16">
        <v>1</v>
      </c>
      <c r="IB4" s="16">
        <v>1</v>
      </c>
      <c r="IC4" s="16"/>
      <c r="ID4" s="16"/>
      <c r="IE4" s="16"/>
      <c r="IF4" s="16">
        <v>1</v>
      </c>
      <c r="IG4" s="16"/>
      <c r="IH4" s="16"/>
      <c r="II4" s="16"/>
      <c r="IJ4" s="16">
        <v>1</v>
      </c>
      <c r="IK4" s="16"/>
      <c r="IL4" s="16"/>
      <c r="IM4" s="16">
        <v>1</v>
      </c>
      <c r="IN4" s="16"/>
      <c r="IO4" s="16"/>
      <c r="IP4" s="16"/>
      <c r="IQ4" s="16"/>
      <c r="IR4" s="16"/>
      <c r="IS4" s="16"/>
      <c r="IT4" s="16">
        <v>1</v>
      </c>
      <c r="IU4" s="16"/>
      <c r="IV4" s="16"/>
      <c r="IW4" s="16"/>
      <c r="IX4" s="16"/>
      <c r="IY4" s="16"/>
      <c r="IZ4" s="16"/>
      <c r="JA4" s="16"/>
      <c r="JB4" s="16"/>
      <c r="JC4" s="16"/>
      <c r="JD4" s="16">
        <v>1</v>
      </c>
      <c r="JE4" s="16">
        <v>1</v>
      </c>
      <c r="JF4" s="16"/>
      <c r="JG4" s="16">
        <v>1</v>
      </c>
      <c r="JH4" s="16">
        <v>1</v>
      </c>
      <c r="JI4" s="16">
        <v>2</v>
      </c>
      <c r="JJ4" s="16"/>
      <c r="JK4" s="16">
        <v>1</v>
      </c>
      <c r="JL4" s="16">
        <v>2</v>
      </c>
      <c r="JM4" s="16"/>
      <c r="JN4" s="16">
        <v>1</v>
      </c>
      <c r="JO4" s="16"/>
      <c r="JP4" s="16"/>
      <c r="JQ4" s="16">
        <v>1</v>
      </c>
      <c r="JR4" s="16"/>
      <c r="JS4" s="16">
        <v>1</v>
      </c>
      <c r="JT4" s="16">
        <v>3</v>
      </c>
      <c r="JU4" s="16"/>
      <c r="JV4" s="16"/>
      <c r="JW4" s="16"/>
      <c r="JX4" s="16"/>
      <c r="JY4" s="16">
        <v>1</v>
      </c>
      <c r="JZ4" s="16">
        <v>1</v>
      </c>
      <c r="KA4" s="16"/>
      <c r="KB4" s="16"/>
      <c r="KC4" s="16"/>
      <c r="KD4" s="16">
        <v>1</v>
      </c>
      <c r="KE4" s="16">
        <v>1</v>
      </c>
      <c r="KF4" s="16"/>
      <c r="KG4" s="16"/>
      <c r="KH4" s="16"/>
      <c r="KI4" s="16"/>
      <c r="KJ4" s="16"/>
      <c r="KK4" s="16">
        <v>1</v>
      </c>
      <c r="KL4" s="16"/>
      <c r="KM4" s="16"/>
      <c r="KN4" s="16"/>
      <c r="KO4" s="16"/>
      <c r="KP4" s="16"/>
      <c r="KQ4" s="16">
        <v>1</v>
      </c>
      <c r="KR4" s="16"/>
      <c r="KS4" s="16">
        <v>1</v>
      </c>
      <c r="KT4" s="16">
        <v>1</v>
      </c>
      <c r="KU4" s="16">
        <v>1</v>
      </c>
      <c r="KV4" s="16"/>
      <c r="KW4" s="16"/>
      <c r="KX4" s="16"/>
      <c r="KY4" s="16"/>
      <c r="KZ4" s="16"/>
      <c r="LA4" s="16"/>
      <c r="LB4" s="16">
        <v>1</v>
      </c>
      <c r="LC4" s="16"/>
      <c r="LD4" s="16"/>
      <c r="LE4" s="16"/>
      <c r="LF4" s="16">
        <v>1</v>
      </c>
      <c r="LG4" s="16">
        <v>1</v>
      </c>
      <c r="LH4" s="16"/>
      <c r="LI4" s="16"/>
      <c r="LJ4" s="16"/>
      <c r="LK4" s="16">
        <v>1</v>
      </c>
      <c r="LL4" s="16">
        <v>1</v>
      </c>
      <c r="LM4" s="16"/>
      <c r="LN4" s="16"/>
      <c r="LO4" s="16"/>
      <c r="LP4" s="16">
        <v>1</v>
      </c>
      <c r="LQ4" s="16"/>
      <c r="LR4" s="16">
        <v>1</v>
      </c>
      <c r="LS4" s="16"/>
      <c r="LT4" s="16">
        <v>2</v>
      </c>
      <c r="LU4" s="16">
        <v>1</v>
      </c>
      <c r="LV4" s="16"/>
      <c r="LW4" s="16"/>
      <c r="LX4" s="16"/>
      <c r="LY4" s="16"/>
      <c r="LZ4" s="16"/>
      <c r="MA4" s="16"/>
      <c r="MB4" s="16">
        <v>1</v>
      </c>
      <c r="MC4" s="16"/>
      <c r="MD4" s="16"/>
      <c r="ME4" s="16"/>
      <c r="MF4" s="16">
        <v>1</v>
      </c>
      <c r="MG4" s="16"/>
      <c r="MH4" s="16">
        <v>1</v>
      </c>
      <c r="MI4" s="16"/>
      <c r="MJ4" s="16"/>
      <c r="MK4" s="16"/>
      <c r="ML4" s="16"/>
      <c r="MM4" s="16">
        <v>1</v>
      </c>
      <c r="MN4" s="16"/>
      <c r="MO4" s="16"/>
      <c r="MP4" s="16"/>
      <c r="MQ4" s="16"/>
      <c r="MR4" s="16"/>
      <c r="MS4" s="16"/>
      <c r="MT4" s="16"/>
      <c r="MU4" s="16"/>
      <c r="MV4" s="16">
        <v>2</v>
      </c>
      <c r="MW4" s="16"/>
      <c r="MX4" s="16"/>
      <c r="MY4" s="16"/>
      <c r="MZ4" s="16"/>
      <c r="NA4" s="16"/>
      <c r="NB4" s="16"/>
      <c r="NC4" s="16"/>
      <c r="ND4" s="16"/>
      <c r="NE4" s="16"/>
      <c r="NF4" s="16">
        <v>1</v>
      </c>
      <c r="NG4" s="16"/>
      <c r="NH4" s="16"/>
      <c r="NI4" s="16"/>
      <c r="NJ4" s="16"/>
      <c r="NK4" s="16">
        <v>1</v>
      </c>
      <c r="NL4" s="16"/>
      <c r="NM4" s="16"/>
      <c r="NN4" s="16"/>
      <c r="NO4" s="16">
        <v>2</v>
      </c>
      <c r="NP4" s="16">
        <v>1</v>
      </c>
      <c r="NQ4" s="16"/>
      <c r="NR4" s="16"/>
      <c r="NS4" s="16"/>
      <c r="NT4" s="16">
        <v>1</v>
      </c>
      <c r="NU4" s="16">
        <v>1</v>
      </c>
      <c r="NV4" s="16">
        <v>1</v>
      </c>
      <c r="NW4" s="16"/>
      <c r="NX4" s="16"/>
      <c r="NY4" s="16"/>
      <c r="NZ4" s="16"/>
      <c r="OA4" s="16"/>
      <c r="OB4" s="16"/>
      <c r="OC4" s="16"/>
      <c r="OD4" s="16">
        <v>1</v>
      </c>
      <c r="OE4" s="16"/>
      <c r="OF4" s="16"/>
      <c r="OG4" s="16">
        <v>1</v>
      </c>
      <c r="OH4" s="16"/>
      <c r="OI4" s="16"/>
      <c r="OJ4" s="16">
        <v>1</v>
      </c>
      <c r="OK4" s="16">
        <v>1</v>
      </c>
      <c r="OL4" s="16"/>
      <c r="OM4" s="16">
        <v>1</v>
      </c>
      <c r="ON4" s="16"/>
      <c r="OO4" s="16"/>
      <c r="OP4" s="16">
        <v>2</v>
      </c>
      <c r="OQ4" s="16">
        <v>1</v>
      </c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>
        <v>1</v>
      </c>
      <c r="PD4" s="16">
        <v>1</v>
      </c>
      <c r="PE4" s="16">
        <v>2</v>
      </c>
      <c r="PF4" s="16"/>
      <c r="PG4" s="16">
        <v>1</v>
      </c>
      <c r="PH4" s="16"/>
      <c r="PI4" s="16">
        <v>1</v>
      </c>
      <c r="PJ4" s="16"/>
      <c r="PK4" s="16">
        <v>1</v>
      </c>
      <c r="PL4" s="16"/>
      <c r="PM4" s="16">
        <v>1</v>
      </c>
      <c r="PN4" s="16">
        <v>1</v>
      </c>
      <c r="PO4" s="16">
        <v>1</v>
      </c>
      <c r="PP4" s="16"/>
      <c r="PQ4" s="16">
        <v>1</v>
      </c>
      <c r="PR4" s="16">
        <v>1</v>
      </c>
      <c r="PS4" s="16"/>
      <c r="PT4" s="16"/>
      <c r="PU4" s="16"/>
      <c r="PV4" s="16"/>
      <c r="PW4" s="16"/>
      <c r="PX4" s="16"/>
      <c r="PY4" s="16">
        <v>1</v>
      </c>
      <c r="PZ4" s="16">
        <v>1</v>
      </c>
      <c r="QA4" s="16"/>
      <c r="QB4" s="16"/>
      <c r="QC4" s="16"/>
      <c r="QD4" s="16"/>
      <c r="QE4" s="16"/>
      <c r="QF4" s="16">
        <v>2</v>
      </c>
      <c r="QG4" s="16"/>
      <c r="QH4" s="16"/>
      <c r="QI4" s="16">
        <v>1</v>
      </c>
      <c r="QJ4" s="16"/>
      <c r="QK4" s="16">
        <v>1</v>
      </c>
      <c r="QL4" s="16"/>
      <c r="QM4" s="16">
        <v>1</v>
      </c>
      <c r="QN4" s="16">
        <v>1</v>
      </c>
      <c r="QO4" s="16"/>
      <c r="QP4" s="16"/>
      <c r="QQ4" s="16"/>
      <c r="QR4" s="16"/>
      <c r="QS4" s="16">
        <v>1</v>
      </c>
      <c r="QT4" s="16"/>
      <c r="QU4" s="16"/>
      <c r="QV4" s="16"/>
      <c r="QW4" s="16"/>
      <c r="QX4" s="16"/>
      <c r="QY4" s="16"/>
      <c r="QZ4" s="16">
        <v>166</v>
      </c>
    </row>
    <row r="5" spans="1:468">
      <c r="A5" s="18" t="s">
        <v>51</v>
      </c>
      <c r="B5" s="16"/>
      <c r="C5" s="16"/>
      <c r="D5" s="16"/>
      <c r="E5" s="16"/>
      <c r="F5" s="16"/>
      <c r="G5" s="16"/>
      <c r="H5" s="16"/>
      <c r="I5" s="16">
        <v>1</v>
      </c>
      <c r="J5" s="16">
        <v>2</v>
      </c>
      <c r="K5" s="16"/>
      <c r="L5" s="16"/>
      <c r="M5" s="16"/>
      <c r="N5" s="16"/>
      <c r="O5" s="16"/>
      <c r="P5" s="16">
        <v>1</v>
      </c>
      <c r="Q5" s="16"/>
      <c r="R5" s="16"/>
      <c r="S5" s="16">
        <v>1</v>
      </c>
      <c r="T5" s="16"/>
      <c r="U5" s="16">
        <v>1</v>
      </c>
      <c r="V5" s="16">
        <v>1</v>
      </c>
      <c r="W5" s="16"/>
      <c r="X5" s="16"/>
      <c r="Y5" s="16"/>
      <c r="Z5" s="16"/>
      <c r="AA5" s="16"/>
      <c r="AB5" s="16"/>
      <c r="AC5" s="16"/>
      <c r="AD5" s="16">
        <v>2</v>
      </c>
      <c r="AE5" s="16"/>
      <c r="AF5" s="16"/>
      <c r="AG5" s="16"/>
      <c r="AH5" s="16">
        <v>1</v>
      </c>
      <c r="AI5" s="16"/>
      <c r="AJ5" s="16">
        <v>1</v>
      </c>
      <c r="AK5" s="16"/>
      <c r="AL5" s="16"/>
      <c r="AM5" s="16">
        <v>1</v>
      </c>
      <c r="AN5" s="16">
        <v>2</v>
      </c>
      <c r="AO5" s="16"/>
      <c r="AP5" s="16"/>
      <c r="AQ5" s="16">
        <v>1</v>
      </c>
      <c r="AR5" s="16"/>
      <c r="AS5" s="16"/>
      <c r="AT5" s="16">
        <v>1</v>
      </c>
      <c r="AU5" s="16"/>
      <c r="AV5" s="16">
        <v>2</v>
      </c>
      <c r="AW5" s="16"/>
      <c r="AX5" s="16"/>
      <c r="AY5" s="16"/>
      <c r="AZ5" s="16"/>
      <c r="BA5" s="16"/>
      <c r="BB5" s="16">
        <v>1</v>
      </c>
      <c r="BC5" s="16"/>
      <c r="BD5" s="16"/>
      <c r="BE5" s="16">
        <v>2</v>
      </c>
      <c r="BF5" s="16">
        <v>1</v>
      </c>
      <c r="BG5" s="16"/>
      <c r="BH5" s="16"/>
      <c r="BI5" s="16">
        <v>1</v>
      </c>
      <c r="BJ5" s="16">
        <v>1</v>
      </c>
      <c r="BK5" s="16"/>
      <c r="BL5" s="16"/>
      <c r="BM5" s="16"/>
      <c r="BN5" s="16"/>
      <c r="BO5" s="16"/>
      <c r="BP5" s="16">
        <v>1</v>
      </c>
      <c r="BQ5" s="16">
        <v>1</v>
      </c>
      <c r="BR5" s="16"/>
      <c r="BS5" s="16"/>
      <c r="BT5" s="16"/>
      <c r="BU5" s="16">
        <v>1</v>
      </c>
      <c r="BV5" s="16"/>
      <c r="BW5" s="16"/>
      <c r="BX5" s="16"/>
      <c r="BY5" s="16">
        <v>1</v>
      </c>
      <c r="BZ5" s="16"/>
      <c r="CA5" s="16">
        <v>1</v>
      </c>
      <c r="CB5" s="16"/>
      <c r="CC5" s="16">
        <v>1</v>
      </c>
      <c r="CD5" s="16"/>
      <c r="CE5" s="16"/>
      <c r="CF5" s="16">
        <v>3</v>
      </c>
      <c r="CG5" s="16"/>
      <c r="CH5" s="16"/>
      <c r="CI5" s="16"/>
      <c r="CJ5" s="16"/>
      <c r="CK5" s="16"/>
      <c r="CL5" s="16"/>
      <c r="CM5" s="16"/>
      <c r="CN5" s="16">
        <v>1</v>
      </c>
      <c r="CO5" s="16">
        <v>2</v>
      </c>
      <c r="CP5" s="16"/>
      <c r="CQ5" s="16"/>
      <c r="CR5" s="16"/>
      <c r="CS5" s="16">
        <v>1</v>
      </c>
      <c r="CT5" s="16">
        <v>1</v>
      </c>
      <c r="CU5" s="16"/>
      <c r="CV5" s="16">
        <v>1</v>
      </c>
      <c r="CW5" s="16">
        <v>1</v>
      </c>
      <c r="CX5" s="16"/>
      <c r="CY5" s="16"/>
      <c r="CZ5" s="16"/>
      <c r="DA5" s="16">
        <v>1</v>
      </c>
      <c r="DB5" s="16"/>
      <c r="DC5" s="16"/>
      <c r="DD5" s="16"/>
      <c r="DE5" s="16"/>
      <c r="DF5" s="16"/>
      <c r="DG5" s="16"/>
      <c r="DH5" s="16"/>
      <c r="DI5" s="16">
        <v>1</v>
      </c>
      <c r="DJ5" s="16"/>
      <c r="DK5" s="16"/>
      <c r="DL5" s="16">
        <v>1</v>
      </c>
      <c r="DM5" s="16">
        <v>1</v>
      </c>
      <c r="DN5" s="16"/>
      <c r="DO5" s="16"/>
      <c r="DP5" s="16">
        <v>1</v>
      </c>
      <c r="DQ5" s="16">
        <v>1</v>
      </c>
      <c r="DR5" s="16"/>
      <c r="DS5" s="16">
        <v>1</v>
      </c>
      <c r="DT5" s="16"/>
      <c r="DU5" s="16">
        <v>1</v>
      </c>
      <c r="DV5" s="16"/>
      <c r="DW5" s="16"/>
      <c r="DX5" s="16">
        <v>1</v>
      </c>
      <c r="DY5" s="16"/>
      <c r="DZ5" s="16"/>
      <c r="EA5" s="16"/>
      <c r="EB5" s="16"/>
      <c r="EC5" s="16">
        <v>1</v>
      </c>
      <c r="ED5" s="16"/>
      <c r="EE5" s="16">
        <v>1</v>
      </c>
      <c r="EF5" s="16"/>
      <c r="EG5" s="16">
        <v>1</v>
      </c>
      <c r="EH5" s="16">
        <v>1</v>
      </c>
      <c r="EI5" s="16">
        <v>1</v>
      </c>
      <c r="EJ5" s="16"/>
      <c r="EK5" s="16"/>
      <c r="EL5" s="16"/>
      <c r="EM5" s="16"/>
      <c r="EN5" s="16">
        <v>1</v>
      </c>
      <c r="EO5" s="16"/>
      <c r="EP5" s="16"/>
      <c r="EQ5" s="16">
        <v>1</v>
      </c>
      <c r="ER5" s="16">
        <v>1</v>
      </c>
      <c r="ES5" s="16"/>
      <c r="ET5" s="16">
        <v>1</v>
      </c>
      <c r="EU5" s="16">
        <v>1</v>
      </c>
      <c r="EV5" s="16"/>
      <c r="EW5" s="16"/>
      <c r="EX5" s="16"/>
      <c r="EY5" s="16"/>
      <c r="EZ5" s="16"/>
      <c r="FA5" s="16"/>
      <c r="FB5" s="16"/>
      <c r="FC5" s="16">
        <v>1</v>
      </c>
      <c r="FD5" s="16">
        <v>1</v>
      </c>
      <c r="FE5" s="16">
        <v>1</v>
      </c>
      <c r="FF5" s="16">
        <v>1</v>
      </c>
      <c r="FG5" s="16"/>
      <c r="FH5" s="16"/>
      <c r="FI5" s="16"/>
      <c r="FJ5" s="16"/>
      <c r="FK5" s="16"/>
      <c r="FL5" s="16"/>
      <c r="FM5" s="16"/>
      <c r="FN5" s="16">
        <v>1</v>
      </c>
      <c r="FO5" s="16">
        <v>1</v>
      </c>
      <c r="FP5" s="16">
        <v>1</v>
      </c>
      <c r="FQ5" s="16"/>
      <c r="FR5" s="16"/>
      <c r="FS5" s="16"/>
      <c r="FT5" s="16">
        <v>1</v>
      </c>
      <c r="FU5" s="16"/>
      <c r="FV5" s="16"/>
      <c r="FW5" s="16"/>
      <c r="FX5" s="16"/>
      <c r="FY5" s="16">
        <v>1</v>
      </c>
      <c r="FZ5" s="16"/>
      <c r="GA5" s="16">
        <v>1</v>
      </c>
      <c r="GB5" s="16">
        <v>2</v>
      </c>
      <c r="GC5" s="16"/>
      <c r="GD5" s="16"/>
      <c r="GE5" s="16">
        <v>2</v>
      </c>
      <c r="GF5" s="16"/>
      <c r="GG5" s="16">
        <v>2</v>
      </c>
      <c r="GH5" s="16"/>
      <c r="GI5" s="16">
        <v>1</v>
      </c>
      <c r="GJ5" s="16"/>
      <c r="GK5" s="16"/>
      <c r="GL5" s="16"/>
      <c r="GM5" s="16">
        <v>1</v>
      </c>
      <c r="GN5" s="16"/>
      <c r="GO5" s="16">
        <v>1</v>
      </c>
      <c r="GP5" s="16"/>
      <c r="GQ5" s="16"/>
      <c r="GR5" s="16"/>
      <c r="GS5" s="16"/>
      <c r="GT5" s="16">
        <v>1</v>
      </c>
      <c r="GU5" s="16"/>
      <c r="GV5" s="16">
        <v>1</v>
      </c>
      <c r="GW5" s="16">
        <v>1</v>
      </c>
      <c r="GX5" s="16"/>
      <c r="GY5" s="16"/>
      <c r="GZ5" s="16"/>
      <c r="HA5" s="16">
        <v>1</v>
      </c>
      <c r="HB5" s="16"/>
      <c r="HC5" s="16">
        <v>1</v>
      </c>
      <c r="HD5" s="16"/>
      <c r="HE5" s="16"/>
      <c r="HF5" s="16">
        <v>2</v>
      </c>
      <c r="HG5" s="16">
        <v>1</v>
      </c>
      <c r="HH5" s="16"/>
      <c r="HI5" s="16"/>
      <c r="HJ5" s="16">
        <v>1</v>
      </c>
      <c r="HK5" s="16"/>
      <c r="HL5" s="16"/>
      <c r="HM5" s="16">
        <v>1</v>
      </c>
      <c r="HN5" s="16"/>
      <c r="HO5" s="16">
        <v>1</v>
      </c>
      <c r="HP5" s="16">
        <v>2</v>
      </c>
      <c r="HQ5" s="16"/>
      <c r="HR5" s="16"/>
      <c r="HS5" s="16"/>
      <c r="HT5" s="16"/>
      <c r="HU5" s="16">
        <v>1</v>
      </c>
      <c r="HV5" s="16"/>
      <c r="HW5" s="16">
        <v>2</v>
      </c>
      <c r="HX5" s="16"/>
      <c r="HY5" s="16"/>
      <c r="HZ5" s="16"/>
      <c r="IA5" s="16"/>
      <c r="IB5" s="16"/>
      <c r="IC5" s="16">
        <v>1</v>
      </c>
      <c r="ID5" s="16">
        <v>1</v>
      </c>
      <c r="IE5" s="16">
        <v>1</v>
      </c>
      <c r="IF5" s="16"/>
      <c r="IG5" s="16"/>
      <c r="IH5" s="16">
        <v>1</v>
      </c>
      <c r="II5" s="16"/>
      <c r="IJ5" s="16"/>
      <c r="IK5" s="16"/>
      <c r="IL5" s="16"/>
      <c r="IM5" s="16"/>
      <c r="IN5" s="16">
        <v>1</v>
      </c>
      <c r="IO5" s="16">
        <v>1</v>
      </c>
      <c r="IP5" s="16"/>
      <c r="IQ5" s="16"/>
      <c r="IR5" s="16"/>
      <c r="IS5" s="16">
        <v>1</v>
      </c>
      <c r="IT5" s="16">
        <v>1</v>
      </c>
      <c r="IU5" s="16">
        <v>1</v>
      </c>
      <c r="IV5" s="16"/>
      <c r="IW5" s="16"/>
      <c r="IX5" s="16"/>
      <c r="IY5" s="16">
        <v>1</v>
      </c>
      <c r="IZ5" s="16"/>
      <c r="JA5" s="16"/>
      <c r="JB5" s="16"/>
      <c r="JC5" s="16">
        <v>1</v>
      </c>
      <c r="JD5" s="16"/>
      <c r="JE5" s="16"/>
      <c r="JF5" s="16"/>
      <c r="JG5" s="16"/>
      <c r="JH5" s="16"/>
      <c r="JI5" s="16"/>
      <c r="JJ5" s="16"/>
      <c r="JK5" s="16">
        <v>1</v>
      </c>
      <c r="JL5" s="16"/>
      <c r="JM5" s="16">
        <v>1</v>
      </c>
      <c r="JN5" s="16"/>
      <c r="JO5" s="16">
        <v>1</v>
      </c>
      <c r="JP5" s="16">
        <v>2</v>
      </c>
      <c r="JQ5" s="16"/>
      <c r="JR5" s="16"/>
      <c r="JS5" s="16">
        <v>1</v>
      </c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>
        <v>1</v>
      </c>
      <c r="KJ5" s="16"/>
      <c r="KK5" s="16"/>
      <c r="KL5" s="16"/>
      <c r="KM5" s="16"/>
      <c r="KN5" s="16">
        <v>2</v>
      </c>
      <c r="KO5" s="16"/>
      <c r="KP5" s="16">
        <v>1</v>
      </c>
      <c r="KQ5" s="16"/>
      <c r="KR5" s="16"/>
      <c r="KS5" s="16"/>
      <c r="KT5" s="16"/>
      <c r="KU5" s="16"/>
      <c r="KV5" s="16"/>
      <c r="KW5" s="16">
        <v>1</v>
      </c>
      <c r="KX5" s="16">
        <v>1</v>
      </c>
      <c r="KY5" s="16">
        <v>2</v>
      </c>
      <c r="KZ5" s="16"/>
      <c r="LA5" s="16">
        <v>1</v>
      </c>
      <c r="LB5" s="16"/>
      <c r="LC5" s="16"/>
      <c r="LD5" s="16">
        <v>2</v>
      </c>
      <c r="LE5" s="16"/>
      <c r="LF5" s="16"/>
      <c r="LG5" s="16">
        <v>1</v>
      </c>
      <c r="LH5" s="16">
        <v>1</v>
      </c>
      <c r="LI5" s="16">
        <v>2</v>
      </c>
      <c r="LJ5" s="16">
        <v>1</v>
      </c>
      <c r="LK5" s="16"/>
      <c r="LL5" s="16"/>
      <c r="LM5" s="16">
        <v>1</v>
      </c>
      <c r="LN5" s="16"/>
      <c r="LO5" s="16"/>
      <c r="LP5" s="16">
        <v>1</v>
      </c>
      <c r="LQ5" s="16"/>
      <c r="LR5" s="16"/>
      <c r="LS5" s="16">
        <v>1</v>
      </c>
      <c r="LT5" s="16"/>
      <c r="LU5" s="16"/>
      <c r="LV5" s="16">
        <v>1</v>
      </c>
      <c r="LW5" s="16"/>
      <c r="LX5" s="16"/>
      <c r="LY5" s="16"/>
      <c r="LZ5" s="16"/>
      <c r="MA5" s="16"/>
      <c r="MB5" s="16"/>
      <c r="MC5" s="16">
        <v>1</v>
      </c>
      <c r="MD5" s="16"/>
      <c r="ME5" s="16">
        <v>1</v>
      </c>
      <c r="MF5" s="16">
        <v>1</v>
      </c>
      <c r="MG5" s="16"/>
      <c r="MH5" s="16"/>
      <c r="MI5" s="16"/>
      <c r="MJ5" s="16"/>
      <c r="MK5" s="16"/>
      <c r="ML5" s="16"/>
      <c r="MM5" s="16"/>
      <c r="MN5" s="16"/>
      <c r="MO5" s="16"/>
      <c r="MP5" s="16">
        <v>1</v>
      </c>
      <c r="MQ5" s="16">
        <v>1</v>
      </c>
      <c r="MR5" s="16">
        <v>2</v>
      </c>
      <c r="MS5" s="16">
        <v>2</v>
      </c>
      <c r="MT5" s="16">
        <v>1</v>
      </c>
      <c r="MU5" s="16">
        <v>1</v>
      </c>
      <c r="MV5" s="16">
        <v>1</v>
      </c>
      <c r="MW5" s="16"/>
      <c r="MX5" s="16"/>
      <c r="MY5" s="16"/>
      <c r="MZ5" s="16"/>
      <c r="NA5" s="16"/>
      <c r="NB5" s="16">
        <v>1</v>
      </c>
      <c r="NC5" s="16">
        <v>1</v>
      </c>
      <c r="ND5" s="16"/>
      <c r="NE5" s="16"/>
      <c r="NF5" s="16"/>
      <c r="NG5" s="16">
        <v>1</v>
      </c>
      <c r="NH5" s="16">
        <v>1</v>
      </c>
      <c r="NI5" s="16"/>
      <c r="NJ5" s="16">
        <v>1</v>
      </c>
      <c r="NK5" s="16"/>
      <c r="NL5" s="16"/>
      <c r="NM5" s="16"/>
      <c r="NN5" s="16">
        <v>1</v>
      </c>
      <c r="NO5" s="16"/>
      <c r="NP5" s="16"/>
      <c r="NQ5" s="16">
        <v>3</v>
      </c>
      <c r="NR5" s="16">
        <v>2</v>
      </c>
      <c r="NS5" s="16"/>
      <c r="NT5" s="16">
        <v>1</v>
      </c>
      <c r="NU5" s="16"/>
      <c r="NV5" s="16"/>
      <c r="NW5" s="16">
        <v>2</v>
      </c>
      <c r="NX5" s="16">
        <v>1</v>
      </c>
      <c r="NY5" s="16">
        <v>1</v>
      </c>
      <c r="NZ5" s="16">
        <v>2</v>
      </c>
      <c r="OA5" s="16">
        <v>1</v>
      </c>
      <c r="OB5" s="16"/>
      <c r="OC5" s="16"/>
      <c r="OD5" s="16"/>
      <c r="OE5" s="16"/>
      <c r="OF5" s="16"/>
      <c r="OG5" s="16"/>
      <c r="OH5" s="16"/>
      <c r="OI5" s="16">
        <v>1</v>
      </c>
      <c r="OJ5" s="16"/>
      <c r="OK5" s="16"/>
      <c r="OL5" s="16">
        <v>1</v>
      </c>
      <c r="OM5" s="16"/>
      <c r="ON5" s="16"/>
      <c r="OO5" s="16"/>
      <c r="OP5" s="16"/>
      <c r="OQ5" s="16"/>
      <c r="OR5" s="16">
        <v>1</v>
      </c>
      <c r="OS5" s="16"/>
      <c r="OT5" s="16"/>
      <c r="OU5" s="16"/>
      <c r="OV5" s="16"/>
      <c r="OW5" s="16"/>
      <c r="OX5" s="16"/>
      <c r="OY5" s="16"/>
      <c r="OZ5" s="16">
        <v>1</v>
      </c>
      <c r="PA5" s="16"/>
      <c r="PB5" s="16"/>
      <c r="PC5" s="16"/>
      <c r="PD5" s="16">
        <v>1</v>
      </c>
      <c r="PE5" s="16"/>
      <c r="PF5" s="16"/>
      <c r="PG5" s="16">
        <v>1</v>
      </c>
      <c r="PH5" s="16"/>
      <c r="PI5" s="16"/>
      <c r="PJ5" s="16"/>
      <c r="PK5" s="16"/>
      <c r="PL5" s="16"/>
      <c r="PM5" s="16"/>
      <c r="PN5" s="16"/>
      <c r="PO5" s="16">
        <v>1</v>
      </c>
      <c r="PP5" s="16"/>
      <c r="PQ5" s="16"/>
      <c r="PR5" s="16"/>
      <c r="PS5" s="16"/>
      <c r="PT5" s="16"/>
      <c r="PU5" s="16"/>
      <c r="PV5" s="16"/>
      <c r="PW5" s="16"/>
      <c r="PX5" s="16"/>
      <c r="PY5" s="16">
        <v>1</v>
      </c>
      <c r="PZ5" s="16"/>
      <c r="QA5" s="16"/>
      <c r="QB5" s="16">
        <v>1</v>
      </c>
      <c r="QC5" s="16"/>
      <c r="QD5" s="16">
        <v>2</v>
      </c>
      <c r="QE5" s="16"/>
      <c r="QF5" s="16"/>
      <c r="QG5" s="16">
        <v>1</v>
      </c>
      <c r="QH5" s="16"/>
      <c r="QI5" s="16"/>
      <c r="QJ5" s="16">
        <v>1</v>
      </c>
      <c r="QK5" s="16"/>
      <c r="QL5" s="16">
        <v>1</v>
      </c>
      <c r="QM5" s="16"/>
      <c r="QN5" s="16">
        <v>1</v>
      </c>
      <c r="QO5" s="16"/>
      <c r="QP5" s="16"/>
      <c r="QQ5" s="16"/>
      <c r="QR5" s="16"/>
      <c r="QS5" s="16"/>
      <c r="QT5" s="16">
        <v>1</v>
      </c>
      <c r="QU5" s="16">
        <v>1</v>
      </c>
      <c r="QV5" s="16"/>
      <c r="QW5" s="16"/>
      <c r="QX5" s="16">
        <v>2</v>
      </c>
      <c r="QY5" s="16"/>
      <c r="QZ5" s="16">
        <v>181</v>
      </c>
    </row>
    <row r="6" spans="1:468">
      <c r="A6" s="18" t="s">
        <v>36</v>
      </c>
      <c r="B6" s="16"/>
      <c r="C6" s="16"/>
      <c r="D6" s="16">
        <v>1</v>
      </c>
      <c r="E6" s="16">
        <v>1</v>
      </c>
      <c r="F6" s="16">
        <v>3</v>
      </c>
      <c r="G6" s="16"/>
      <c r="H6" s="16">
        <v>1</v>
      </c>
      <c r="I6" s="16"/>
      <c r="J6" s="16"/>
      <c r="K6" s="16"/>
      <c r="L6" s="16"/>
      <c r="M6" s="16">
        <v>1</v>
      </c>
      <c r="N6" s="16">
        <v>1</v>
      </c>
      <c r="O6" s="16"/>
      <c r="P6" s="16"/>
      <c r="Q6" s="16">
        <v>1</v>
      </c>
      <c r="R6" s="16"/>
      <c r="S6" s="16"/>
      <c r="T6" s="16"/>
      <c r="U6" s="16"/>
      <c r="V6" s="16"/>
      <c r="W6" s="16">
        <v>2</v>
      </c>
      <c r="X6" s="16">
        <v>1</v>
      </c>
      <c r="Y6" s="16"/>
      <c r="Z6" s="16">
        <v>2</v>
      </c>
      <c r="AA6" s="16"/>
      <c r="AB6" s="16">
        <v>1</v>
      </c>
      <c r="AC6" s="16"/>
      <c r="AD6" s="16"/>
      <c r="AE6" s="16">
        <v>1</v>
      </c>
      <c r="AF6" s="16"/>
      <c r="AG6" s="16"/>
      <c r="AH6" s="16"/>
      <c r="AI6" s="16"/>
      <c r="AJ6" s="16"/>
      <c r="AK6" s="16"/>
      <c r="AL6" s="16">
        <v>1</v>
      </c>
      <c r="AM6" s="16"/>
      <c r="AN6" s="16"/>
      <c r="AO6" s="16"/>
      <c r="AP6" s="16"/>
      <c r="AQ6" s="16"/>
      <c r="AR6" s="16"/>
      <c r="AS6" s="16">
        <v>1</v>
      </c>
      <c r="AT6" s="16"/>
      <c r="AU6" s="16">
        <v>1</v>
      </c>
      <c r="AV6" s="16"/>
      <c r="AW6" s="16"/>
      <c r="AX6" s="16"/>
      <c r="AY6" s="16"/>
      <c r="AZ6" s="16"/>
      <c r="BA6" s="16"/>
      <c r="BB6" s="16">
        <v>1</v>
      </c>
      <c r="BC6" s="16">
        <v>1</v>
      </c>
      <c r="BD6" s="16">
        <v>1</v>
      </c>
      <c r="BE6" s="16"/>
      <c r="BF6" s="16"/>
      <c r="BG6" s="16">
        <v>1</v>
      </c>
      <c r="BH6" s="16"/>
      <c r="BI6" s="16"/>
      <c r="BJ6" s="16">
        <v>1</v>
      </c>
      <c r="BK6" s="16"/>
      <c r="BL6" s="16"/>
      <c r="BM6" s="16">
        <v>1</v>
      </c>
      <c r="BN6" s="16"/>
      <c r="BO6" s="16"/>
      <c r="BP6" s="16"/>
      <c r="BQ6" s="16">
        <v>1</v>
      </c>
      <c r="BR6" s="16"/>
      <c r="BS6" s="16"/>
      <c r="BT6" s="16"/>
      <c r="BU6" s="16"/>
      <c r="BV6" s="16"/>
      <c r="BW6" s="16"/>
      <c r="BX6" s="16">
        <v>1</v>
      </c>
      <c r="BY6" s="16">
        <v>1</v>
      </c>
      <c r="BZ6" s="16"/>
      <c r="CA6" s="16">
        <v>1</v>
      </c>
      <c r="CB6" s="16">
        <v>1</v>
      </c>
      <c r="CC6" s="16"/>
      <c r="CD6" s="16"/>
      <c r="CE6" s="16"/>
      <c r="CF6" s="16"/>
      <c r="CG6" s="16"/>
      <c r="CH6" s="16"/>
      <c r="CI6" s="16"/>
      <c r="CJ6" s="16"/>
      <c r="CK6" s="16">
        <v>1</v>
      </c>
      <c r="CL6" s="16"/>
      <c r="CM6" s="16"/>
      <c r="CN6" s="16">
        <v>2</v>
      </c>
      <c r="CO6" s="16"/>
      <c r="CP6" s="16">
        <v>1</v>
      </c>
      <c r="CQ6" s="16">
        <v>1</v>
      </c>
      <c r="CR6" s="16">
        <v>1</v>
      </c>
      <c r="CS6" s="16">
        <v>1</v>
      </c>
      <c r="CT6" s="16"/>
      <c r="CU6" s="16"/>
      <c r="CV6" s="16"/>
      <c r="CW6" s="16"/>
      <c r="CX6" s="16">
        <v>1</v>
      </c>
      <c r="CY6" s="16"/>
      <c r="CZ6" s="16"/>
      <c r="DA6" s="16">
        <v>1</v>
      </c>
      <c r="DB6" s="16"/>
      <c r="DC6" s="16"/>
      <c r="DD6" s="16"/>
      <c r="DE6" s="16">
        <v>1</v>
      </c>
      <c r="DF6" s="16"/>
      <c r="DG6" s="16"/>
      <c r="DH6" s="16"/>
      <c r="DI6" s="16"/>
      <c r="DJ6" s="16">
        <v>1</v>
      </c>
      <c r="DK6" s="16"/>
      <c r="DL6" s="16"/>
      <c r="DM6" s="16"/>
      <c r="DN6" s="16">
        <v>1</v>
      </c>
      <c r="DO6" s="16"/>
      <c r="DP6" s="16"/>
      <c r="DQ6" s="16">
        <v>2</v>
      </c>
      <c r="DR6" s="16">
        <v>1</v>
      </c>
      <c r="DS6" s="16"/>
      <c r="DT6" s="16">
        <v>1</v>
      </c>
      <c r="DU6" s="16"/>
      <c r="DV6" s="16"/>
      <c r="DW6" s="16">
        <v>2</v>
      </c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>
        <v>1</v>
      </c>
      <c r="EJ6" s="16"/>
      <c r="EK6" s="16"/>
      <c r="EL6" s="16"/>
      <c r="EM6" s="16"/>
      <c r="EN6" s="16">
        <v>1</v>
      </c>
      <c r="EO6" s="16">
        <v>1</v>
      </c>
      <c r="EP6" s="16"/>
      <c r="EQ6" s="16"/>
      <c r="ER6" s="16">
        <v>1</v>
      </c>
      <c r="ES6" s="16">
        <v>1</v>
      </c>
      <c r="ET6" s="16">
        <v>1</v>
      </c>
      <c r="EU6" s="16"/>
      <c r="EV6" s="16"/>
      <c r="EW6" s="16"/>
      <c r="EX6" s="16"/>
      <c r="EY6" s="16"/>
      <c r="EZ6" s="16"/>
      <c r="FA6" s="16"/>
      <c r="FB6" s="16">
        <v>1</v>
      </c>
      <c r="FC6" s="16"/>
      <c r="FD6" s="16">
        <v>2</v>
      </c>
      <c r="FE6" s="16">
        <v>1</v>
      </c>
      <c r="FF6" s="16"/>
      <c r="FG6" s="16">
        <v>2</v>
      </c>
      <c r="FH6" s="16"/>
      <c r="FI6" s="16"/>
      <c r="FJ6" s="16">
        <v>1</v>
      </c>
      <c r="FK6" s="16"/>
      <c r="FL6" s="16">
        <v>1</v>
      </c>
      <c r="FM6" s="16"/>
      <c r="FN6" s="16"/>
      <c r="FO6" s="16">
        <v>2</v>
      </c>
      <c r="FP6" s="16"/>
      <c r="FQ6" s="16"/>
      <c r="FR6" s="16"/>
      <c r="FS6" s="16"/>
      <c r="FT6" s="16">
        <v>1</v>
      </c>
      <c r="FU6" s="16">
        <v>1</v>
      </c>
      <c r="FV6" s="16">
        <v>1</v>
      </c>
      <c r="FW6" s="16"/>
      <c r="FX6" s="16">
        <v>1</v>
      </c>
      <c r="FY6" s="16">
        <v>2</v>
      </c>
      <c r="FZ6" s="16">
        <v>2</v>
      </c>
      <c r="GA6" s="16"/>
      <c r="GB6" s="16"/>
      <c r="GC6" s="16"/>
      <c r="GD6" s="16"/>
      <c r="GE6" s="16"/>
      <c r="GF6" s="16">
        <v>2</v>
      </c>
      <c r="GG6" s="16"/>
      <c r="GH6" s="16"/>
      <c r="GI6" s="16"/>
      <c r="GJ6" s="16">
        <v>1</v>
      </c>
      <c r="GK6" s="16">
        <v>1</v>
      </c>
      <c r="GL6" s="16"/>
      <c r="GM6" s="16"/>
      <c r="GN6" s="16"/>
      <c r="GO6" s="16"/>
      <c r="GP6" s="16"/>
      <c r="GQ6" s="16"/>
      <c r="GR6" s="16"/>
      <c r="GS6" s="16">
        <v>2</v>
      </c>
      <c r="GT6" s="16"/>
      <c r="GU6" s="16">
        <v>1</v>
      </c>
      <c r="GV6" s="16"/>
      <c r="GW6" s="16">
        <v>1</v>
      </c>
      <c r="GX6" s="16"/>
      <c r="GY6" s="16"/>
      <c r="GZ6" s="16"/>
      <c r="HA6" s="16"/>
      <c r="HB6" s="16"/>
      <c r="HC6" s="16"/>
      <c r="HD6" s="16"/>
      <c r="HE6" s="16">
        <v>2</v>
      </c>
      <c r="HF6" s="16">
        <v>1</v>
      </c>
      <c r="HG6" s="16"/>
      <c r="HH6" s="16">
        <v>2</v>
      </c>
      <c r="HI6" s="16">
        <v>1</v>
      </c>
      <c r="HJ6" s="16">
        <v>2</v>
      </c>
      <c r="HK6" s="16">
        <v>2</v>
      </c>
      <c r="HL6" s="16"/>
      <c r="HM6" s="16"/>
      <c r="HN6" s="16"/>
      <c r="HO6" s="16"/>
      <c r="HP6" s="16"/>
      <c r="HQ6" s="16"/>
      <c r="HR6" s="16"/>
      <c r="HS6" s="16">
        <v>1</v>
      </c>
      <c r="HT6" s="16"/>
      <c r="HU6" s="16"/>
      <c r="HV6" s="16"/>
      <c r="HW6" s="16"/>
      <c r="HX6" s="16"/>
      <c r="HY6" s="16">
        <v>1</v>
      </c>
      <c r="HZ6" s="16"/>
      <c r="IA6" s="16"/>
      <c r="IB6" s="16"/>
      <c r="IC6" s="16"/>
      <c r="ID6" s="16"/>
      <c r="IE6" s="16">
        <v>1</v>
      </c>
      <c r="IF6" s="16">
        <v>1</v>
      </c>
      <c r="IG6" s="16"/>
      <c r="IH6" s="16"/>
      <c r="II6" s="16">
        <v>1</v>
      </c>
      <c r="IJ6" s="16"/>
      <c r="IK6" s="16"/>
      <c r="IL6" s="16">
        <v>1</v>
      </c>
      <c r="IM6" s="16"/>
      <c r="IN6" s="16"/>
      <c r="IO6" s="16"/>
      <c r="IP6" s="16"/>
      <c r="IQ6" s="16">
        <v>1</v>
      </c>
      <c r="IR6" s="16">
        <v>1</v>
      </c>
      <c r="IS6" s="16"/>
      <c r="IT6" s="16">
        <v>1</v>
      </c>
      <c r="IU6" s="16"/>
      <c r="IV6" s="16"/>
      <c r="IW6" s="16">
        <v>1</v>
      </c>
      <c r="IX6" s="16"/>
      <c r="IY6" s="16">
        <v>1</v>
      </c>
      <c r="IZ6" s="16">
        <v>2</v>
      </c>
      <c r="JA6" s="16">
        <v>2</v>
      </c>
      <c r="JB6" s="16"/>
      <c r="JC6" s="16"/>
      <c r="JD6" s="16"/>
      <c r="JE6" s="16"/>
      <c r="JF6" s="16">
        <v>1</v>
      </c>
      <c r="JG6" s="16"/>
      <c r="JH6" s="16"/>
      <c r="JI6" s="16"/>
      <c r="JJ6" s="16">
        <v>1</v>
      </c>
      <c r="JK6" s="16"/>
      <c r="JL6" s="16">
        <v>1</v>
      </c>
      <c r="JM6" s="16"/>
      <c r="JN6" s="16"/>
      <c r="JO6" s="16"/>
      <c r="JP6" s="16"/>
      <c r="JQ6" s="16"/>
      <c r="JR6" s="16"/>
      <c r="JS6" s="16"/>
      <c r="JT6" s="16"/>
      <c r="JU6" s="16">
        <v>1</v>
      </c>
      <c r="JV6" s="16">
        <v>1</v>
      </c>
      <c r="JW6" s="16">
        <v>1</v>
      </c>
      <c r="JX6" s="16">
        <v>2</v>
      </c>
      <c r="JY6" s="16"/>
      <c r="JZ6" s="16">
        <v>2</v>
      </c>
      <c r="KA6" s="16"/>
      <c r="KB6" s="16"/>
      <c r="KC6" s="16"/>
      <c r="KD6" s="16">
        <v>1</v>
      </c>
      <c r="KE6" s="16">
        <v>1</v>
      </c>
      <c r="KF6" s="16">
        <v>1</v>
      </c>
      <c r="KG6" s="16"/>
      <c r="KH6" s="16"/>
      <c r="KI6" s="16"/>
      <c r="KJ6" s="16"/>
      <c r="KK6" s="16"/>
      <c r="KL6" s="16">
        <v>1</v>
      </c>
      <c r="KM6" s="16"/>
      <c r="KN6" s="16">
        <v>1</v>
      </c>
      <c r="KO6" s="16"/>
      <c r="KP6" s="16">
        <v>2</v>
      </c>
      <c r="KQ6" s="16">
        <v>1</v>
      </c>
      <c r="KR6" s="16">
        <v>1</v>
      </c>
      <c r="KS6" s="16"/>
      <c r="KT6" s="16"/>
      <c r="KU6" s="16"/>
      <c r="KV6" s="16">
        <v>1</v>
      </c>
      <c r="KW6" s="16"/>
      <c r="KX6" s="16"/>
      <c r="KY6" s="16"/>
      <c r="KZ6" s="16"/>
      <c r="LA6" s="16"/>
      <c r="LB6" s="16"/>
      <c r="LC6" s="16"/>
      <c r="LD6" s="16">
        <v>1</v>
      </c>
      <c r="LE6" s="16"/>
      <c r="LF6" s="16"/>
      <c r="LG6" s="16"/>
      <c r="LH6" s="16">
        <v>1</v>
      </c>
      <c r="LI6" s="16"/>
      <c r="LJ6" s="16"/>
      <c r="LK6" s="16"/>
      <c r="LL6" s="16"/>
      <c r="LM6" s="16"/>
      <c r="LN6" s="16"/>
      <c r="LO6" s="16">
        <v>1</v>
      </c>
      <c r="LP6" s="16">
        <v>1</v>
      </c>
      <c r="LQ6" s="16">
        <v>1</v>
      </c>
      <c r="LR6" s="16"/>
      <c r="LS6" s="16"/>
      <c r="LT6" s="16"/>
      <c r="LU6" s="16"/>
      <c r="LV6" s="16"/>
      <c r="LW6" s="16"/>
      <c r="LX6" s="16">
        <v>1</v>
      </c>
      <c r="LY6" s="16">
        <v>1</v>
      </c>
      <c r="LZ6" s="16">
        <v>1</v>
      </c>
      <c r="MA6" s="16"/>
      <c r="MB6" s="16"/>
      <c r="MC6" s="16"/>
      <c r="MD6" s="16">
        <v>1</v>
      </c>
      <c r="ME6" s="16"/>
      <c r="MF6" s="16">
        <v>1</v>
      </c>
      <c r="MG6" s="16"/>
      <c r="MH6" s="16"/>
      <c r="MI6" s="16"/>
      <c r="MJ6" s="16">
        <v>1</v>
      </c>
      <c r="MK6" s="16">
        <v>1</v>
      </c>
      <c r="ML6" s="16"/>
      <c r="MM6" s="16">
        <v>1</v>
      </c>
      <c r="MN6" s="16"/>
      <c r="MO6" s="16">
        <v>1</v>
      </c>
      <c r="MP6" s="16"/>
      <c r="MQ6" s="16"/>
      <c r="MR6" s="16"/>
      <c r="MS6" s="16"/>
      <c r="MT6" s="16"/>
      <c r="MU6" s="16"/>
      <c r="MV6" s="16">
        <v>1</v>
      </c>
      <c r="MW6" s="16">
        <v>1</v>
      </c>
      <c r="MX6" s="16"/>
      <c r="MY6" s="16"/>
      <c r="MZ6" s="16">
        <v>1</v>
      </c>
      <c r="NA6" s="16"/>
      <c r="NB6" s="16"/>
      <c r="NC6" s="16">
        <v>1</v>
      </c>
      <c r="ND6" s="16"/>
      <c r="NE6" s="16">
        <v>1</v>
      </c>
      <c r="NF6" s="16"/>
      <c r="NG6" s="16">
        <v>1</v>
      </c>
      <c r="NH6" s="16"/>
      <c r="NI6" s="16">
        <v>1</v>
      </c>
      <c r="NJ6" s="16"/>
      <c r="NK6" s="16"/>
      <c r="NL6" s="16">
        <v>1</v>
      </c>
      <c r="NM6" s="16">
        <v>1</v>
      </c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>
        <v>2</v>
      </c>
      <c r="OA6" s="16"/>
      <c r="OB6" s="16"/>
      <c r="OC6" s="16">
        <v>1</v>
      </c>
      <c r="OD6" s="16">
        <v>1</v>
      </c>
      <c r="OE6" s="16">
        <v>2</v>
      </c>
      <c r="OF6" s="16"/>
      <c r="OG6" s="16"/>
      <c r="OH6" s="16">
        <v>2</v>
      </c>
      <c r="OI6" s="16">
        <v>2</v>
      </c>
      <c r="OJ6" s="16"/>
      <c r="OK6" s="16"/>
      <c r="OL6" s="16"/>
      <c r="OM6" s="16"/>
      <c r="ON6" s="16"/>
      <c r="OO6" s="16">
        <v>1</v>
      </c>
      <c r="OP6" s="16"/>
      <c r="OQ6" s="16"/>
      <c r="OR6" s="16"/>
      <c r="OS6" s="16"/>
      <c r="OT6" s="16">
        <v>1</v>
      </c>
      <c r="OU6" s="16"/>
      <c r="OV6" s="16"/>
      <c r="OW6" s="16"/>
      <c r="OX6" s="16">
        <v>1</v>
      </c>
      <c r="OY6" s="16"/>
      <c r="OZ6" s="16"/>
      <c r="PA6" s="16"/>
      <c r="PB6" s="16"/>
      <c r="PC6" s="16"/>
      <c r="PD6" s="16">
        <v>1</v>
      </c>
      <c r="PE6" s="16">
        <v>2</v>
      </c>
      <c r="PF6" s="16"/>
      <c r="PG6" s="16"/>
      <c r="PH6" s="16">
        <v>1</v>
      </c>
      <c r="PI6" s="16"/>
      <c r="PJ6" s="16">
        <v>1</v>
      </c>
      <c r="PK6" s="16"/>
      <c r="PL6" s="16">
        <v>1</v>
      </c>
      <c r="PM6" s="16">
        <v>2</v>
      </c>
      <c r="PN6" s="16"/>
      <c r="PO6" s="16"/>
      <c r="PP6" s="16"/>
      <c r="PQ6" s="16">
        <v>1</v>
      </c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>
        <v>1</v>
      </c>
      <c r="QE6" s="16"/>
      <c r="QF6" s="16"/>
      <c r="QG6" s="16"/>
      <c r="QH6" s="16">
        <v>1</v>
      </c>
      <c r="QI6" s="16"/>
      <c r="QJ6" s="16"/>
      <c r="QK6" s="16"/>
      <c r="QL6" s="16">
        <v>1</v>
      </c>
      <c r="QM6" s="16"/>
      <c r="QN6" s="16"/>
      <c r="QO6" s="16">
        <v>1</v>
      </c>
      <c r="QP6" s="16"/>
      <c r="QQ6" s="16">
        <v>1</v>
      </c>
      <c r="QR6" s="16"/>
      <c r="QS6" s="16">
        <v>2</v>
      </c>
      <c r="QT6" s="16"/>
      <c r="QU6" s="16"/>
      <c r="QV6" s="16"/>
      <c r="QW6" s="16">
        <v>2</v>
      </c>
      <c r="QX6" s="16"/>
      <c r="QY6" s="16"/>
      <c r="QZ6" s="16">
        <v>179</v>
      </c>
    </row>
    <row r="7" spans="1:468">
      <c r="A7" s="18" t="s">
        <v>22</v>
      </c>
      <c r="B7" s="16"/>
      <c r="C7" s="16">
        <v>1</v>
      </c>
      <c r="D7" s="16"/>
      <c r="E7" s="16"/>
      <c r="F7" s="16"/>
      <c r="G7" s="16">
        <v>1</v>
      </c>
      <c r="H7" s="16"/>
      <c r="I7" s="16"/>
      <c r="J7" s="16">
        <v>1</v>
      </c>
      <c r="K7" s="16"/>
      <c r="L7" s="16">
        <v>1</v>
      </c>
      <c r="M7" s="16"/>
      <c r="N7" s="16"/>
      <c r="O7" s="16">
        <v>1</v>
      </c>
      <c r="P7" s="16"/>
      <c r="Q7" s="16"/>
      <c r="R7" s="16">
        <v>2</v>
      </c>
      <c r="S7" s="16"/>
      <c r="T7" s="16">
        <v>1</v>
      </c>
      <c r="U7" s="16"/>
      <c r="V7" s="16"/>
      <c r="W7" s="16"/>
      <c r="X7" s="16"/>
      <c r="Y7" s="16"/>
      <c r="Z7" s="16"/>
      <c r="AA7" s="16">
        <v>1</v>
      </c>
      <c r="AB7" s="16">
        <v>2</v>
      </c>
      <c r="AC7" s="16">
        <v>1</v>
      </c>
      <c r="AD7" s="16">
        <v>1</v>
      </c>
      <c r="AE7" s="16"/>
      <c r="AF7" s="16"/>
      <c r="AG7" s="16"/>
      <c r="AH7" s="16">
        <v>2</v>
      </c>
      <c r="AI7" s="16"/>
      <c r="AJ7" s="16"/>
      <c r="AK7" s="16"/>
      <c r="AL7" s="16">
        <v>1</v>
      </c>
      <c r="AM7" s="16"/>
      <c r="AN7" s="16"/>
      <c r="AO7" s="16">
        <v>1</v>
      </c>
      <c r="AP7" s="16"/>
      <c r="AQ7" s="16"/>
      <c r="AR7" s="16"/>
      <c r="AS7" s="16"/>
      <c r="AT7" s="16"/>
      <c r="AU7" s="16"/>
      <c r="AV7" s="16"/>
      <c r="AW7" s="16">
        <v>1</v>
      </c>
      <c r="AX7" s="16"/>
      <c r="AY7" s="16">
        <v>1</v>
      </c>
      <c r="AZ7" s="16"/>
      <c r="BA7" s="16"/>
      <c r="BB7" s="16"/>
      <c r="BC7" s="16"/>
      <c r="BD7" s="16"/>
      <c r="BE7" s="16">
        <v>1</v>
      </c>
      <c r="BF7" s="16">
        <v>2</v>
      </c>
      <c r="BG7" s="16">
        <v>1</v>
      </c>
      <c r="BH7" s="16">
        <v>2</v>
      </c>
      <c r="BI7" s="16"/>
      <c r="BJ7" s="16">
        <v>2</v>
      </c>
      <c r="BK7" s="16">
        <v>1</v>
      </c>
      <c r="BL7" s="16">
        <v>1</v>
      </c>
      <c r="BM7" s="16"/>
      <c r="BN7" s="16">
        <v>1</v>
      </c>
      <c r="BO7" s="16">
        <v>1</v>
      </c>
      <c r="BP7" s="16">
        <v>1</v>
      </c>
      <c r="BQ7" s="16"/>
      <c r="BR7" s="16"/>
      <c r="BS7" s="16"/>
      <c r="BT7" s="16"/>
      <c r="BU7" s="16">
        <v>1</v>
      </c>
      <c r="BV7" s="16"/>
      <c r="BW7" s="16"/>
      <c r="BX7" s="16"/>
      <c r="BY7" s="16">
        <v>2</v>
      </c>
      <c r="BZ7" s="16">
        <v>1</v>
      </c>
      <c r="CA7" s="16"/>
      <c r="CB7" s="16"/>
      <c r="CC7" s="16"/>
      <c r="CD7" s="16"/>
      <c r="CE7" s="16"/>
      <c r="CF7" s="16"/>
      <c r="CG7" s="16"/>
      <c r="CH7" s="16"/>
      <c r="CI7" s="16"/>
      <c r="CJ7" s="16">
        <v>1</v>
      </c>
      <c r="CK7" s="16">
        <v>1</v>
      </c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>
        <v>1</v>
      </c>
      <c r="CW7" s="16"/>
      <c r="CX7" s="16">
        <v>1</v>
      </c>
      <c r="CY7" s="16">
        <v>2</v>
      </c>
      <c r="CZ7" s="16"/>
      <c r="DA7" s="16">
        <v>1</v>
      </c>
      <c r="DB7" s="16"/>
      <c r="DC7" s="16">
        <v>2</v>
      </c>
      <c r="DD7" s="16">
        <v>1</v>
      </c>
      <c r="DE7" s="16"/>
      <c r="DF7" s="16"/>
      <c r="DG7" s="16">
        <v>1</v>
      </c>
      <c r="DH7" s="16">
        <v>2</v>
      </c>
      <c r="DI7" s="16"/>
      <c r="DJ7" s="16"/>
      <c r="DK7" s="16">
        <v>1</v>
      </c>
      <c r="DL7" s="16"/>
      <c r="DM7" s="16">
        <v>1</v>
      </c>
      <c r="DN7" s="16"/>
      <c r="DO7" s="16">
        <v>1</v>
      </c>
      <c r="DP7" s="16"/>
      <c r="DQ7" s="16"/>
      <c r="DR7" s="16"/>
      <c r="DS7" s="16"/>
      <c r="DT7" s="16"/>
      <c r="DU7" s="16">
        <v>1</v>
      </c>
      <c r="DV7" s="16">
        <v>1</v>
      </c>
      <c r="DW7" s="16"/>
      <c r="DX7" s="16"/>
      <c r="DY7" s="16">
        <v>2</v>
      </c>
      <c r="DZ7" s="16">
        <v>2</v>
      </c>
      <c r="EA7" s="16">
        <v>1</v>
      </c>
      <c r="EB7" s="16">
        <v>2</v>
      </c>
      <c r="EC7" s="16"/>
      <c r="ED7" s="16">
        <v>1</v>
      </c>
      <c r="EE7" s="16"/>
      <c r="EF7" s="16"/>
      <c r="EG7" s="16">
        <v>1</v>
      </c>
      <c r="EH7" s="16">
        <v>1</v>
      </c>
      <c r="EI7" s="16"/>
      <c r="EJ7" s="16">
        <v>1</v>
      </c>
      <c r="EK7" s="16">
        <v>1</v>
      </c>
      <c r="EL7" s="16"/>
      <c r="EM7" s="16"/>
      <c r="EN7" s="16"/>
      <c r="EO7" s="16"/>
      <c r="EP7" s="16"/>
      <c r="EQ7" s="16"/>
      <c r="ER7" s="16"/>
      <c r="ES7" s="16"/>
      <c r="ET7" s="16">
        <v>1</v>
      </c>
      <c r="EU7" s="16"/>
      <c r="EV7" s="16"/>
      <c r="EW7" s="16"/>
      <c r="EX7" s="16"/>
      <c r="EY7" s="16"/>
      <c r="EZ7" s="16">
        <v>1</v>
      </c>
      <c r="FA7" s="16"/>
      <c r="FB7" s="16"/>
      <c r="FC7" s="16">
        <v>1</v>
      </c>
      <c r="FD7" s="16"/>
      <c r="FE7" s="16"/>
      <c r="FF7" s="16"/>
      <c r="FG7" s="16">
        <v>1</v>
      </c>
      <c r="FH7" s="16"/>
      <c r="FI7" s="16"/>
      <c r="FJ7" s="16"/>
      <c r="FK7" s="16"/>
      <c r="FL7" s="16"/>
      <c r="FM7" s="16">
        <v>1</v>
      </c>
      <c r="FN7" s="16"/>
      <c r="FO7" s="16"/>
      <c r="FP7" s="16">
        <v>1</v>
      </c>
      <c r="FQ7" s="16"/>
      <c r="FR7" s="16">
        <v>1</v>
      </c>
      <c r="FS7" s="16"/>
      <c r="FT7" s="16"/>
      <c r="FU7" s="16">
        <v>1</v>
      </c>
      <c r="FV7" s="16">
        <v>1</v>
      </c>
      <c r="FW7" s="16"/>
      <c r="FX7" s="16"/>
      <c r="FY7" s="16"/>
      <c r="FZ7" s="16"/>
      <c r="GA7" s="16"/>
      <c r="GB7" s="16"/>
      <c r="GC7" s="16"/>
      <c r="GD7" s="16">
        <v>1</v>
      </c>
      <c r="GE7" s="16"/>
      <c r="GF7" s="16">
        <v>1</v>
      </c>
      <c r="GG7" s="16"/>
      <c r="GH7" s="16">
        <v>1</v>
      </c>
      <c r="GI7" s="16"/>
      <c r="GJ7" s="16"/>
      <c r="GK7" s="16">
        <v>1</v>
      </c>
      <c r="GL7" s="16"/>
      <c r="GM7" s="16"/>
      <c r="GN7" s="16">
        <v>1</v>
      </c>
      <c r="GO7" s="16"/>
      <c r="GP7" s="16"/>
      <c r="GQ7" s="16">
        <v>1</v>
      </c>
      <c r="GR7" s="16">
        <v>1</v>
      </c>
      <c r="GS7" s="16"/>
      <c r="GT7" s="16"/>
      <c r="GU7" s="16"/>
      <c r="GV7" s="16">
        <v>1</v>
      </c>
      <c r="GW7" s="16">
        <v>1</v>
      </c>
      <c r="GX7" s="16">
        <v>3</v>
      </c>
      <c r="GY7" s="16">
        <v>1</v>
      </c>
      <c r="GZ7" s="16">
        <v>2</v>
      </c>
      <c r="HA7" s="16">
        <v>1</v>
      </c>
      <c r="HB7" s="16">
        <v>1</v>
      </c>
      <c r="HC7" s="16"/>
      <c r="HD7" s="16"/>
      <c r="HE7" s="16">
        <v>2</v>
      </c>
      <c r="HF7" s="16">
        <v>1</v>
      </c>
      <c r="HG7" s="16">
        <v>1</v>
      </c>
      <c r="HH7" s="16"/>
      <c r="HI7" s="16"/>
      <c r="HJ7" s="16"/>
      <c r="HK7" s="16"/>
      <c r="HL7" s="16">
        <v>1</v>
      </c>
      <c r="HM7" s="16"/>
      <c r="HN7" s="16">
        <v>1</v>
      </c>
      <c r="HO7" s="16"/>
      <c r="HP7" s="16"/>
      <c r="HQ7" s="16"/>
      <c r="HR7" s="16"/>
      <c r="HS7" s="16">
        <v>1</v>
      </c>
      <c r="HT7" s="16"/>
      <c r="HU7" s="16"/>
      <c r="HV7" s="16"/>
      <c r="HW7" s="16">
        <v>1</v>
      </c>
      <c r="HX7" s="16">
        <v>2</v>
      </c>
      <c r="HY7" s="16"/>
      <c r="HZ7" s="16"/>
      <c r="IA7" s="16">
        <v>1</v>
      </c>
      <c r="IB7" s="16">
        <v>2</v>
      </c>
      <c r="IC7" s="16"/>
      <c r="ID7" s="16"/>
      <c r="IE7" s="16">
        <v>2</v>
      </c>
      <c r="IF7" s="16"/>
      <c r="IG7" s="16">
        <v>1</v>
      </c>
      <c r="IH7" s="16"/>
      <c r="II7" s="16"/>
      <c r="IJ7" s="16"/>
      <c r="IK7" s="16"/>
      <c r="IL7" s="16"/>
      <c r="IM7" s="16">
        <v>1</v>
      </c>
      <c r="IN7" s="16">
        <v>1</v>
      </c>
      <c r="IO7" s="16">
        <v>1</v>
      </c>
      <c r="IP7" s="16"/>
      <c r="IQ7" s="16"/>
      <c r="IR7" s="16"/>
      <c r="IS7" s="16">
        <v>1</v>
      </c>
      <c r="IT7" s="16"/>
      <c r="IU7" s="16"/>
      <c r="IV7" s="16"/>
      <c r="IW7" s="16"/>
      <c r="IX7" s="16"/>
      <c r="IY7" s="16">
        <v>2</v>
      </c>
      <c r="IZ7" s="16"/>
      <c r="JA7" s="16">
        <v>1</v>
      </c>
      <c r="JB7" s="16"/>
      <c r="JC7" s="16"/>
      <c r="JD7" s="16"/>
      <c r="JE7" s="16"/>
      <c r="JF7" s="16"/>
      <c r="JG7" s="16">
        <v>1</v>
      </c>
      <c r="JH7" s="16"/>
      <c r="JI7" s="16"/>
      <c r="JJ7" s="16"/>
      <c r="JK7" s="16"/>
      <c r="JL7" s="16"/>
      <c r="JM7" s="16"/>
      <c r="JN7" s="16">
        <v>2</v>
      </c>
      <c r="JO7" s="16"/>
      <c r="JP7" s="16"/>
      <c r="JQ7" s="16"/>
      <c r="JR7" s="16"/>
      <c r="JS7" s="16">
        <v>1</v>
      </c>
      <c r="JT7" s="16"/>
      <c r="JU7" s="16"/>
      <c r="JV7" s="16">
        <v>1</v>
      </c>
      <c r="JW7" s="16"/>
      <c r="JX7" s="16"/>
      <c r="JY7" s="16"/>
      <c r="JZ7" s="16"/>
      <c r="KA7" s="16">
        <v>1</v>
      </c>
      <c r="KB7" s="16">
        <v>1</v>
      </c>
      <c r="KC7" s="16"/>
      <c r="KD7" s="16"/>
      <c r="KE7" s="16"/>
      <c r="KF7" s="16"/>
      <c r="KG7" s="16">
        <v>1</v>
      </c>
      <c r="KH7" s="16"/>
      <c r="KI7" s="16"/>
      <c r="KJ7" s="16"/>
      <c r="KK7" s="16"/>
      <c r="KL7" s="16">
        <v>2</v>
      </c>
      <c r="KM7" s="16">
        <v>1</v>
      </c>
      <c r="KN7" s="16"/>
      <c r="KO7" s="16"/>
      <c r="KP7" s="16"/>
      <c r="KQ7" s="16"/>
      <c r="KR7" s="16"/>
      <c r="KS7" s="16">
        <v>1</v>
      </c>
      <c r="KT7" s="16">
        <v>1</v>
      </c>
      <c r="KU7" s="16"/>
      <c r="KV7" s="16">
        <v>1</v>
      </c>
      <c r="KW7" s="16"/>
      <c r="KX7" s="16"/>
      <c r="KY7" s="16"/>
      <c r="KZ7" s="16">
        <v>1</v>
      </c>
      <c r="LA7" s="16"/>
      <c r="LB7" s="16">
        <v>1</v>
      </c>
      <c r="LC7" s="16">
        <v>1</v>
      </c>
      <c r="LD7" s="16"/>
      <c r="LE7" s="16">
        <v>1</v>
      </c>
      <c r="LF7" s="16"/>
      <c r="LG7" s="16"/>
      <c r="LH7" s="16">
        <v>1</v>
      </c>
      <c r="LI7" s="16"/>
      <c r="LJ7" s="16"/>
      <c r="LK7" s="16"/>
      <c r="LL7" s="16"/>
      <c r="LM7" s="16"/>
      <c r="LN7" s="16">
        <v>1</v>
      </c>
      <c r="LO7" s="16"/>
      <c r="LP7" s="16"/>
      <c r="LQ7" s="16"/>
      <c r="LR7" s="16"/>
      <c r="LS7" s="16"/>
      <c r="LT7" s="16"/>
      <c r="LU7" s="16">
        <v>3</v>
      </c>
      <c r="LV7" s="16"/>
      <c r="LW7" s="16"/>
      <c r="LX7" s="16"/>
      <c r="LY7" s="16"/>
      <c r="LZ7" s="16">
        <v>1</v>
      </c>
      <c r="MA7" s="16"/>
      <c r="MB7" s="16"/>
      <c r="MC7" s="16">
        <v>1</v>
      </c>
      <c r="MD7" s="16"/>
      <c r="ME7" s="16"/>
      <c r="MF7" s="16"/>
      <c r="MG7" s="16"/>
      <c r="MH7" s="16"/>
      <c r="MI7" s="16"/>
      <c r="MJ7" s="16"/>
      <c r="MK7" s="16"/>
      <c r="ML7" s="16">
        <v>1</v>
      </c>
      <c r="MM7" s="16"/>
      <c r="MN7" s="16"/>
      <c r="MO7" s="16"/>
      <c r="MP7" s="16"/>
      <c r="MQ7" s="16"/>
      <c r="MR7" s="16"/>
      <c r="MS7" s="16"/>
      <c r="MT7" s="16">
        <v>1</v>
      </c>
      <c r="MU7" s="16"/>
      <c r="MV7" s="16"/>
      <c r="MW7" s="16"/>
      <c r="MX7" s="16"/>
      <c r="MY7" s="16"/>
      <c r="MZ7" s="16"/>
      <c r="NA7" s="16">
        <v>1</v>
      </c>
      <c r="NB7" s="16"/>
      <c r="NC7" s="16"/>
      <c r="ND7" s="16"/>
      <c r="NE7" s="16">
        <v>1</v>
      </c>
      <c r="NF7" s="16"/>
      <c r="NG7" s="16"/>
      <c r="NH7" s="16"/>
      <c r="NI7" s="16"/>
      <c r="NJ7" s="16">
        <v>1</v>
      </c>
      <c r="NK7" s="16">
        <v>1</v>
      </c>
      <c r="NL7" s="16">
        <v>1</v>
      </c>
      <c r="NM7" s="16">
        <v>1</v>
      </c>
      <c r="NN7" s="16"/>
      <c r="NO7" s="16"/>
      <c r="NP7" s="16"/>
      <c r="NQ7" s="16"/>
      <c r="NR7" s="16"/>
      <c r="NS7" s="16"/>
      <c r="NT7" s="16">
        <v>1</v>
      </c>
      <c r="NU7" s="16"/>
      <c r="NV7" s="16">
        <v>1</v>
      </c>
      <c r="NW7" s="16"/>
      <c r="NX7" s="16">
        <v>1</v>
      </c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>
        <v>1</v>
      </c>
      <c r="OO7" s="16"/>
      <c r="OP7" s="16">
        <v>1</v>
      </c>
      <c r="OQ7" s="16"/>
      <c r="OR7" s="16">
        <v>1</v>
      </c>
      <c r="OS7" s="16"/>
      <c r="OT7" s="16"/>
      <c r="OU7" s="16"/>
      <c r="OV7" s="16">
        <v>1</v>
      </c>
      <c r="OW7" s="16">
        <v>1</v>
      </c>
      <c r="OX7" s="16"/>
      <c r="OY7" s="16">
        <v>1</v>
      </c>
      <c r="OZ7" s="16">
        <v>2</v>
      </c>
      <c r="PA7" s="16"/>
      <c r="PB7" s="16"/>
      <c r="PC7" s="16"/>
      <c r="PD7" s="16"/>
      <c r="PE7" s="16"/>
      <c r="PF7" s="16"/>
      <c r="PG7" s="16">
        <v>2</v>
      </c>
      <c r="PH7" s="16">
        <v>1</v>
      </c>
      <c r="PI7" s="16">
        <v>1</v>
      </c>
      <c r="PJ7" s="16">
        <v>1</v>
      </c>
      <c r="PK7" s="16"/>
      <c r="PL7" s="16"/>
      <c r="PM7" s="16">
        <v>1</v>
      </c>
      <c r="PN7" s="16">
        <v>1</v>
      </c>
      <c r="PO7" s="16"/>
      <c r="PP7" s="16"/>
      <c r="PQ7" s="16"/>
      <c r="PR7" s="16"/>
      <c r="PS7" s="16"/>
      <c r="PT7" s="16"/>
      <c r="PU7" s="16">
        <v>1</v>
      </c>
      <c r="PV7" s="16"/>
      <c r="PW7" s="16"/>
      <c r="PX7" s="16"/>
      <c r="PY7" s="16"/>
      <c r="PZ7" s="16"/>
      <c r="QA7" s="16"/>
      <c r="QB7" s="16">
        <v>1</v>
      </c>
      <c r="QC7" s="16">
        <v>1</v>
      </c>
      <c r="QD7" s="16"/>
      <c r="QE7" s="16"/>
      <c r="QF7" s="16">
        <v>1</v>
      </c>
      <c r="QG7" s="16">
        <v>1</v>
      </c>
      <c r="QH7" s="16"/>
      <c r="QI7" s="16"/>
      <c r="QJ7" s="16">
        <v>1</v>
      </c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>
        <v>1</v>
      </c>
      <c r="QZ7" s="16">
        <v>173</v>
      </c>
    </row>
    <row r="8" spans="1:468">
      <c r="A8" s="18" t="s">
        <v>82</v>
      </c>
      <c r="B8" s="16"/>
      <c r="C8" s="16">
        <v>1</v>
      </c>
      <c r="D8" s="16"/>
      <c r="E8" s="16"/>
      <c r="F8" s="16"/>
      <c r="G8" s="16"/>
      <c r="H8" s="16"/>
      <c r="I8" s="16"/>
      <c r="J8" s="16"/>
      <c r="K8" s="16">
        <v>1</v>
      </c>
      <c r="L8" s="16"/>
      <c r="M8" s="16"/>
      <c r="N8" s="16"/>
      <c r="O8" s="16">
        <v>1</v>
      </c>
      <c r="P8" s="16"/>
      <c r="Q8" s="16"/>
      <c r="R8" s="16"/>
      <c r="S8" s="16">
        <v>1</v>
      </c>
      <c r="T8" s="16">
        <v>1</v>
      </c>
      <c r="U8" s="16">
        <v>2</v>
      </c>
      <c r="V8" s="16">
        <v>1</v>
      </c>
      <c r="W8" s="16">
        <v>1</v>
      </c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>
        <v>1</v>
      </c>
      <c r="AI8" s="16"/>
      <c r="AJ8" s="16">
        <v>2</v>
      </c>
      <c r="AK8" s="16">
        <v>1</v>
      </c>
      <c r="AL8" s="16"/>
      <c r="AM8" s="16"/>
      <c r="AN8" s="16"/>
      <c r="AO8" s="16"/>
      <c r="AP8" s="16"/>
      <c r="AQ8" s="16"/>
      <c r="AR8" s="16"/>
      <c r="AS8" s="16">
        <v>1</v>
      </c>
      <c r="AT8" s="16"/>
      <c r="AU8" s="16"/>
      <c r="AV8" s="16"/>
      <c r="AW8" s="16"/>
      <c r="AX8" s="16"/>
      <c r="AY8" s="16">
        <v>1</v>
      </c>
      <c r="AZ8" s="16"/>
      <c r="BA8" s="16">
        <v>2</v>
      </c>
      <c r="BB8" s="16">
        <v>1</v>
      </c>
      <c r="BC8" s="16"/>
      <c r="BD8" s="16"/>
      <c r="BE8" s="16"/>
      <c r="BF8" s="16"/>
      <c r="BG8" s="16"/>
      <c r="BH8" s="16"/>
      <c r="BI8" s="16"/>
      <c r="BJ8" s="16">
        <v>1</v>
      </c>
      <c r="BK8" s="16"/>
      <c r="BL8" s="16"/>
      <c r="BM8" s="16"/>
      <c r="BN8" s="16">
        <v>1</v>
      </c>
      <c r="BO8" s="16"/>
      <c r="BP8" s="16">
        <v>1</v>
      </c>
      <c r="BQ8" s="16"/>
      <c r="BR8" s="16">
        <v>1</v>
      </c>
      <c r="BS8" s="16">
        <v>1</v>
      </c>
      <c r="BT8" s="16"/>
      <c r="BU8" s="16"/>
      <c r="BV8" s="16"/>
      <c r="BW8" s="16">
        <v>1</v>
      </c>
      <c r="BX8" s="16"/>
      <c r="BY8" s="16">
        <v>1</v>
      </c>
      <c r="BZ8" s="16"/>
      <c r="CA8" s="16"/>
      <c r="CB8" s="16"/>
      <c r="CC8" s="16"/>
      <c r="CD8" s="16"/>
      <c r="CE8" s="16">
        <v>1</v>
      </c>
      <c r="CF8" s="16">
        <v>1</v>
      </c>
      <c r="CG8" s="16"/>
      <c r="CH8" s="16">
        <v>1</v>
      </c>
      <c r="CI8" s="16">
        <v>1</v>
      </c>
      <c r="CJ8" s="16"/>
      <c r="CK8" s="16"/>
      <c r="CL8" s="16">
        <v>1</v>
      </c>
      <c r="CM8" s="16">
        <v>1</v>
      </c>
      <c r="CN8" s="16"/>
      <c r="CO8" s="16">
        <v>1</v>
      </c>
      <c r="CP8" s="16"/>
      <c r="CQ8" s="16"/>
      <c r="CR8" s="16"/>
      <c r="CS8" s="16"/>
      <c r="CT8" s="16"/>
      <c r="CU8" s="16"/>
      <c r="CV8" s="16">
        <v>1</v>
      </c>
      <c r="CW8" s="16"/>
      <c r="CX8" s="16">
        <v>1</v>
      </c>
      <c r="CY8" s="16"/>
      <c r="CZ8" s="16">
        <v>1</v>
      </c>
      <c r="DA8" s="16"/>
      <c r="DB8" s="16"/>
      <c r="DC8" s="16">
        <v>1</v>
      </c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>
        <v>1</v>
      </c>
      <c r="DQ8" s="16"/>
      <c r="DR8" s="16"/>
      <c r="DS8" s="16"/>
      <c r="DT8" s="16">
        <v>1</v>
      </c>
      <c r="DU8" s="16">
        <v>1</v>
      </c>
      <c r="DV8" s="16"/>
      <c r="DW8" s="16">
        <v>1</v>
      </c>
      <c r="DX8" s="16"/>
      <c r="DY8" s="16">
        <v>1</v>
      </c>
      <c r="DZ8" s="16">
        <v>1</v>
      </c>
      <c r="EA8" s="16"/>
      <c r="EB8" s="16"/>
      <c r="EC8" s="16"/>
      <c r="ED8" s="16">
        <v>1</v>
      </c>
      <c r="EE8" s="16"/>
      <c r="EF8" s="16">
        <v>1</v>
      </c>
      <c r="EG8" s="16"/>
      <c r="EH8" s="16"/>
      <c r="EI8" s="16"/>
      <c r="EJ8" s="16"/>
      <c r="EK8" s="16"/>
      <c r="EL8" s="16">
        <v>1</v>
      </c>
      <c r="EM8" s="16">
        <v>1</v>
      </c>
      <c r="EN8" s="16"/>
      <c r="EO8" s="16">
        <v>1</v>
      </c>
      <c r="EP8" s="16">
        <v>1</v>
      </c>
      <c r="EQ8" s="16"/>
      <c r="ER8" s="16"/>
      <c r="ES8" s="16"/>
      <c r="ET8" s="16"/>
      <c r="EU8" s="16"/>
      <c r="EV8" s="16"/>
      <c r="EW8" s="16">
        <v>1</v>
      </c>
      <c r="EX8" s="16"/>
      <c r="EY8" s="16">
        <v>1</v>
      </c>
      <c r="EZ8" s="16"/>
      <c r="FA8" s="16"/>
      <c r="FB8" s="16"/>
      <c r="FC8" s="16"/>
      <c r="FD8" s="16"/>
      <c r="FE8" s="16"/>
      <c r="FF8" s="16"/>
      <c r="FG8" s="16"/>
      <c r="FH8" s="16">
        <v>1</v>
      </c>
      <c r="FI8" s="16">
        <v>1</v>
      </c>
      <c r="FJ8" s="16"/>
      <c r="FK8" s="16"/>
      <c r="FL8" s="16"/>
      <c r="FM8" s="16">
        <v>1</v>
      </c>
      <c r="FN8" s="16"/>
      <c r="FO8" s="16"/>
      <c r="FP8" s="16">
        <v>1</v>
      </c>
      <c r="FQ8" s="16">
        <v>1</v>
      </c>
      <c r="FR8" s="16"/>
      <c r="FS8" s="16"/>
      <c r="FT8" s="16">
        <v>1</v>
      </c>
      <c r="FU8" s="16"/>
      <c r="FV8" s="16"/>
      <c r="FW8" s="16"/>
      <c r="FX8" s="16"/>
      <c r="FY8" s="16"/>
      <c r="FZ8" s="16"/>
      <c r="GA8" s="16"/>
      <c r="GB8" s="16">
        <v>1</v>
      </c>
      <c r="GC8" s="16">
        <v>1</v>
      </c>
      <c r="GD8" s="16">
        <v>1</v>
      </c>
      <c r="GE8" s="16"/>
      <c r="GF8" s="16"/>
      <c r="GG8" s="16"/>
      <c r="GH8" s="16"/>
      <c r="GI8" s="16"/>
      <c r="GJ8" s="16"/>
      <c r="GK8" s="16"/>
      <c r="GL8" s="16">
        <v>1</v>
      </c>
      <c r="GM8" s="16">
        <v>2</v>
      </c>
      <c r="GN8" s="16"/>
      <c r="GO8" s="16"/>
      <c r="GP8" s="16"/>
      <c r="GQ8" s="16"/>
      <c r="GR8" s="16"/>
      <c r="GS8" s="16"/>
      <c r="GT8" s="16"/>
      <c r="GU8" s="16"/>
      <c r="GV8" s="16"/>
      <c r="GW8" s="16">
        <v>1</v>
      </c>
      <c r="GX8" s="16"/>
      <c r="GY8" s="16"/>
      <c r="GZ8" s="16">
        <v>1</v>
      </c>
      <c r="HA8" s="16"/>
      <c r="HB8" s="16">
        <v>1</v>
      </c>
      <c r="HC8" s="16">
        <v>2</v>
      </c>
      <c r="HD8" s="16"/>
      <c r="HE8" s="16"/>
      <c r="HF8" s="16">
        <v>1</v>
      </c>
      <c r="HG8" s="16">
        <v>1</v>
      </c>
      <c r="HH8" s="16">
        <v>1</v>
      </c>
      <c r="HI8" s="16"/>
      <c r="HJ8" s="16"/>
      <c r="HK8" s="16">
        <v>1</v>
      </c>
      <c r="HL8" s="16"/>
      <c r="HM8" s="16"/>
      <c r="HN8" s="16"/>
      <c r="HO8" s="16"/>
      <c r="HP8" s="16">
        <v>1</v>
      </c>
      <c r="HQ8" s="16"/>
      <c r="HR8" s="16">
        <v>1</v>
      </c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>
        <v>1</v>
      </c>
      <c r="IH8" s="16"/>
      <c r="II8" s="16"/>
      <c r="IJ8" s="16"/>
      <c r="IK8" s="16">
        <v>1</v>
      </c>
      <c r="IL8" s="16"/>
      <c r="IM8" s="16">
        <v>1</v>
      </c>
      <c r="IN8" s="16"/>
      <c r="IO8" s="16">
        <v>1</v>
      </c>
      <c r="IP8" s="16"/>
      <c r="IQ8" s="16"/>
      <c r="IR8" s="16"/>
      <c r="IS8" s="16">
        <v>1</v>
      </c>
      <c r="IT8" s="16">
        <v>1</v>
      </c>
      <c r="IU8" s="16">
        <v>1</v>
      </c>
      <c r="IV8" s="16">
        <v>1</v>
      </c>
      <c r="IW8" s="16"/>
      <c r="IX8" s="16">
        <v>1</v>
      </c>
      <c r="IY8" s="16">
        <v>1</v>
      </c>
      <c r="IZ8" s="16"/>
      <c r="JA8" s="16"/>
      <c r="JB8" s="16">
        <v>1</v>
      </c>
      <c r="JC8" s="16">
        <v>1</v>
      </c>
      <c r="JD8" s="16"/>
      <c r="JE8" s="16"/>
      <c r="JF8" s="16">
        <v>2</v>
      </c>
      <c r="JG8" s="16"/>
      <c r="JH8" s="16"/>
      <c r="JI8" s="16"/>
      <c r="JJ8" s="16"/>
      <c r="JK8" s="16"/>
      <c r="JL8" s="16"/>
      <c r="JM8" s="16">
        <v>1</v>
      </c>
      <c r="JN8" s="16"/>
      <c r="JO8" s="16"/>
      <c r="JP8" s="16"/>
      <c r="JQ8" s="16"/>
      <c r="JR8" s="16"/>
      <c r="JS8" s="16"/>
      <c r="JT8" s="16"/>
      <c r="JU8" s="16"/>
      <c r="JV8" s="16">
        <v>1</v>
      </c>
      <c r="JW8" s="16"/>
      <c r="JX8" s="16"/>
      <c r="JY8" s="16"/>
      <c r="JZ8" s="16"/>
      <c r="KA8" s="16"/>
      <c r="KB8" s="16"/>
      <c r="KC8" s="16">
        <v>1</v>
      </c>
      <c r="KD8" s="16"/>
      <c r="KE8" s="16"/>
      <c r="KF8" s="16"/>
      <c r="KG8" s="16"/>
      <c r="KH8" s="16"/>
      <c r="KI8" s="16"/>
      <c r="KJ8" s="16">
        <v>1</v>
      </c>
      <c r="KK8" s="16"/>
      <c r="KL8" s="16"/>
      <c r="KM8" s="16"/>
      <c r="KN8" s="16"/>
      <c r="KO8" s="16">
        <v>1</v>
      </c>
      <c r="KP8" s="16"/>
      <c r="KQ8" s="16"/>
      <c r="KR8" s="16"/>
      <c r="KS8" s="16"/>
      <c r="KT8" s="16"/>
      <c r="KU8" s="16"/>
      <c r="KV8" s="16"/>
      <c r="KW8" s="16"/>
      <c r="KX8" s="16"/>
      <c r="KY8" s="16">
        <v>1</v>
      </c>
      <c r="KZ8" s="16"/>
      <c r="LA8" s="16">
        <v>1</v>
      </c>
      <c r="LB8" s="16"/>
      <c r="LC8" s="16"/>
      <c r="LD8" s="16">
        <v>1</v>
      </c>
      <c r="LE8" s="16">
        <v>1</v>
      </c>
      <c r="LF8" s="16">
        <v>1</v>
      </c>
      <c r="LG8" s="16"/>
      <c r="LH8" s="16"/>
      <c r="LI8" s="16"/>
      <c r="LJ8" s="16"/>
      <c r="LK8" s="16"/>
      <c r="LL8" s="16"/>
      <c r="LM8" s="16"/>
      <c r="LN8" s="16"/>
      <c r="LO8" s="16">
        <v>1</v>
      </c>
      <c r="LP8" s="16">
        <v>1</v>
      </c>
      <c r="LQ8" s="16"/>
      <c r="LR8" s="16"/>
      <c r="LS8" s="16"/>
      <c r="LT8" s="16"/>
      <c r="LU8" s="16"/>
      <c r="LV8" s="16"/>
      <c r="LW8" s="16"/>
      <c r="LX8" s="16"/>
      <c r="LY8" s="16">
        <v>1</v>
      </c>
      <c r="LZ8" s="16"/>
      <c r="MA8" s="16">
        <v>1</v>
      </c>
      <c r="MB8" s="16"/>
      <c r="MC8" s="16"/>
      <c r="MD8" s="16">
        <v>1</v>
      </c>
      <c r="ME8" s="16">
        <v>1</v>
      </c>
      <c r="MF8" s="16"/>
      <c r="MG8" s="16"/>
      <c r="MH8" s="16">
        <v>1</v>
      </c>
      <c r="MI8" s="16">
        <v>1</v>
      </c>
      <c r="MJ8" s="16"/>
      <c r="MK8" s="16"/>
      <c r="ML8" s="16">
        <v>2</v>
      </c>
      <c r="MM8" s="16"/>
      <c r="MN8" s="16"/>
      <c r="MO8" s="16"/>
      <c r="MP8" s="16"/>
      <c r="MQ8" s="16"/>
      <c r="MR8" s="16"/>
      <c r="MS8" s="16">
        <v>1</v>
      </c>
      <c r="MT8" s="16"/>
      <c r="MU8" s="16">
        <v>2</v>
      </c>
      <c r="MV8" s="16"/>
      <c r="MW8" s="16"/>
      <c r="MX8" s="16"/>
      <c r="MY8" s="16">
        <v>1</v>
      </c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>
        <v>1</v>
      </c>
      <c r="NS8" s="16">
        <v>1</v>
      </c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>
        <v>1</v>
      </c>
      <c r="OG8" s="16"/>
      <c r="OH8" s="16"/>
      <c r="OI8" s="16">
        <v>1</v>
      </c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>
        <v>1</v>
      </c>
      <c r="OU8" s="16">
        <v>1</v>
      </c>
      <c r="OV8" s="16"/>
      <c r="OW8" s="16">
        <v>1</v>
      </c>
      <c r="OX8" s="16"/>
      <c r="OY8" s="16"/>
      <c r="OZ8" s="16"/>
      <c r="PA8" s="16"/>
      <c r="PB8" s="16">
        <v>1</v>
      </c>
      <c r="PC8" s="16"/>
      <c r="PD8" s="16">
        <v>1</v>
      </c>
      <c r="PE8" s="16"/>
      <c r="PF8" s="16">
        <v>1</v>
      </c>
      <c r="PG8" s="16"/>
      <c r="PH8" s="16"/>
      <c r="PI8" s="16"/>
      <c r="PJ8" s="16"/>
      <c r="PK8" s="16">
        <v>1</v>
      </c>
      <c r="PL8" s="16"/>
      <c r="PM8" s="16"/>
      <c r="PN8" s="16"/>
      <c r="PO8" s="16"/>
      <c r="PP8" s="16">
        <v>1</v>
      </c>
      <c r="PQ8" s="16"/>
      <c r="PR8" s="16">
        <v>1</v>
      </c>
      <c r="PS8" s="16">
        <v>1</v>
      </c>
      <c r="PT8" s="16">
        <v>1</v>
      </c>
      <c r="PU8" s="16">
        <v>1</v>
      </c>
      <c r="PV8" s="16">
        <v>1</v>
      </c>
      <c r="PW8" s="16">
        <v>1</v>
      </c>
      <c r="PX8" s="16">
        <v>2</v>
      </c>
      <c r="PY8" s="16"/>
      <c r="PZ8" s="16"/>
      <c r="QA8" s="16"/>
      <c r="QB8" s="16"/>
      <c r="QC8" s="16"/>
      <c r="QD8" s="16"/>
      <c r="QE8" s="16"/>
      <c r="QF8" s="16"/>
      <c r="QG8" s="16">
        <v>1</v>
      </c>
      <c r="QH8" s="16">
        <v>1</v>
      </c>
      <c r="QI8" s="16"/>
      <c r="QJ8" s="16"/>
      <c r="QK8" s="16"/>
      <c r="QL8" s="16">
        <v>1</v>
      </c>
      <c r="QM8" s="16"/>
      <c r="QN8" s="16"/>
      <c r="QO8" s="16"/>
      <c r="QP8" s="16"/>
      <c r="QQ8" s="16">
        <v>1</v>
      </c>
      <c r="QR8" s="16">
        <v>1</v>
      </c>
      <c r="QS8" s="16"/>
      <c r="QT8" s="16"/>
      <c r="QU8" s="16"/>
      <c r="QV8" s="16"/>
      <c r="QW8" s="16"/>
      <c r="QX8" s="16"/>
      <c r="QY8" s="16"/>
      <c r="QZ8" s="16">
        <v>136</v>
      </c>
    </row>
    <row r="9" spans="1:468">
      <c r="A9" s="18" t="s">
        <v>1973</v>
      </c>
      <c r="B9" s="16">
        <v>1</v>
      </c>
      <c r="C9" s="16">
        <v>3</v>
      </c>
      <c r="D9" s="16">
        <v>1</v>
      </c>
      <c r="E9" s="16">
        <v>2</v>
      </c>
      <c r="F9" s="16">
        <v>4</v>
      </c>
      <c r="G9" s="16">
        <v>1</v>
      </c>
      <c r="H9" s="16">
        <v>1</v>
      </c>
      <c r="I9" s="16">
        <v>2</v>
      </c>
      <c r="J9" s="16">
        <v>3</v>
      </c>
      <c r="K9" s="16">
        <v>1</v>
      </c>
      <c r="L9" s="16">
        <v>2</v>
      </c>
      <c r="M9" s="16">
        <v>3</v>
      </c>
      <c r="N9" s="16">
        <v>1</v>
      </c>
      <c r="O9" s="16">
        <v>2</v>
      </c>
      <c r="P9" s="16">
        <v>1</v>
      </c>
      <c r="Q9" s="16">
        <v>2</v>
      </c>
      <c r="R9" s="16">
        <v>3</v>
      </c>
      <c r="S9" s="16">
        <v>3</v>
      </c>
      <c r="T9" s="16">
        <v>3</v>
      </c>
      <c r="U9" s="16">
        <v>3</v>
      </c>
      <c r="V9" s="16">
        <v>2</v>
      </c>
      <c r="W9" s="16">
        <v>4</v>
      </c>
      <c r="X9" s="16">
        <v>1</v>
      </c>
      <c r="Y9" s="16">
        <v>2</v>
      </c>
      <c r="Z9" s="16">
        <v>5</v>
      </c>
      <c r="AA9" s="16">
        <v>1</v>
      </c>
      <c r="AB9" s="16">
        <v>3</v>
      </c>
      <c r="AC9" s="16">
        <v>2</v>
      </c>
      <c r="AD9" s="16">
        <v>5</v>
      </c>
      <c r="AE9" s="16">
        <v>1</v>
      </c>
      <c r="AF9" s="16">
        <v>1</v>
      </c>
      <c r="AG9" s="16">
        <v>1</v>
      </c>
      <c r="AH9" s="16">
        <v>5</v>
      </c>
      <c r="AI9" s="16">
        <v>1</v>
      </c>
      <c r="AJ9" s="16">
        <v>3</v>
      </c>
      <c r="AK9" s="16">
        <v>1</v>
      </c>
      <c r="AL9" s="16">
        <v>2</v>
      </c>
      <c r="AM9" s="16">
        <v>2</v>
      </c>
      <c r="AN9" s="16">
        <v>2</v>
      </c>
      <c r="AO9" s="16">
        <v>1</v>
      </c>
      <c r="AP9" s="16">
        <v>2</v>
      </c>
      <c r="AQ9" s="16">
        <v>2</v>
      </c>
      <c r="AR9" s="16">
        <v>1</v>
      </c>
      <c r="AS9" s="16">
        <v>3</v>
      </c>
      <c r="AT9" s="16">
        <v>2</v>
      </c>
      <c r="AU9" s="16">
        <v>1</v>
      </c>
      <c r="AV9" s="16">
        <v>2</v>
      </c>
      <c r="AW9" s="16">
        <v>1</v>
      </c>
      <c r="AX9" s="16">
        <v>1</v>
      </c>
      <c r="AY9" s="16">
        <v>2</v>
      </c>
      <c r="AZ9" s="16">
        <v>1</v>
      </c>
      <c r="BA9" s="16">
        <v>4</v>
      </c>
      <c r="BB9" s="16">
        <v>4</v>
      </c>
      <c r="BC9" s="16">
        <v>1</v>
      </c>
      <c r="BD9" s="16">
        <v>2</v>
      </c>
      <c r="BE9" s="16">
        <v>3</v>
      </c>
      <c r="BF9" s="16">
        <v>4</v>
      </c>
      <c r="BG9" s="16">
        <v>2</v>
      </c>
      <c r="BH9" s="16">
        <v>4</v>
      </c>
      <c r="BI9" s="16">
        <v>1</v>
      </c>
      <c r="BJ9" s="16">
        <v>6</v>
      </c>
      <c r="BK9" s="16">
        <v>1</v>
      </c>
      <c r="BL9" s="16">
        <v>1</v>
      </c>
      <c r="BM9" s="16">
        <v>1</v>
      </c>
      <c r="BN9" s="16">
        <v>3</v>
      </c>
      <c r="BO9" s="16">
        <v>1</v>
      </c>
      <c r="BP9" s="16">
        <v>4</v>
      </c>
      <c r="BQ9" s="16">
        <v>2</v>
      </c>
      <c r="BR9" s="16">
        <v>3</v>
      </c>
      <c r="BS9" s="16">
        <v>3</v>
      </c>
      <c r="BT9" s="16">
        <v>3</v>
      </c>
      <c r="BU9" s="16">
        <v>3</v>
      </c>
      <c r="BV9" s="16">
        <v>2</v>
      </c>
      <c r="BW9" s="16">
        <v>1</v>
      </c>
      <c r="BX9" s="16">
        <v>3</v>
      </c>
      <c r="BY9" s="16">
        <v>5</v>
      </c>
      <c r="BZ9" s="16">
        <v>2</v>
      </c>
      <c r="CA9" s="16">
        <v>3</v>
      </c>
      <c r="CB9" s="16">
        <v>2</v>
      </c>
      <c r="CC9" s="16">
        <v>1</v>
      </c>
      <c r="CD9" s="16">
        <v>1</v>
      </c>
      <c r="CE9" s="16">
        <v>1</v>
      </c>
      <c r="CF9" s="16">
        <v>4</v>
      </c>
      <c r="CG9" s="16">
        <v>1</v>
      </c>
      <c r="CH9" s="16">
        <v>1</v>
      </c>
      <c r="CI9" s="16">
        <v>1</v>
      </c>
      <c r="CJ9" s="16">
        <v>1</v>
      </c>
      <c r="CK9" s="16">
        <v>5</v>
      </c>
      <c r="CL9" s="16">
        <v>2</v>
      </c>
      <c r="CM9" s="16">
        <v>2</v>
      </c>
      <c r="CN9" s="16">
        <v>4</v>
      </c>
      <c r="CO9" s="16">
        <v>3</v>
      </c>
      <c r="CP9" s="16">
        <v>2</v>
      </c>
      <c r="CQ9" s="16">
        <v>1</v>
      </c>
      <c r="CR9" s="16">
        <v>1</v>
      </c>
      <c r="CS9" s="16">
        <v>3</v>
      </c>
      <c r="CT9" s="16">
        <v>1</v>
      </c>
      <c r="CU9" s="16">
        <v>1</v>
      </c>
      <c r="CV9" s="16">
        <v>4</v>
      </c>
      <c r="CW9" s="16">
        <v>2</v>
      </c>
      <c r="CX9" s="16">
        <v>3</v>
      </c>
      <c r="CY9" s="16">
        <v>3</v>
      </c>
      <c r="CZ9" s="16">
        <v>3</v>
      </c>
      <c r="DA9" s="16">
        <v>4</v>
      </c>
      <c r="DB9" s="16">
        <v>1</v>
      </c>
      <c r="DC9" s="16">
        <v>3</v>
      </c>
      <c r="DD9" s="16">
        <v>1</v>
      </c>
      <c r="DE9" s="16">
        <v>1</v>
      </c>
      <c r="DF9" s="16">
        <v>2</v>
      </c>
      <c r="DG9" s="16">
        <v>2</v>
      </c>
      <c r="DH9" s="16">
        <v>4</v>
      </c>
      <c r="DI9" s="16">
        <v>3</v>
      </c>
      <c r="DJ9" s="16">
        <v>2</v>
      </c>
      <c r="DK9" s="16">
        <v>2</v>
      </c>
      <c r="DL9" s="16">
        <v>2</v>
      </c>
      <c r="DM9" s="16">
        <v>2</v>
      </c>
      <c r="DN9" s="16">
        <v>1</v>
      </c>
      <c r="DO9" s="16">
        <v>3</v>
      </c>
      <c r="DP9" s="16">
        <v>3</v>
      </c>
      <c r="DQ9" s="16">
        <v>3</v>
      </c>
      <c r="DR9" s="16">
        <v>1</v>
      </c>
      <c r="DS9" s="16">
        <v>1</v>
      </c>
      <c r="DT9" s="16">
        <v>2</v>
      </c>
      <c r="DU9" s="16">
        <v>4</v>
      </c>
      <c r="DV9" s="16">
        <v>1</v>
      </c>
      <c r="DW9" s="16">
        <v>5</v>
      </c>
      <c r="DX9" s="16">
        <v>1</v>
      </c>
      <c r="DY9" s="16">
        <v>6</v>
      </c>
      <c r="DZ9" s="16">
        <v>3</v>
      </c>
      <c r="EA9" s="16">
        <v>2</v>
      </c>
      <c r="EB9" s="16">
        <v>3</v>
      </c>
      <c r="EC9" s="16">
        <v>1</v>
      </c>
      <c r="ED9" s="16">
        <v>2</v>
      </c>
      <c r="EE9" s="16">
        <v>2</v>
      </c>
      <c r="EF9" s="16">
        <v>3</v>
      </c>
      <c r="EG9" s="16">
        <v>2</v>
      </c>
      <c r="EH9" s="16">
        <v>4</v>
      </c>
      <c r="EI9" s="16">
        <v>4</v>
      </c>
      <c r="EJ9" s="16">
        <v>1</v>
      </c>
      <c r="EK9" s="16">
        <v>1</v>
      </c>
      <c r="EL9" s="16">
        <v>1</v>
      </c>
      <c r="EM9" s="16">
        <v>1</v>
      </c>
      <c r="EN9" s="16">
        <v>2</v>
      </c>
      <c r="EO9" s="16">
        <v>3</v>
      </c>
      <c r="EP9" s="16">
        <v>1</v>
      </c>
      <c r="EQ9" s="16">
        <v>2</v>
      </c>
      <c r="ER9" s="16">
        <v>3</v>
      </c>
      <c r="ES9" s="16">
        <v>1</v>
      </c>
      <c r="ET9" s="16">
        <v>4</v>
      </c>
      <c r="EU9" s="16">
        <v>1</v>
      </c>
      <c r="EV9" s="16">
        <v>1</v>
      </c>
      <c r="EW9" s="16">
        <v>3</v>
      </c>
      <c r="EX9" s="16">
        <v>2</v>
      </c>
      <c r="EY9" s="16">
        <v>1</v>
      </c>
      <c r="EZ9" s="16">
        <v>2</v>
      </c>
      <c r="FA9" s="16">
        <v>1</v>
      </c>
      <c r="FB9" s="16">
        <v>2</v>
      </c>
      <c r="FC9" s="16">
        <v>5</v>
      </c>
      <c r="FD9" s="16">
        <v>3</v>
      </c>
      <c r="FE9" s="16">
        <v>3</v>
      </c>
      <c r="FF9" s="16">
        <v>1</v>
      </c>
      <c r="FG9" s="16">
        <v>4</v>
      </c>
      <c r="FH9" s="16">
        <v>2</v>
      </c>
      <c r="FI9" s="16">
        <v>3</v>
      </c>
      <c r="FJ9" s="16">
        <v>2</v>
      </c>
      <c r="FK9" s="16">
        <v>1</v>
      </c>
      <c r="FL9" s="16">
        <v>2</v>
      </c>
      <c r="FM9" s="16">
        <v>2</v>
      </c>
      <c r="FN9" s="16">
        <v>2</v>
      </c>
      <c r="FO9" s="16">
        <v>3</v>
      </c>
      <c r="FP9" s="16">
        <v>5</v>
      </c>
      <c r="FQ9" s="16">
        <v>2</v>
      </c>
      <c r="FR9" s="16">
        <v>1</v>
      </c>
      <c r="FS9" s="16">
        <v>2</v>
      </c>
      <c r="FT9" s="16">
        <v>3</v>
      </c>
      <c r="FU9" s="16">
        <v>2</v>
      </c>
      <c r="FV9" s="16">
        <v>2</v>
      </c>
      <c r="FW9" s="16">
        <v>1</v>
      </c>
      <c r="FX9" s="16">
        <v>1</v>
      </c>
      <c r="FY9" s="16">
        <v>4</v>
      </c>
      <c r="FZ9" s="16">
        <v>2</v>
      </c>
      <c r="GA9" s="16">
        <v>2</v>
      </c>
      <c r="GB9" s="16">
        <v>3</v>
      </c>
      <c r="GC9" s="16">
        <v>2</v>
      </c>
      <c r="GD9" s="16">
        <v>5</v>
      </c>
      <c r="GE9" s="16">
        <v>4</v>
      </c>
      <c r="GF9" s="16">
        <v>3</v>
      </c>
      <c r="GG9" s="16">
        <v>2</v>
      </c>
      <c r="GH9" s="16">
        <v>1</v>
      </c>
      <c r="GI9" s="16">
        <v>2</v>
      </c>
      <c r="GJ9" s="16">
        <v>2</v>
      </c>
      <c r="GK9" s="16">
        <v>4</v>
      </c>
      <c r="GL9" s="16">
        <v>1</v>
      </c>
      <c r="GM9" s="16">
        <v>3</v>
      </c>
      <c r="GN9" s="16">
        <v>1</v>
      </c>
      <c r="GO9" s="16">
        <v>1</v>
      </c>
      <c r="GP9" s="16">
        <v>2</v>
      </c>
      <c r="GQ9" s="16">
        <v>1</v>
      </c>
      <c r="GR9" s="16">
        <v>1</v>
      </c>
      <c r="GS9" s="16">
        <v>2</v>
      </c>
      <c r="GT9" s="16">
        <v>2</v>
      </c>
      <c r="GU9" s="16">
        <v>2</v>
      </c>
      <c r="GV9" s="16">
        <v>3</v>
      </c>
      <c r="GW9" s="16">
        <v>4</v>
      </c>
      <c r="GX9" s="16">
        <v>3</v>
      </c>
      <c r="GY9" s="16">
        <v>1</v>
      </c>
      <c r="GZ9" s="16">
        <v>4</v>
      </c>
      <c r="HA9" s="16">
        <v>4</v>
      </c>
      <c r="HB9" s="16">
        <v>3</v>
      </c>
      <c r="HC9" s="16">
        <v>3</v>
      </c>
      <c r="HD9" s="16">
        <v>4</v>
      </c>
      <c r="HE9" s="16">
        <v>5</v>
      </c>
      <c r="HF9" s="16">
        <v>6</v>
      </c>
      <c r="HG9" s="16">
        <v>3</v>
      </c>
      <c r="HH9" s="16">
        <v>3</v>
      </c>
      <c r="HI9" s="16">
        <v>1</v>
      </c>
      <c r="HJ9" s="16">
        <v>3</v>
      </c>
      <c r="HK9" s="16">
        <v>5</v>
      </c>
      <c r="HL9" s="16">
        <v>1</v>
      </c>
      <c r="HM9" s="16">
        <v>2</v>
      </c>
      <c r="HN9" s="16">
        <v>2</v>
      </c>
      <c r="HO9" s="16">
        <v>1</v>
      </c>
      <c r="HP9" s="16">
        <v>4</v>
      </c>
      <c r="HQ9" s="16">
        <v>2</v>
      </c>
      <c r="HR9" s="16">
        <v>1</v>
      </c>
      <c r="HS9" s="16">
        <v>2</v>
      </c>
      <c r="HT9" s="16">
        <v>1</v>
      </c>
      <c r="HU9" s="16">
        <v>1</v>
      </c>
      <c r="HV9" s="16">
        <v>1</v>
      </c>
      <c r="HW9" s="16">
        <v>4</v>
      </c>
      <c r="HX9" s="16">
        <v>4</v>
      </c>
      <c r="HY9" s="16">
        <v>1</v>
      </c>
      <c r="HZ9" s="16">
        <v>1</v>
      </c>
      <c r="IA9" s="16">
        <v>2</v>
      </c>
      <c r="IB9" s="16">
        <v>3</v>
      </c>
      <c r="IC9" s="16">
        <v>2</v>
      </c>
      <c r="ID9" s="16">
        <v>1</v>
      </c>
      <c r="IE9" s="16">
        <v>4</v>
      </c>
      <c r="IF9" s="16">
        <v>2</v>
      </c>
      <c r="IG9" s="16">
        <v>3</v>
      </c>
      <c r="IH9" s="16">
        <v>1</v>
      </c>
      <c r="II9" s="16">
        <v>1</v>
      </c>
      <c r="IJ9" s="16">
        <v>3</v>
      </c>
      <c r="IK9" s="16">
        <v>1</v>
      </c>
      <c r="IL9" s="16">
        <v>1</v>
      </c>
      <c r="IM9" s="16">
        <v>4</v>
      </c>
      <c r="IN9" s="16">
        <v>2</v>
      </c>
      <c r="IO9" s="16">
        <v>3</v>
      </c>
      <c r="IP9" s="16">
        <v>1</v>
      </c>
      <c r="IQ9" s="16">
        <v>1</v>
      </c>
      <c r="IR9" s="16">
        <v>2</v>
      </c>
      <c r="IS9" s="16">
        <v>3</v>
      </c>
      <c r="IT9" s="16">
        <v>4</v>
      </c>
      <c r="IU9" s="16">
        <v>2</v>
      </c>
      <c r="IV9" s="16">
        <v>1</v>
      </c>
      <c r="IW9" s="16">
        <v>1</v>
      </c>
      <c r="IX9" s="16">
        <v>3</v>
      </c>
      <c r="IY9" s="16">
        <v>5</v>
      </c>
      <c r="IZ9" s="16">
        <v>2</v>
      </c>
      <c r="JA9" s="16">
        <v>3</v>
      </c>
      <c r="JB9" s="16">
        <v>1</v>
      </c>
      <c r="JC9" s="16">
        <v>2</v>
      </c>
      <c r="JD9" s="16">
        <v>1</v>
      </c>
      <c r="JE9" s="16">
        <v>1</v>
      </c>
      <c r="JF9" s="16">
        <v>4</v>
      </c>
      <c r="JG9" s="16">
        <v>2</v>
      </c>
      <c r="JH9" s="16">
        <v>2</v>
      </c>
      <c r="JI9" s="16">
        <v>2</v>
      </c>
      <c r="JJ9" s="16">
        <v>1</v>
      </c>
      <c r="JK9" s="16">
        <v>2</v>
      </c>
      <c r="JL9" s="16">
        <v>4</v>
      </c>
      <c r="JM9" s="16">
        <v>3</v>
      </c>
      <c r="JN9" s="16">
        <v>3</v>
      </c>
      <c r="JO9" s="16">
        <v>1</v>
      </c>
      <c r="JP9" s="16">
        <v>2</v>
      </c>
      <c r="JQ9" s="16">
        <v>2</v>
      </c>
      <c r="JR9" s="16">
        <v>1</v>
      </c>
      <c r="JS9" s="16">
        <v>3</v>
      </c>
      <c r="JT9" s="16">
        <v>3</v>
      </c>
      <c r="JU9" s="16">
        <v>1</v>
      </c>
      <c r="JV9" s="16">
        <v>3</v>
      </c>
      <c r="JW9" s="16">
        <v>1</v>
      </c>
      <c r="JX9" s="16">
        <v>2</v>
      </c>
      <c r="JY9" s="16">
        <v>1</v>
      </c>
      <c r="JZ9" s="16">
        <v>3</v>
      </c>
      <c r="KA9" s="16">
        <v>1</v>
      </c>
      <c r="KB9" s="16">
        <v>2</v>
      </c>
      <c r="KC9" s="16">
        <v>1</v>
      </c>
      <c r="KD9" s="16">
        <v>2</v>
      </c>
      <c r="KE9" s="16">
        <v>2</v>
      </c>
      <c r="KF9" s="16">
        <v>1</v>
      </c>
      <c r="KG9" s="16">
        <v>1</v>
      </c>
      <c r="KH9" s="16">
        <v>1</v>
      </c>
      <c r="KI9" s="16">
        <v>2</v>
      </c>
      <c r="KJ9" s="16">
        <v>1</v>
      </c>
      <c r="KK9" s="16">
        <v>1</v>
      </c>
      <c r="KL9" s="16">
        <v>3</v>
      </c>
      <c r="KM9" s="16">
        <v>2</v>
      </c>
      <c r="KN9" s="16">
        <v>3</v>
      </c>
      <c r="KO9" s="16">
        <v>1</v>
      </c>
      <c r="KP9" s="16">
        <v>3</v>
      </c>
      <c r="KQ9" s="16">
        <v>3</v>
      </c>
      <c r="KR9" s="16">
        <v>1</v>
      </c>
      <c r="KS9" s="16">
        <v>2</v>
      </c>
      <c r="KT9" s="16">
        <v>3</v>
      </c>
      <c r="KU9" s="16">
        <v>1</v>
      </c>
      <c r="KV9" s="16">
        <v>4</v>
      </c>
      <c r="KW9" s="16">
        <v>2</v>
      </c>
      <c r="KX9" s="16">
        <v>2</v>
      </c>
      <c r="KY9" s="16">
        <v>3</v>
      </c>
      <c r="KZ9" s="16">
        <v>3</v>
      </c>
      <c r="LA9" s="16">
        <v>2</v>
      </c>
      <c r="LB9" s="16">
        <v>2</v>
      </c>
      <c r="LC9" s="16">
        <v>1</v>
      </c>
      <c r="LD9" s="16">
        <v>4</v>
      </c>
      <c r="LE9" s="16">
        <v>2</v>
      </c>
      <c r="LF9" s="16">
        <v>2</v>
      </c>
      <c r="LG9" s="16">
        <v>2</v>
      </c>
      <c r="LH9" s="16">
        <v>3</v>
      </c>
      <c r="LI9" s="16">
        <v>2</v>
      </c>
      <c r="LJ9" s="16">
        <v>1</v>
      </c>
      <c r="LK9" s="16">
        <v>1</v>
      </c>
      <c r="LL9" s="16">
        <v>2</v>
      </c>
      <c r="LM9" s="16">
        <v>2</v>
      </c>
      <c r="LN9" s="16">
        <v>3</v>
      </c>
      <c r="LO9" s="16">
        <v>2</v>
      </c>
      <c r="LP9" s="16">
        <v>4</v>
      </c>
      <c r="LQ9" s="16">
        <v>1</v>
      </c>
      <c r="LR9" s="16">
        <v>1</v>
      </c>
      <c r="LS9" s="16">
        <v>1</v>
      </c>
      <c r="LT9" s="16">
        <v>3</v>
      </c>
      <c r="LU9" s="16">
        <v>4</v>
      </c>
      <c r="LV9" s="16">
        <v>1</v>
      </c>
      <c r="LW9" s="16">
        <v>1</v>
      </c>
      <c r="LX9" s="16">
        <v>1</v>
      </c>
      <c r="LY9" s="16">
        <v>4</v>
      </c>
      <c r="LZ9" s="16">
        <v>2</v>
      </c>
      <c r="MA9" s="16">
        <v>2</v>
      </c>
      <c r="MB9" s="16">
        <v>2</v>
      </c>
      <c r="MC9" s="16">
        <v>2</v>
      </c>
      <c r="MD9" s="16">
        <v>4</v>
      </c>
      <c r="ME9" s="16">
        <v>2</v>
      </c>
      <c r="MF9" s="16">
        <v>3</v>
      </c>
      <c r="MG9" s="16">
        <v>1</v>
      </c>
      <c r="MH9" s="16">
        <v>2</v>
      </c>
      <c r="MI9" s="16">
        <v>1</v>
      </c>
      <c r="MJ9" s="16">
        <v>1</v>
      </c>
      <c r="MK9" s="16">
        <v>1</v>
      </c>
      <c r="ML9" s="16">
        <v>3</v>
      </c>
      <c r="MM9" s="16">
        <v>3</v>
      </c>
      <c r="MN9" s="16">
        <v>1</v>
      </c>
      <c r="MO9" s="16">
        <v>1</v>
      </c>
      <c r="MP9" s="16">
        <v>1</v>
      </c>
      <c r="MQ9" s="16">
        <v>1</v>
      </c>
      <c r="MR9" s="16">
        <v>2</v>
      </c>
      <c r="MS9" s="16">
        <v>3</v>
      </c>
      <c r="MT9" s="16">
        <v>2</v>
      </c>
      <c r="MU9" s="16">
        <v>3</v>
      </c>
      <c r="MV9" s="16">
        <v>4</v>
      </c>
      <c r="MW9" s="16">
        <v>1</v>
      </c>
      <c r="MX9" s="16">
        <v>1</v>
      </c>
      <c r="MY9" s="16">
        <v>1</v>
      </c>
      <c r="MZ9" s="16">
        <v>1</v>
      </c>
      <c r="NA9" s="16">
        <v>1</v>
      </c>
      <c r="NB9" s="16">
        <v>1</v>
      </c>
      <c r="NC9" s="16">
        <v>3</v>
      </c>
      <c r="ND9" s="16">
        <v>2</v>
      </c>
      <c r="NE9" s="16">
        <v>2</v>
      </c>
      <c r="NF9" s="16">
        <v>1</v>
      </c>
      <c r="NG9" s="16">
        <v>2</v>
      </c>
      <c r="NH9" s="16">
        <v>1</v>
      </c>
      <c r="NI9" s="16">
        <v>1</v>
      </c>
      <c r="NJ9" s="16">
        <v>3</v>
      </c>
      <c r="NK9" s="16">
        <v>3</v>
      </c>
      <c r="NL9" s="16">
        <v>2</v>
      </c>
      <c r="NM9" s="16">
        <v>2</v>
      </c>
      <c r="NN9" s="16">
        <v>2</v>
      </c>
      <c r="NO9" s="16">
        <v>3</v>
      </c>
      <c r="NP9" s="16">
        <v>1</v>
      </c>
      <c r="NQ9" s="16">
        <v>4</v>
      </c>
      <c r="NR9" s="16">
        <v>3</v>
      </c>
      <c r="NS9" s="16">
        <v>1</v>
      </c>
      <c r="NT9" s="16">
        <v>3</v>
      </c>
      <c r="NU9" s="16">
        <v>1</v>
      </c>
      <c r="NV9" s="16">
        <v>3</v>
      </c>
      <c r="NW9" s="16">
        <v>2</v>
      </c>
      <c r="NX9" s="16">
        <v>2</v>
      </c>
      <c r="NY9" s="16">
        <v>2</v>
      </c>
      <c r="NZ9" s="16">
        <v>4</v>
      </c>
      <c r="OA9" s="16">
        <v>1</v>
      </c>
      <c r="OB9" s="16">
        <v>1</v>
      </c>
      <c r="OC9" s="16">
        <v>1</v>
      </c>
      <c r="OD9" s="16">
        <v>2</v>
      </c>
      <c r="OE9" s="16">
        <v>2</v>
      </c>
      <c r="OF9" s="16">
        <v>1</v>
      </c>
      <c r="OG9" s="16">
        <v>1</v>
      </c>
      <c r="OH9" s="16">
        <v>2</v>
      </c>
      <c r="OI9" s="16">
        <v>5</v>
      </c>
      <c r="OJ9" s="16">
        <v>2</v>
      </c>
      <c r="OK9" s="16">
        <v>1</v>
      </c>
      <c r="OL9" s="16">
        <v>1</v>
      </c>
      <c r="OM9" s="16">
        <v>1</v>
      </c>
      <c r="ON9" s="16">
        <v>1</v>
      </c>
      <c r="OO9" s="16">
        <v>1</v>
      </c>
      <c r="OP9" s="16">
        <v>3</v>
      </c>
      <c r="OQ9" s="16">
        <v>3</v>
      </c>
      <c r="OR9" s="16">
        <v>2</v>
      </c>
      <c r="OS9" s="16">
        <v>1</v>
      </c>
      <c r="OT9" s="16">
        <v>2</v>
      </c>
      <c r="OU9" s="16">
        <v>1</v>
      </c>
      <c r="OV9" s="16">
        <v>1</v>
      </c>
      <c r="OW9" s="16">
        <v>2</v>
      </c>
      <c r="OX9" s="16">
        <v>1</v>
      </c>
      <c r="OY9" s="16">
        <v>2</v>
      </c>
      <c r="OZ9" s="16">
        <v>3</v>
      </c>
      <c r="PA9" s="16">
        <v>1</v>
      </c>
      <c r="PB9" s="16">
        <v>1</v>
      </c>
      <c r="PC9" s="16">
        <v>2</v>
      </c>
      <c r="PD9" s="16">
        <v>4</v>
      </c>
      <c r="PE9" s="16">
        <v>4</v>
      </c>
      <c r="PF9" s="16">
        <v>1</v>
      </c>
      <c r="PG9" s="16">
        <v>4</v>
      </c>
      <c r="PH9" s="16">
        <v>3</v>
      </c>
      <c r="PI9" s="16">
        <v>2</v>
      </c>
      <c r="PJ9" s="16">
        <v>2</v>
      </c>
      <c r="PK9" s="16">
        <v>2</v>
      </c>
      <c r="PL9" s="16">
        <v>2</v>
      </c>
      <c r="PM9" s="16">
        <v>4</v>
      </c>
      <c r="PN9" s="16">
        <v>3</v>
      </c>
      <c r="PO9" s="16">
        <v>2</v>
      </c>
      <c r="PP9" s="16">
        <v>1</v>
      </c>
      <c r="PQ9" s="16">
        <v>2</v>
      </c>
      <c r="PR9" s="16">
        <v>2</v>
      </c>
      <c r="PS9" s="16">
        <v>1</v>
      </c>
      <c r="PT9" s="16">
        <v>2</v>
      </c>
      <c r="PU9" s="16">
        <v>2</v>
      </c>
      <c r="PV9" s="16">
        <v>1</v>
      </c>
      <c r="PW9" s="16">
        <v>1</v>
      </c>
      <c r="PX9" s="16">
        <v>2</v>
      </c>
      <c r="PY9" s="16">
        <v>3</v>
      </c>
      <c r="PZ9" s="16">
        <v>2</v>
      </c>
      <c r="QA9" s="16">
        <v>1</v>
      </c>
      <c r="QB9" s="16">
        <v>2</v>
      </c>
      <c r="QC9" s="16">
        <v>1</v>
      </c>
      <c r="QD9" s="16">
        <v>3</v>
      </c>
      <c r="QE9" s="16">
        <v>1</v>
      </c>
      <c r="QF9" s="16">
        <v>3</v>
      </c>
      <c r="QG9" s="16">
        <v>3</v>
      </c>
      <c r="QH9" s="16">
        <v>2</v>
      </c>
      <c r="QI9" s="16">
        <v>1</v>
      </c>
      <c r="QJ9" s="16">
        <v>2</v>
      </c>
      <c r="QK9" s="16">
        <v>1</v>
      </c>
      <c r="QL9" s="16">
        <v>3</v>
      </c>
      <c r="QM9" s="16">
        <v>1</v>
      </c>
      <c r="QN9" s="16">
        <v>2</v>
      </c>
      <c r="QO9" s="16">
        <v>1</v>
      </c>
      <c r="QP9" s="16">
        <v>1</v>
      </c>
      <c r="QQ9" s="16">
        <v>2</v>
      </c>
      <c r="QR9" s="16">
        <v>1</v>
      </c>
      <c r="QS9" s="16">
        <v>3</v>
      </c>
      <c r="QT9" s="16">
        <v>1</v>
      </c>
      <c r="QU9" s="16">
        <v>1</v>
      </c>
      <c r="QV9" s="16">
        <v>1</v>
      </c>
      <c r="QW9" s="16">
        <v>2</v>
      </c>
      <c r="QX9" s="16">
        <v>2</v>
      </c>
      <c r="QY9" s="16">
        <v>2</v>
      </c>
      <c r="QZ9" s="16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DBDA-2E61-449A-BCEC-2799D33785B4}">
  <dimension ref="A1:B8"/>
  <sheetViews>
    <sheetView workbookViewId="0"/>
  </sheetViews>
  <sheetFormatPr defaultRowHeight="15"/>
  <cols>
    <col min="1" max="1" width="13.42578125" bestFit="1" customWidth="1"/>
    <col min="2" max="2" width="26.42578125" bestFit="1" customWidth="1"/>
  </cols>
  <sheetData>
    <row r="1" spans="1:2">
      <c r="A1" s="17" t="s">
        <v>1974</v>
      </c>
      <c r="B1" t="s">
        <v>1980</v>
      </c>
    </row>
    <row r="2" spans="1:2">
      <c r="A2" s="18" t="s">
        <v>58</v>
      </c>
      <c r="B2" s="16">
        <v>1341</v>
      </c>
    </row>
    <row r="3" spans="1:2">
      <c r="A3" s="18" t="s">
        <v>73</v>
      </c>
      <c r="B3" s="16">
        <v>1450</v>
      </c>
    </row>
    <row r="4" spans="1:2">
      <c r="A4" s="18" t="s">
        <v>38</v>
      </c>
      <c r="B4" s="16">
        <v>1441</v>
      </c>
    </row>
    <row r="5" spans="1:2">
      <c r="A5" s="18" t="s">
        <v>24</v>
      </c>
      <c r="B5" s="16">
        <v>1291</v>
      </c>
    </row>
    <row r="6" spans="1:2">
      <c r="A6" s="18" t="s">
        <v>46</v>
      </c>
      <c r="B6" s="16">
        <v>1222</v>
      </c>
    </row>
    <row r="7" spans="1:2">
      <c r="A7" s="18" t="s">
        <v>83</v>
      </c>
      <c r="B7" s="16">
        <v>1122</v>
      </c>
    </row>
    <row r="8" spans="1:2">
      <c r="A8" s="18" t="s">
        <v>1973</v>
      </c>
      <c r="B8" s="16">
        <v>7867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E14F-83BF-4501-8ED6-E0D8AE4BC0A1}">
  <dimension ref="A1:B17"/>
  <sheetViews>
    <sheetView workbookViewId="0"/>
  </sheetViews>
  <sheetFormatPr defaultRowHeight="15"/>
  <cols>
    <col min="1" max="1" width="13.42578125" bestFit="1" customWidth="1"/>
    <col min="2" max="2" width="23.85546875" bestFit="1" customWidth="1"/>
  </cols>
  <sheetData>
    <row r="1" spans="1:2">
      <c r="A1" s="17" t="s">
        <v>1974</v>
      </c>
      <c r="B1" t="s">
        <v>1981</v>
      </c>
    </row>
    <row r="2" spans="1:2">
      <c r="A2" s="18">
        <v>1</v>
      </c>
      <c r="B2" s="16">
        <v>62</v>
      </c>
    </row>
    <row r="3" spans="1:2">
      <c r="A3" s="18">
        <v>2</v>
      </c>
      <c r="B3" s="16">
        <v>81</v>
      </c>
    </row>
    <row r="4" spans="1:2">
      <c r="A4" s="18">
        <v>3</v>
      </c>
      <c r="B4" s="16">
        <v>69</v>
      </c>
    </row>
    <row r="5" spans="1:2">
      <c r="A5" s="18">
        <v>4</v>
      </c>
      <c r="B5" s="16">
        <v>51</v>
      </c>
    </row>
    <row r="6" spans="1:2">
      <c r="A6" s="18">
        <v>5</v>
      </c>
      <c r="B6" s="16">
        <v>60</v>
      </c>
    </row>
    <row r="7" spans="1:2">
      <c r="A7" s="18">
        <v>6</v>
      </c>
      <c r="B7" s="16">
        <v>84</v>
      </c>
    </row>
    <row r="8" spans="1:2">
      <c r="A8" s="18">
        <v>7</v>
      </c>
      <c r="B8" s="16">
        <v>69</v>
      </c>
    </row>
    <row r="9" spans="1:2">
      <c r="A9" s="18">
        <v>8</v>
      </c>
      <c r="B9" s="16">
        <v>67</v>
      </c>
    </row>
    <row r="10" spans="1:2">
      <c r="A10" s="18">
        <v>9</v>
      </c>
      <c r="B10" s="16">
        <v>67</v>
      </c>
    </row>
    <row r="11" spans="1:2">
      <c r="A11" s="18">
        <v>10</v>
      </c>
      <c r="B11" s="16">
        <v>66</v>
      </c>
    </row>
    <row r="12" spans="1:2">
      <c r="A12" s="18">
        <v>11</v>
      </c>
      <c r="B12" s="16">
        <v>81</v>
      </c>
    </row>
    <row r="13" spans="1:2">
      <c r="A13" s="18">
        <v>12</v>
      </c>
      <c r="B13" s="16">
        <v>59</v>
      </c>
    </row>
    <row r="14" spans="1:2">
      <c r="A14" s="18">
        <v>13</v>
      </c>
      <c r="B14" s="16">
        <v>74</v>
      </c>
    </row>
    <row r="15" spans="1:2">
      <c r="A15" s="18">
        <v>14</v>
      </c>
      <c r="B15" s="16">
        <v>65</v>
      </c>
    </row>
    <row r="16" spans="1:2">
      <c r="A16" s="18">
        <v>15</v>
      </c>
      <c r="B16" s="16">
        <v>45</v>
      </c>
    </row>
    <row r="17" spans="1:2">
      <c r="A17" s="18" t="s">
        <v>1973</v>
      </c>
      <c r="B17" s="16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7272-07CC-4D03-9ED1-96AAFFEBD5E1}">
  <dimension ref="A1:B8"/>
  <sheetViews>
    <sheetView workbookViewId="0"/>
  </sheetViews>
  <sheetFormatPr defaultRowHeight="15"/>
  <cols>
    <col min="1" max="1" width="16.42578125" bestFit="1" customWidth="1"/>
    <col min="2" max="2" width="19.5703125" bestFit="1" customWidth="1"/>
    <col min="3" max="3" width="11" bestFit="1" customWidth="1"/>
    <col min="4" max="4" width="17" bestFit="1" customWidth="1"/>
    <col min="5" max="5" width="4.28515625" bestFit="1" customWidth="1"/>
    <col min="6" max="6" width="10.28515625" bestFit="1" customWidth="1"/>
    <col min="7" max="7" width="12.140625" bestFit="1" customWidth="1"/>
    <col min="8" max="8" width="11.28515625" bestFit="1" customWidth="1"/>
  </cols>
  <sheetData>
    <row r="1" spans="1:2">
      <c r="A1" s="17" t="s">
        <v>1974</v>
      </c>
      <c r="B1" t="s">
        <v>1972</v>
      </c>
    </row>
    <row r="2" spans="1:2">
      <c r="A2" s="18" t="s">
        <v>62</v>
      </c>
      <c r="B2" s="16">
        <v>165</v>
      </c>
    </row>
    <row r="3" spans="1:2">
      <c r="A3" s="18" t="s">
        <v>47</v>
      </c>
      <c r="B3" s="16">
        <v>166</v>
      </c>
    </row>
    <row r="4" spans="1:2">
      <c r="A4" s="18" t="s">
        <v>51</v>
      </c>
      <c r="B4" s="16">
        <v>181</v>
      </c>
    </row>
    <row r="5" spans="1:2">
      <c r="A5" s="18" t="s">
        <v>36</v>
      </c>
      <c r="B5" s="16">
        <v>179</v>
      </c>
    </row>
    <row r="6" spans="1:2">
      <c r="A6" s="18" t="s">
        <v>22</v>
      </c>
      <c r="B6" s="16">
        <v>173</v>
      </c>
    </row>
    <row r="7" spans="1:2">
      <c r="A7" s="18" t="s">
        <v>82</v>
      </c>
      <c r="B7" s="16">
        <v>136</v>
      </c>
    </row>
    <row r="8" spans="1:2">
      <c r="A8" s="18" t="s">
        <v>1973</v>
      </c>
      <c r="B8" s="16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A1FD-A146-4AAC-B906-79C3CCBE7187}">
  <dimension ref="A1:C4"/>
  <sheetViews>
    <sheetView workbookViewId="0"/>
  </sheetViews>
  <sheetFormatPr defaultRowHeight="15"/>
  <cols>
    <col min="1" max="1" width="13.42578125" bestFit="1" customWidth="1"/>
    <col min="2" max="2" width="23.85546875" bestFit="1" customWidth="1"/>
    <col min="3" max="3" width="23.42578125" bestFit="1" customWidth="1"/>
    <col min="4" max="285" width="12.42578125" bestFit="1" customWidth="1"/>
    <col min="286" max="294" width="8.42578125" bestFit="1" customWidth="1"/>
    <col min="295" max="297" width="9.42578125" bestFit="1" customWidth="1"/>
    <col min="298" max="304" width="8.42578125" bestFit="1" customWidth="1"/>
    <col min="305" max="307" width="9.42578125" bestFit="1" customWidth="1"/>
    <col min="308" max="315" width="8.42578125" bestFit="1" customWidth="1"/>
    <col min="316" max="318" width="9.42578125" bestFit="1" customWidth="1"/>
    <col min="319" max="327" width="8.42578125" bestFit="1" customWidth="1"/>
    <col min="328" max="331" width="9.42578125" bestFit="1" customWidth="1"/>
    <col min="332" max="338" width="8.42578125" bestFit="1" customWidth="1"/>
    <col min="339" max="341" width="9.42578125" bestFit="1" customWidth="1"/>
    <col min="342" max="349" width="8.42578125" bestFit="1" customWidth="1"/>
    <col min="350" max="352" width="9.42578125" bestFit="1" customWidth="1"/>
    <col min="353" max="361" width="8.42578125" bestFit="1" customWidth="1"/>
    <col min="362" max="363" width="9.42578125" bestFit="1" customWidth="1"/>
    <col min="364" max="370" width="8.42578125" bestFit="1" customWidth="1"/>
    <col min="371" max="373" width="9.42578125" bestFit="1" customWidth="1"/>
    <col min="374" max="381" width="8.42578125" bestFit="1" customWidth="1"/>
    <col min="382" max="391" width="9.42578125" bestFit="1" customWidth="1"/>
    <col min="392" max="394" width="10.42578125" bestFit="1" customWidth="1"/>
    <col min="395" max="402" width="9.42578125" bestFit="1" customWidth="1"/>
    <col min="403" max="405" width="10.42578125" bestFit="1" customWidth="1"/>
    <col min="406" max="414" width="9.42578125" bestFit="1" customWidth="1"/>
    <col min="415" max="417" width="10.42578125" bestFit="1" customWidth="1"/>
    <col min="418" max="457" width="8.42578125" bestFit="1" customWidth="1"/>
    <col min="458" max="472" width="9.42578125" bestFit="1" customWidth="1"/>
    <col min="473" max="473" width="11.28515625" bestFit="1" customWidth="1"/>
  </cols>
  <sheetData>
    <row r="1" spans="1:3">
      <c r="A1" s="17" t="s">
        <v>1974</v>
      </c>
      <c r="B1" t="s">
        <v>1981</v>
      </c>
      <c r="C1" t="s">
        <v>1982</v>
      </c>
    </row>
    <row r="2" spans="1:3">
      <c r="A2" s="18" t="s">
        <v>47</v>
      </c>
      <c r="B2" s="16">
        <v>299</v>
      </c>
      <c r="C2" s="16">
        <v>299</v>
      </c>
    </row>
    <row r="3" spans="1:3">
      <c r="A3" s="18" t="s">
        <v>28</v>
      </c>
      <c r="B3" s="16">
        <v>701</v>
      </c>
      <c r="C3" s="16">
        <v>701</v>
      </c>
    </row>
    <row r="4" spans="1:3">
      <c r="A4" s="18" t="s">
        <v>1973</v>
      </c>
      <c r="B4" s="16">
        <v>1000</v>
      </c>
      <c r="C4" s="16"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06F7-BF3B-44AB-AC82-D0D82BCDEA75}">
  <dimension ref="A1:C8"/>
  <sheetViews>
    <sheetView workbookViewId="0"/>
  </sheetViews>
  <sheetFormatPr defaultRowHeight="15"/>
  <cols>
    <col min="1" max="1" width="16.42578125" bestFit="1" customWidth="1"/>
    <col min="2" max="2" width="18.42578125" bestFit="1" customWidth="1"/>
    <col min="3" max="3" width="15.5703125" bestFit="1" customWidth="1"/>
  </cols>
  <sheetData>
    <row r="1" spans="1:3">
      <c r="A1" s="17" t="s">
        <v>1974</v>
      </c>
      <c r="B1" t="s">
        <v>1977</v>
      </c>
      <c r="C1" t="s">
        <v>1978</v>
      </c>
    </row>
    <row r="2" spans="1:3">
      <c r="A2" s="18" t="s">
        <v>62</v>
      </c>
      <c r="B2" s="16">
        <v>165</v>
      </c>
      <c r="C2" s="16">
        <v>165</v>
      </c>
    </row>
    <row r="3" spans="1:3">
      <c r="A3" s="18" t="s">
        <v>47</v>
      </c>
      <c r="B3" s="16">
        <v>166</v>
      </c>
      <c r="C3" s="16">
        <v>166</v>
      </c>
    </row>
    <row r="4" spans="1:3">
      <c r="A4" s="18" t="s">
        <v>51</v>
      </c>
      <c r="B4" s="16">
        <v>181</v>
      </c>
      <c r="C4" s="16">
        <v>181</v>
      </c>
    </row>
    <row r="5" spans="1:3">
      <c r="A5" s="18" t="s">
        <v>36</v>
      </c>
      <c r="B5" s="16">
        <v>179</v>
      </c>
      <c r="C5" s="16">
        <v>179</v>
      </c>
    </row>
    <row r="6" spans="1:3">
      <c r="A6" s="18" t="s">
        <v>22</v>
      </c>
      <c r="B6" s="16">
        <v>173</v>
      </c>
      <c r="C6" s="16">
        <v>173</v>
      </c>
    </row>
    <row r="7" spans="1:3">
      <c r="A7" s="18" t="s">
        <v>82</v>
      </c>
      <c r="B7" s="16">
        <v>136</v>
      </c>
      <c r="C7" s="16">
        <v>136</v>
      </c>
    </row>
    <row r="8" spans="1:3">
      <c r="A8" s="18" t="s">
        <v>1973</v>
      </c>
      <c r="B8" s="16">
        <v>1000</v>
      </c>
      <c r="C8" s="1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Healthcare_LifeSciences_Data</vt:lpstr>
      <vt:lpstr>Objective</vt:lpstr>
      <vt:lpstr>Answer</vt:lpstr>
      <vt:lpstr>Q2</vt:lpstr>
      <vt:lpstr>Q3</vt:lpstr>
      <vt:lpstr>Q5.</vt:lpstr>
      <vt:lpstr>Q6</vt:lpstr>
      <vt:lpstr>Q8</vt:lpstr>
      <vt:lpstr>Q9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 limbachiya</dc:creator>
  <cp:lastModifiedBy>PEEYUSH JHA</cp:lastModifiedBy>
  <dcterms:created xsi:type="dcterms:W3CDTF">2025-07-07T13:11:51Z</dcterms:created>
  <dcterms:modified xsi:type="dcterms:W3CDTF">2025-12-23T07:31:54Z</dcterms:modified>
</cp:coreProperties>
</file>